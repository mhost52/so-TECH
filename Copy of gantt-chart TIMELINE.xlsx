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460"/>
  </bookViews>
  <sheets>
    <sheet name="GanttChart" sheetId="9" r:id="rId1"/>
    <sheet name="GanttChartPro" sheetId="12" state="hidden" r:id="rId2"/>
    <sheet name="Help" sheetId="6" state="hidden" r:id="rId3"/>
    <sheet name="TermsOfUse" sheetId="11" state="hidden" r:id="rId4"/>
  </sheets>
  <definedNames>
    <definedName name="prevWBS" localSheetId="0">GanttChart!$A1048576</definedName>
    <definedName name="_xlnm.Print_Area" localSheetId="0">GanttChart!$A$1:$BN$73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<sst xmlns="http://schemas.openxmlformats.org/spreadsheetml/2006/main" count="293" uniqueCount="216">
  <si>
    <t>RICEF BY LEUWITEX</t>
  </si>
  <si>
    <t xml:space="preserve">Project Start Date </t>
  </si>
  <si>
    <t xml:space="preserve">Display Week </t>
  </si>
  <si>
    <t xml:space="preserve">Project Lead </t>
  </si>
  <si>
    <t>Billy</t>
  </si>
  <si>
    <t>WBS</t>
  </si>
  <si>
    <t>TASK</t>
  </si>
  <si>
    <t>PIC</t>
  </si>
  <si>
    <t>PREDECESSOR</t>
  </si>
  <si>
    <t>START</t>
  </si>
  <si>
    <t>END</t>
  </si>
  <si>
    <t>DAYS</t>
  </si>
  <si>
    <t>% DONE</t>
  </si>
  <si>
    <t>WORK DAYS</t>
  </si>
  <si>
    <t>SAP API development</t>
  </si>
  <si>
    <t>INSTALL ECLIPSE, ADOBE LIFECYCLE DI PC</t>
  </si>
  <si>
    <t>Baim, Budi</t>
  </si>
  <si>
    <t>TANYA2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</si>
  <si>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</si>
  <si>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</si>
  <si>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</si>
  <si>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</si>
  <si>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</si>
  <si>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</si>
  <si>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</si>
  <si>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</si>
  <si>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Modifikasi Form Invoice (Barang Bekas, Avfal, BS, Maklon, Masker)</t>
  </si>
  <si>
    <t>Budi</t>
  </si>
  <si>
    <t>Modifikasi Form Surat Jalan (Barang Bekas, Avfal, BS, Maklon, Masker)</t>
  </si>
  <si>
    <t>BBK INTERN</t>
  </si>
  <si>
    <t>DASHBOARD LAYOUT PER BIN</t>
  </si>
  <si>
    <t>DETAIL LIST KARTON PER RAK</t>
  </si>
  <si>
    <t>LAPORAN GUDANG PACKING LEAD TIME</t>
  </si>
  <si>
    <t>LAPORAN PERSEDIAAN GUDANG PACKING</t>
  </si>
  <si>
    <t>LAPORAN SURAT JALAN (P)</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</si>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</sst>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m/d/yyyy\ \(dddd\)"/>
    <numFmt numFmtId="181" formatCode="ddd\ dd/m/yy"/>
    <numFmt numFmtId="182" formatCode="ddd\ m/dd/yy"/>
    <numFmt numFmtId="183" formatCode="d\ mmm\ yyyy"/>
    <numFmt numFmtId="184" formatCode="d"/>
  </numFmts>
  <fonts count="68">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sz val="9"/>
      <name val="Arial"/>
      <charset val="134"/>
      <scheme val="minor"/>
    </font>
    <font>
      <sz val="10"/>
      <name val="Arial"/>
      <charset val="134"/>
      <scheme val="major"/>
    </font>
    <font>
      <i/>
      <sz val="8"/>
      <color theme="0" tint="-0.349986266670736"/>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indexed="8"/>
      <name val="Calibri"/>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1"/>
      <name val="Arial"/>
      <charset val="134"/>
    </font>
    <font>
      <i/>
      <sz val="11"/>
      <color rgb="FF000000"/>
      <name val="Arial"/>
      <charset val="134"/>
    </font>
    <font>
      <b/>
      <sz val="11"/>
      <color rgb="FFFF0000"/>
      <name val="Arial"/>
      <charset val="134"/>
    </font>
    <font>
      <b/>
      <sz val="9"/>
      <name val="Tahoma"/>
      <charset val="134"/>
    </font>
    <font>
      <b/>
      <i/>
      <sz val="9"/>
      <name val="Tahoma"/>
      <charset val="134"/>
    </font>
    <font>
      <sz val="9"/>
      <name val="Tahoma"/>
      <charset val="134"/>
    </font>
    <font>
      <i/>
      <sz val="9"/>
      <name val="Tahoma"/>
      <charset val="134"/>
    </font>
    <font>
      <sz val="8"/>
      <name val="Tahoma"/>
      <charset val="134"/>
    </font>
  </fonts>
  <fills count="39">
    <fill>
      <patternFill patternType="none"/>
    </fill>
    <fill>
      <patternFill patternType="gray125"/>
    </fill>
    <fill>
      <patternFill patternType="solid">
        <fgColor indexed="22"/>
        <bgColor indexed="64"/>
      </patternFill>
    </fill>
    <fill>
      <patternFill patternType="solid">
        <fgColor theme="3" tint="0.799920651875362"/>
        <bgColor indexed="64"/>
      </patternFill>
    </fill>
    <fill>
      <patternFill patternType="solid">
        <fgColor theme="0" tint="-0.149937437055574"/>
        <bgColor indexed="64"/>
      </patternFill>
    </fill>
    <fill>
      <patternFill patternType="solid">
        <fgColor indexed="9"/>
        <bgColor indexed="64"/>
      </patternFill>
    </fill>
    <fill>
      <patternFill patternType="solid">
        <fgColor theme="3" tint="0.799920651875362"/>
        <bgColor rgb="FFD6F4D9"/>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diagonal/>
    </border>
    <border>
      <left style="thin">
        <color theme="0" tint="-0.249946592608417"/>
      </left>
      <right style="medium">
        <color theme="0" tint="-0.249946592608417"/>
      </right>
      <top/>
      <bottom style="medium">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1" fillId="0" borderId="0" applyFont="0" applyFill="0" applyBorder="0" applyAlignment="0" applyProtection="0">
      <alignment vertical="center"/>
    </xf>
    <xf numFmtId="177" fontId="41" fillId="0" borderId="0" applyFont="0" applyFill="0" applyBorder="0" applyAlignment="0" applyProtection="0">
      <alignment vertical="center"/>
    </xf>
    <xf numFmtId="9" fontId="0" fillId="0" borderId="0" applyFont="0" applyFill="0" applyBorder="0" applyAlignment="0" applyProtection="0"/>
    <xf numFmtId="178" fontId="41" fillId="0" borderId="0" applyFont="0" applyFill="0" applyBorder="0" applyAlignment="0" applyProtection="0">
      <alignment vertical="center"/>
    </xf>
    <xf numFmtId="179" fontId="41" fillId="0" borderId="0" applyFont="0" applyFill="0" applyBorder="0" applyAlignment="0" applyProtection="0">
      <alignment vertical="center"/>
    </xf>
    <xf numFmtId="0" fontId="36" fillId="0" borderId="0" applyNumberFormat="0" applyFill="0" applyBorder="0" applyAlignment="0" applyProtection="0">
      <alignment vertical="top"/>
      <protection locked="0"/>
    </xf>
    <xf numFmtId="0" fontId="42" fillId="0" borderId="0" applyNumberFormat="0" applyFill="0" applyBorder="0" applyAlignment="0" applyProtection="0">
      <alignment vertical="center"/>
    </xf>
    <xf numFmtId="0" fontId="41" fillId="8" borderId="15"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6" applyNumberFormat="0" applyFill="0" applyAlignment="0" applyProtection="0">
      <alignment vertical="center"/>
    </xf>
    <xf numFmtId="0" fontId="47" fillId="0" borderId="16" applyNumberFormat="0" applyFill="0" applyAlignment="0" applyProtection="0">
      <alignment vertical="center"/>
    </xf>
    <xf numFmtId="0" fontId="48" fillId="0" borderId="17" applyNumberFormat="0" applyFill="0" applyAlignment="0" applyProtection="0">
      <alignment vertical="center"/>
    </xf>
    <xf numFmtId="0" fontId="48" fillId="0" borderId="0" applyNumberFormat="0" applyFill="0" applyBorder="0" applyAlignment="0" applyProtection="0">
      <alignment vertical="center"/>
    </xf>
    <xf numFmtId="0" fontId="49" fillId="9" borderId="18" applyNumberFormat="0" applyAlignment="0" applyProtection="0">
      <alignment vertical="center"/>
    </xf>
    <xf numFmtId="0" fontId="50" fillId="10" borderId="19" applyNumberFormat="0" applyAlignment="0" applyProtection="0">
      <alignment vertical="center"/>
    </xf>
    <xf numFmtId="0" fontId="51" fillId="10" borderId="18" applyNumberFormat="0" applyAlignment="0" applyProtection="0">
      <alignment vertical="center"/>
    </xf>
    <xf numFmtId="0" fontId="52" fillId="11" borderId="20" applyNumberFormat="0" applyAlignment="0" applyProtection="0">
      <alignment vertical="center"/>
    </xf>
    <xf numFmtId="0" fontId="53" fillId="0" borderId="21" applyNumberFormat="0" applyFill="0" applyAlignment="0" applyProtection="0">
      <alignment vertical="center"/>
    </xf>
    <xf numFmtId="0" fontId="54" fillId="0" borderId="22" applyNumberFormat="0" applyFill="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7" fillId="14" borderId="0" applyNumberFormat="0" applyBorder="0" applyAlignment="0" applyProtection="0">
      <alignment vertical="center"/>
    </xf>
    <xf numFmtId="0" fontId="58"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9" fillId="36" borderId="0" applyNumberFormat="0" applyBorder="0" applyAlignment="0" applyProtection="0">
      <alignment vertical="center"/>
    </xf>
    <xf numFmtId="0" fontId="59" fillId="37" borderId="0" applyNumberFormat="0" applyBorder="0" applyAlignment="0" applyProtection="0">
      <alignment vertical="center"/>
    </xf>
    <xf numFmtId="0" fontId="58" fillId="38" borderId="0" applyNumberFormat="0" applyBorder="0" applyAlignment="0" applyProtection="0">
      <alignment vertical="center"/>
    </xf>
  </cellStyleXfs>
  <cellXfs count="113">
    <xf numFmtId="0" fontId="0" fillId="0" borderId="0" xfId="0"/>
    <xf numFmtId="0" fontId="1" fillId="0" borderId="0" xfId="0" applyFont="1" applyAlignment="1">
      <alignment horizontal="left" vertical="center"/>
    </xf>
    <xf numFmtId="0" fontId="2" fillId="0" borderId="0" xfId="0" applyFont="1" applyAlignment="1">
      <alignment horizontal="left" wrapText="1"/>
    </xf>
    <xf numFmtId="0" fontId="0" fillId="0" borderId="1" xfId="0" applyBorder="1"/>
    <xf numFmtId="0" fontId="2" fillId="0" borderId="1" xfId="0" applyFont="1" applyBorder="1" applyAlignment="1">
      <alignment horizontal="left" wrapText="1"/>
    </xf>
    <xf numFmtId="0" fontId="0" fillId="0" borderId="2" xfId="0" applyBorder="1"/>
    <xf numFmtId="0" fontId="3" fillId="0" borderId="1" xfId="6" applyFont="1" applyBorder="1" applyAlignment="1" applyProtection="1">
      <alignment wrapText="1"/>
    </xf>
    <xf numFmtId="0" fontId="2" fillId="0" borderId="2" xfId="0" applyFont="1" applyBorder="1" applyAlignment="1">
      <alignment horizontal="left" wrapText="1"/>
    </xf>
    <xf numFmtId="0" fontId="4" fillId="0" borderId="2" xfId="0" applyFont="1" applyBorder="1" applyAlignment="1">
      <alignment horizontal="left" wrapText="1"/>
    </xf>
    <xf numFmtId="0" fontId="5" fillId="0" borderId="2" xfId="6" applyFont="1" applyBorder="1" applyAlignment="1" applyProtection="1">
      <alignment horizontal="left" wrapText="1"/>
    </xf>
    <xf numFmtId="0" fontId="2" fillId="0" borderId="2" xfId="0" applyFont="1" applyBorder="1" applyAlignment="1">
      <alignment horizontal="left"/>
    </xf>
    <xf numFmtId="0" fontId="0" fillId="0" borderId="0" xfId="0" applyAlignment="1">
      <alignment vertical="center"/>
    </xf>
    <xf numFmtId="0" fontId="6" fillId="0" borderId="0" xfId="0" applyFont="1" applyAlignment="1">
      <alignment horizontal="left" vertical="center"/>
    </xf>
    <xf numFmtId="0" fontId="3" fillId="0" borderId="0" xfId="6" applyFont="1" applyAlignment="1" applyProtection="1"/>
    <xf numFmtId="0" fontId="7" fillId="0" borderId="0" xfId="0" applyFont="1" applyAlignment="1">
      <alignment horizontal="right"/>
    </xf>
    <xf numFmtId="0" fontId="8" fillId="0" borderId="0" xfId="0" applyFont="1"/>
    <xf numFmtId="0" fontId="9" fillId="0" borderId="0" xfId="0" applyFont="1"/>
    <xf numFmtId="0" fontId="10" fillId="0" borderId="0" xfId="0" applyFont="1" applyAlignment="1">
      <alignment horizontal="left" wrapText="1"/>
    </xf>
    <xf numFmtId="0" fontId="10" fillId="0" borderId="0" xfId="0" applyFont="1" applyAlignment="1">
      <alignment wrapText="1"/>
    </xf>
    <xf numFmtId="0" fontId="8" fillId="0" borderId="0" xfId="0" applyFont="1" applyAlignment="1">
      <alignment horizontal="left"/>
    </xf>
    <xf numFmtId="0" fontId="11" fillId="0" borderId="0" xfId="0" applyFont="1" applyAlignment="1">
      <alignment vertical="center"/>
    </xf>
    <xf numFmtId="0" fontId="10" fillId="0" borderId="0" xfId="0" applyFont="1" applyAlignment="1">
      <alignment vertical="center" wrapText="1"/>
    </xf>
    <xf numFmtId="0" fontId="0" fillId="2" borderId="0" xfId="0" applyFill="1" applyAlignment="1">
      <alignment horizontal="center" vertical="center"/>
    </xf>
    <xf numFmtId="0" fontId="11" fillId="0" borderId="0" xfId="0" applyFont="1"/>
    <xf numFmtId="0" fontId="0" fillId="3" borderId="0" xfId="0" applyFill="1" applyAlignment="1">
      <alignment horizontal="center" vertical="center"/>
    </xf>
    <xf numFmtId="0" fontId="12" fillId="0" borderId="0" xfId="0" applyFont="1" applyAlignment="1">
      <alignment vertical="center" wrapText="1"/>
    </xf>
    <xf numFmtId="0" fontId="13" fillId="0" borderId="0" xfId="0" applyFont="1"/>
    <xf numFmtId="0" fontId="14" fillId="0" borderId="0" xfId="0" applyFont="1"/>
    <xf numFmtId="0" fontId="3" fillId="0" borderId="0" xfId="6" applyFont="1" applyFill="1" applyBorder="1" applyAlignment="1" applyProtection="1">
      <alignment vertical="center"/>
    </xf>
    <xf numFmtId="0" fontId="7" fillId="0" borderId="0" xfId="0" applyFont="1" applyAlignment="1">
      <alignment wrapText="1"/>
    </xf>
    <xf numFmtId="0" fontId="15" fillId="0" borderId="0" xfId="0" applyFont="1" applyAlignment="1">
      <alignment horizontal="right"/>
    </xf>
    <xf numFmtId="0" fontId="10" fillId="0" borderId="0" xfId="0" applyFont="1"/>
    <xf numFmtId="0" fontId="0" fillId="0" borderId="0" xfId="0" applyAlignment="1">
      <alignment horizontal="left" wrapText="1" indent="1"/>
    </xf>
    <xf numFmtId="0" fontId="14" fillId="0" borderId="0" xfId="0" applyFont="1" applyAlignment="1">
      <alignment horizontal="right"/>
    </xf>
    <xf numFmtId="0" fontId="16" fillId="0" borderId="0" xfId="0" applyFont="1" applyAlignment="1">
      <alignment vertical="center" wrapText="1"/>
    </xf>
    <xf numFmtId="0" fontId="10" fillId="0" borderId="0" xfId="0" applyFont="1" applyAlignment="1">
      <alignment horizontal="left" vertical="center" wrapText="1"/>
    </xf>
    <xf numFmtId="0" fontId="10" fillId="0" borderId="0" xfId="0" applyFont="1" applyAlignment="1">
      <alignment horizontal="left" indent="1"/>
    </xf>
    <xf numFmtId="0" fontId="16" fillId="0" borderId="0" xfId="0" applyFont="1"/>
    <xf numFmtId="0" fontId="15" fillId="0" borderId="0" xfId="0" applyFont="1" applyAlignment="1">
      <alignment horizontal="left" wrapText="1"/>
    </xf>
    <xf numFmtId="0" fontId="17" fillId="0" borderId="0" xfId="0" applyFont="1" applyAlignment="1">
      <alignment horizontal="left" indent="1"/>
    </xf>
    <xf numFmtId="0" fontId="10" fillId="0" borderId="0" xfId="0" applyFont="1" applyAlignment="1">
      <alignment horizontal="left" wrapText="1" indent="1"/>
    </xf>
    <xf numFmtId="0" fontId="7" fillId="0" borderId="0" xfId="0" applyFont="1" applyAlignment="1">
      <alignment horizontal="left" vertical="center"/>
    </xf>
    <xf numFmtId="0" fontId="1" fillId="0" borderId="0" xfId="0" applyFont="1" applyAlignment="1">
      <alignment vertical="center"/>
    </xf>
    <xf numFmtId="0" fontId="18" fillId="0" borderId="0" xfId="6" applyFont="1" applyAlignment="1" applyProtection="1"/>
    <xf numFmtId="0" fontId="19" fillId="0" borderId="0" xfId="0" applyFont="1"/>
    <xf numFmtId="0" fontId="17" fillId="0" borderId="0" xfId="0" applyFont="1"/>
    <xf numFmtId="0" fontId="20" fillId="4" borderId="3" xfId="0" applyFont="1" applyFill="1" applyBorder="1" applyAlignment="1">
      <alignment vertical="center"/>
    </xf>
    <xf numFmtId="0" fontId="20" fillId="0" borderId="3" xfId="0" applyFont="1" applyBorder="1" applyAlignment="1">
      <alignment vertical="center"/>
    </xf>
    <xf numFmtId="0" fontId="21" fillId="0" borderId="0" xfId="0" applyFont="1" applyAlignment="1" applyProtection="1">
      <alignment vertical="center"/>
      <protection locked="0"/>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Protection="1">
      <protection locked="0"/>
    </xf>
    <xf numFmtId="0" fontId="25" fillId="5" borderId="0" xfId="6" applyNumberFormat="1" applyFont="1" applyFill="1" applyAlignment="1" applyProtection="1">
      <alignment horizontal="right"/>
      <protection locked="0"/>
    </xf>
    <xf numFmtId="0" fontId="26" fillId="0" borderId="0" xfId="0" applyFont="1" applyProtection="1">
      <protection locked="0"/>
    </xf>
    <xf numFmtId="0" fontId="0" fillId="5" borderId="0" xfId="0" applyFill="1"/>
    <xf numFmtId="0" fontId="27" fillId="0" borderId="0" xfId="0" applyFont="1"/>
    <xf numFmtId="0" fontId="27" fillId="0" borderId="0" xfId="0" applyFont="1" applyAlignment="1">
      <alignment horizontal="right" vertical="center"/>
    </xf>
    <xf numFmtId="180" fontId="28" fillId="0" borderId="4" xfId="0" applyNumberFormat="1" applyFont="1" applyBorder="1" applyAlignment="1" applyProtection="1">
      <alignment horizontal="center" vertical="center" shrinkToFit="1"/>
      <protection locked="0"/>
    </xf>
    <xf numFmtId="0" fontId="28" fillId="0" borderId="4" xfId="0" applyFont="1" applyBorder="1" applyAlignment="1" applyProtection="1">
      <alignment horizontal="center" vertical="center"/>
      <protection locked="0"/>
    </xf>
    <xf numFmtId="180" fontId="28" fillId="0" borderId="5" xfId="0" applyNumberFormat="1" applyFont="1" applyBorder="1" applyAlignment="1" applyProtection="1">
      <alignment horizontal="center" vertical="center" shrinkToFit="1"/>
      <protection locked="0"/>
    </xf>
    <xf numFmtId="0" fontId="29" fillId="0" borderId="6" xfId="0" applyFont="1" applyBorder="1" applyAlignment="1">
      <alignment horizontal="left" vertical="center"/>
    </xf>
    <xf numFmtId="0" fontId="29" fillId="0" borderId="6" xfId="0" applyFont="1" applyBorder="1" applyAlignment="1">
      <alignment horizontal="center" vertical="center" wrapText="1"/>
    </xf>
    <xf numFmtId="0" fontId="30" fillId="0" borderId="6" xfId="0" applyFont="1" applyBorder="1" applyAlignment="1">
      <alignment horizontal="center" vertical="center" wrapText="1"/>
    </xf>
    <xf numFmtId="0" fontId="29" fillId="0" borderId="6" xfId="0" applyFont="1" applyBorder="1" applyAlignment="1">
      <alignment horizontal="center" vertical="center"/>
    </xf>
    <xf numFmtId="0" fontId="31" fillId="4" borderId="7" xfId="0" applyFont="1" applyFill="1" applyBorder="1" applyAlignment="1">
      <alignment horizontal="left" vertical="center"/>
    </xf>
    <xf numFmtId="0" fontId="31" fillId="4" borderId="7" xfId="0" applyFont="1" applyFill="1" applyBorder="1" applyAlignment="1">
      <alignment vertical="center"/>
    </xf>
    <xf numFmtId="0" fontId="20" fillId="4" borderId="7" xfId="0" applyFont="1" applyFill="1" applyBorder="1" applyAlignment="1">
      <alignment vertical="center"/>
    </xf>
    <xf numFmtId="0" fontId="20" fillId="4" borderId="7" xfId="0" applyFont="1" applyFill="1" applyBorder="1" applyAlignment="1">
      <alignment horizontal="center" vertical="center"/>
    </xf>
    <xf numFmtId="181" fontId="20" fillId="4" borderId="7" xfId="0" applyNumberFormat="1" applyFont="1" applyFill="1" applyBorder="1" applyAlignment="1">
      <alignment horizontal="right" vertical="center"/>
    </xf>
    <xf numFmtId="181" fontId="20" fillId="4" borderId="7" xfId="0" applyNumberFormat="1" applyFont="1" applyFill="1" applyBorder="1" applyAlignment="1">
      <alignment horizontal="center" vertical="center"/>
    </xf>
    <xf numFmtId="1" fontId="20" fillId="4" borderId="7" xfId="3" applyNumberFormat="1" applyFont="1" applyFill="1" applyBorder="1" applyAlignment="1" applyProtection="1">
      <alignment horizontal="center" vertical="center"/>
    </xf>
    <xf numFmtId="9" fontId="20" fillId="4" borderId="7" xfId="3" applyFont="1" applyFill="1" applyBorder="1" applyAlignment="1" applyProtection="1">
      <alignment horizontal="center" vertical="center"/>
    </xf>
    <xf numFmtId="0" fontId="20" fillId="0" borderId="3" xfId="0" applyFont="1" applyBorder="1" applyAlignment="1">
      <alignment horizontal="left" vertical="center"/>
    </xf>
    <xf numFmtId="0" fontId="20" fillId="0" borderId="3" xfId="0" applyFont="1" applyBorder="1" applyAlignment="1">
      <alignment vertical="center" wrapText="1"/>
    </xf>
    <xf numFmtId="0" fontId="32" fillId="0" borderId="8" xfId="0" applyFont="1" applyBorder="1" applyAlignment="1">
      <alignment horizontal="center" vertical="center"/>
    </xf>
    <xf numFmtId="182" fontId="32" fillId="6" borderId="8" xfId="0" applyNumberFormat="1" applyFont="1" applyFill="1" applyBorder="1" applyAlignment="1">
      <alignment horizontal="center" vertical="center"/>
    </xf>
    <xf numFmtId="182" fontId="32" fillId="0" borderId="8" xfId="0" applyNumberFormat="1" applyFont="1" applyBorder="1" applyAlignment="1">
      <alignment horizontal="center" vertical="center"/>
    </xf>
    <xf numFmtId="1" fontId="32" fillId="3" borderId="8" xfId="0" applyNumberFormat="1" applyFont="1" applyFill="1" applyBorder="1" applyAlignment="1">
      <alignment horizontal="center" vertical="center"/>
    </xf>
    <xf numFmtId="9" fontId="32" fillId="3" borderId="8" xfId="3" applyFont="1" applyFill="1" applyBorder="1" applyAlignment="1" applyProtection="1">
      <alignment horizontal="center" vertical="center"/>
    </xf>
    <xf numFmtId="0" fontId="33" fillId="0" borderId="3" xfId="0" applyFont="1" applyBorder="1" applyAlignment="1">
      <alignment vertical="center" wrapText="1"/>
    </xf>
    <xf numFmtId="0" fontId="33" fillId="0" borderId="3" xfId="0" applyFont="1" applyBorder="1" applyAlignment="1">
      <alignment vertical="center"/>
    </xf>
    <xf numFmtId="49" fontId="34" fillId="7" borderId="0" xfId="0" applyNumberFormat="1" applyFont="1" applyFill="1" applyAlignment="1">
      <alignment horizontal="left" vertical="center" wrapText="1"/>
    </xf>
    <xf numFmtId="0" fontId="20" fillId="0" borderId="7" xfId="0" applyFont="1" applyBorder="1" applyAlignment="1">
      <alignment vertical="center" wrapText="1"/>
    </xf>
    <xf numFmtId="0" fontId="0" fillId="0" borderId="0" xfId="0" applyAlignment="1">
      <alignment horizontal="right" vertical="center"/>
    </xf>
    <xf numFmtId="0" fontId="35" fillId="0" borderId="0" xfId="6" applyFont="1" applyBorder="1" applyAlignment="1" applyProtection="1">
      <alignment horizontal="left" vertical="center"/>
    </xf>
    <xf numFmtId="0" fontId="36" fillId="0" borderId="0" xfId="6" applyAlignment="1" applyProtection="1">
      <alignment horizontal="left"/>
    </xf>
    <xf numFmtId="0" fontId="37" fillId="0" borderId="9" xfId="0" applyFont="1" applyBorder="1" applyAlignment="1">
      <alignment horizontal="center" vertical="center"/>
    </xf>
    <xf numFmtId="0" fontId="37" fillId="0" borderId="10" xfId="0" applyFont="1" applyBorder="1" applyAlignment="1">
      <alignment horizontal="center" vertical="center"/>
    </xf>
    <xf numFmtId="183" fontId="28" fillId="0" borderId="9" xfId="0" applyNumberFormat="1" applyFont="1" applyBorder="1" applyAlignment="1">
      <alignment horizontal="center" vertical="center"/>
    </xf>
    <xf numFmtId="183" fontId="28" fillId="0" borderId="10" xfId="0" applyNumberFormat="1" applyFont="1" applyBorder="1" applyAlignment="1">
      <alignment horizontal="center" vertical="center"/>
    </xf>
    <xf numFmtId="184" fontId="7" fillId="0" borderId="9" xfId="0" applyNumberFormat="1" applyFont="1" applyBorder="1" applyAlignment="1">
      <alignment horizontal="center" vertical="center" shrinkToFit="1"/>
    </xf>
    <xf numFmtId="184" fontId="7" fillId="0" borderId="10" xfId="0" applyNumberFormat="1"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12" xfId="0" applyFont="1" applyBorder="1" applyAlignment="1">
      <alignment horizontal="center" vertical="center" shrinkToFit="1"/>
    </xf>
    <xf numFmtId="1" fontId="20" fillId="4" borderId="7" xfId="0" applyNumberFormat="1" applyFont="1" applyFill="1" applyBorder="1" applyAlignment="1">
      <alignment horizontal="center" vertical="center"/>
    </xf>
    <xf numFmtId="1" fontId="38" fillId="4" borderId="7" xfId="0" applyNumberFormat="1" applyFont="1" applyFill="1" applyBorder="1" applyAlignment="1">
      <alignment horizontal="center" vertical="center"/>
    </xf>
    <xf numFmtId="0" fontId="20" fillId="4" borderId="7" xfId="0" applyFont="1" applyFill="1" applyBorder="1" applyAlignment="1">
      <alignment horizontal="left" vertical="center"/>
    </xf>
    <xf numFmtId="1" fontId="32" fillId="0" borderId="8" xfId="0" applyNumberFormat="1" applyFont="1" applyBorder="1" applyAlignment="1">
      <alignment horizontal="center" vertical="center"/>
    </xf>
    <xf numFmtId="1" fontId="39" fillId="0" borderId="8" xfId="0" applyNumberFormat="1" applyFont="1" applyBorder="1" applyAlignment="1">
      <alignment horizontal="center" vertical="center"/>
    </xf>
    <xf numFmtId="0" fontId="37" fillId="0" borderId="13" xfId="0" applyFont="1" applyBorder="1" applyAlignment="1">
      <alignment horizontal="center" vertical="center"/>
    </xf>
    <xf numFmtId="183" fontId="28" fillId="0" borderId="13" xfId="0" applyNumberFormat="1" applyFont="1" applyBorder="1" applyAlignment="1">
      <alignment horizontal="center" vertical="center"/>
    </xf>
    <xf numFmtId="184" fontId="7" fillId="0" borderId="13" xfId="0" applyNumberFormat="1" applyFont="1" applyBorder="1" applyAlignment="1">
      <alignment horizontal="center" vertical="center" shrinkToFit="1"/>
    </xf>
    <xf numFmtId="0" fontId="20" fillId="0" borderId="14" xfId="0" applyFont="1" applyBorder="1" applyAlignment="1">
      <alignment horizontal="center" vertical="center" shrinkToFit="1"/>
    </xf>
    <xf numFmtId="0" fontId="31" fillId="4" borderId="3" xfId="0" applyFont="1" applyFill="1" applyBorder="1" applyAlignment="1">
      <alignment horizontal="left" vertical="center"/>
    </xf>
    <xf numFmtId="0" fontId="31" fillId="4" borderId="3" xfId="0" applyFont="1" applyFill="1" applyBorder="1" applyAlignment="1">
      <alignment vertical="center"/>
    </xf>
    <xf numFmtId="0" fontId="20" fillId="4" borderId="3" xfId="0" applyFont="1" applyFill="1" applyBorder="1" applyAlignment="1">
      <alignment horizontal="center" vertical="center"/>
    </xf>
    <xf numFmtId="182" fontId="20" fillId="4" borderId="3" xfId="0" applyNumberFormat="1" applyFont="1" applyFill="1" applyBorder="1" applyAlignment="1">
      <alignment horizontal="center" vertical="center"/>
    </xf>
    <xf numFmtId="1" fontId="20" fillId="4" borderId="3" xfId="3" applyNumberFormat="1" applyFont="1" applyFill="1" applyBorder="1" applyAlignment="1" applyProtection="1">
      <alignment horizontal="center" vertical="center"/>
    </xf>
    <xf numFmtId="9" fontId="20" fillId="4" borderId="3" xfId="3" applyFont="1" applyFill="1" applyBorder="1" applyAlignment="1" applyProtection="1">
      <alignment horizontal="center" vertical="center"/>
    </xf>
    <xf numFmtId="0" fontId="40" fillId="0" borderId="0" xfId="0" applyFont="1" applyAlignment="1">
      <alignment vertical="center" wrapText="1"/>
    </xf>
    <xf numFmtId="1" fontId="20" fillId="4" borderId="3" xfId="0" applyNumberFormat="1" applyFont="1" applyFill="1" applyBorder="1" applyAlignment="1">
      <alignment horizontal="center" vertical="center"/>
    </xf>
    <xf numFmtId="1" fontId="38" fillId="4" borderId="3" xfId="0" applyNumberFormat="1" applyFont="1" applyFill="1" applyBorder="1" applyAlignment="1">
      <alignment horizontal="center" vertical="center"/>
    </xf>
    <xf numFmtId="0" fontId="20" fillId="4" borderId="3" xfId="0" applyFont="1" applyFill="1" applyBorder="1" applyAlignment="1">
      <alignment horizontal="left" vertical="center"/>
    </xf>
    <xf numFmtId="0" fontId="10" fillId="0" borderId="0" xfId="0" applyFont="1" applyAlignment="1" quotePrefix="1">
      <alignment horizontal="left" wrapText="1" indent="1"/>
    </xf>
    <xf numFmtId="0" fontId="10"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ont>
        <color theme="0"/>
      </font>
      <fill>
        <patternFill patternType="solid">
          <bgColor theme="5"/>
        </patternFill>
      </fill>
    </dxf>
    <dxf>
      <border>
        <left style="thin">
          <color rgb="FFC00000"/>
        </left>
        <right style="thin">
          <color rgb="FFC00000"/>
        </right>
      </border>
    </dxf>
    <dxf>
      <fill>
        <patternFill patternType="solid">
          <bgColor theme="0" tint="-0.499984740745262"/>
        </patternFill>
      </fill>
    </dxf>
    <dxf>
      <fill>
        <patternFill patternType="solid">
          <bgColor rgb="FF0070C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customStorage/customStorage.xml><?xml version="1.0" encoding="utf-8"?>
<customStorage xmlns="https://web.wps.cn/et/2018/main">
  <book/>
  <sheets/>
</customStorag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809625</xdr:colOff>
      <xdr:row>5</xdr:row>
      <xdr:rowOff>142875</xdr:rowOff>
    </xdr:from>
    <xdr:to>
      <xdr:col>7</xdr:col>
      <xdr:colOff>400050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89439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05"/>
  <sheetViews>
    <sheetView showGridLines="0" tabSelected="1" workbookViewId="0">
      <pane ySplit="7" topLeftCell="A11" activePane="bottomLeft" state="frozen"/>
      <selection/>
      <selection pane="bottomLeft" activeCell="E17" sqref="E17"/>
    </sheetView>
  </sheetViews>
  <sheetFormatPr defaultColWidth="9.14285714285714" defaultRowHeight="12.75"/>
  <cols>
    <col min="1" max="1" width="6.85714285714286" customWidth="1"/>
    <col min="2" max="2" width="55.2857142857143"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31">
      <c r="A1" s="48" t="s">
        <v>0</v>
      </c>
      <c r="B1" s="49"/>
      <c r="C1" s="49"/>
      <c r="D1" s="49"/>
      <c r="E1" s="49"/>
      <c r="F1" s="49"/>
      <c r="I1" s="83"/>
      <c r="K1" s="84"/>
      <c r="L1" s="84"/>
      <c r="M1" s="84"/>
      <c r="N1" s="84"/>
      <c r="O1" s="84"/>
      <c r="P1" s="84"/>
      <c r="Q1" s="84"/>
      <c r="R1" s="84"/>
      <c r="S1" s="84"/>
      <c r="T1" s="84"/>
      <c r="U1" s="84"/>
      <c r="V1" s="84"/>
      <c r="W1" s="84"/>
      <c r="X1" s="84"/>
      <c r="Y1" s="84"/>
      <c r="Z1" s="84"/>
      <c r="AA1" s="84"/>
      <c r="AB1" s="84"/>
      <c r="AC1" s="84"/>
      <c r="AD1" s="84"/>
      <c r="AE1" s="84"/>
    </row>
    <row r="2" ht="18" customHeight="1" spans="1:8">
      <c r="A2" s="50"/>
      <c r="B2" s="51"/>
      <c r="C2" s="51"/>
      <c r="D2" s="52"/>
      <c r="E2" s="53"/>
      <c r="F2" s="53"/>
      <c r="H2" s="54"/>
    </row>
    <row r="3" ht="14.25" spans="1:27">
      <c r="A3" s="50"/>
      <c r="H3" s="54"/>
      <c r="K3" s="85"/>
      <c r="L3" s="85"/>
      <c r="M3" s="85"/>
      <c r="N3" s="85"/>
      <c r="O3" s="85"/>
      <c r="P3" s="85"/>
      <c r="Q3" s="85"/>
      <c r="R3" s="85"/>
      <c r="S3" s="85"/>
      <c r="T3" s="85"/>
      <c r="U3" s="85"/>
      <c r="V3" s="85"/>
      <c r="W3" s="85"/>
      <c r="X3" s="85"/>
      <c r="Y3" s="85"/>
      <c r="Z3" s="85"/>
      <c r="AA3" s="85"/>
    </row>
    <row r="4" ht="17.25" customHeight="1" spans="1:66">
      <c r="A4" s="55"/>
      <c r="B4" s="56" t="s">
        <v>1</v>
      </c>
      <c r="C4" s="57">
        <v>45986</v>
      </c>
      <c r="D4" s="57"/>
      <c r="E4" s="57"/>
      <c r="F4" s="55"/>
      <c r="G4" s="56" t="s">
        <v>2</v>
      </c>
      <c r="H4" s="58">
        <v>1</v>
      </c>
      <c r="J4" s="55"/>
      <c r="K4" s="86" t="str">
        <f>"Week "&amp;(K6-($C$4-WEEKDAY($C$4,1)+2))/7+1</f>
        <v>Week 1</v>
      </c>
      <c r="L4" s="87"/>
      <c r="M4" s="87"/>
      <c r="N4" s="87"/>
      <c r="O4" s="87"/>
      <c r="P4" s="87"/>
      <c r="Q4" s="99"/>
      <c r="R4" s="86" t="str">
        <f>"Week "&amp;(R6-($C$4-WEEKDAY($C$4,1)+2))/7+1</f>
        <v>Week 2</v>
      </c>
      <c r="S4" s="87"/>
      <c r="T4" s="87"/>
      <c r="U4" s="87"/>
      <c r="V4" s="87"/>
      <c r="W4" s="87"/>
      <c r="X4" s="99"/>
      <c r="Y4" s="86" t="str">
        <f>"Week "&amp;(Y6-($C$4-WEEKDAY($C$4,1)+2))/7+1</f>
        <v>Week 3</v>
      </c>
      <c r="Z4" s="87"/>
      <c r="AA4" s="87"/>
      <c r="AB4" s="87"/>
      <c r="AC4" s="87"/>
      <c r="AD4" s="87"/>
      <c r="AE4" s="99"/>
      <c r="AF4" s="86" t="str">
        <f>"Week "&amp;(AF6-($C$4-WEEKDAY($C$4,1)+2))/7+1</f>
        <v>Week 4</v>
      </c>
      <c r="AG4" s="87"/>
      <c r="AH4" s="87"/>
      <c r="AI4" s="87"/>
      <c r="AJ4" s="87"/>
      <c r="AK4" s="87"/>
      <c r="AL4" s="99"/>
      <c r="AM4" s="86" t="str">
        <f>"Week "&amp;(AM6-($C$4-WEEKDAY($C$4,1)+2))/7+1</f>
        <v>Week 5</v>
      </c>
      <c r="AN4" s="87"/>
      <c r="AO4" s="87"/>
      <c r="AP4" s="87"/>
      <c r="AQ4" s="87"/>
      <c r="AR4" s="87"/>
      <c r="AS4" s="99"/>
      <c r="AT4" s="86" t="str">
        <f>"Week "&amp;(AT6-($C$4-WEEKDAY($C$4,1)+2))/7+1</f>
        <v>Week 6</v>
      </c>
      <c r="AU4" s="87"/>
      <c r="AV4" s="87"/>
      <c r="AW4" s="87"/>
      <c r="AX4" s="87"/>
      <c r="AY4" s="87"/>
      <c r="AZ4" s="99"/>
      <c r="BA4" s="86" t="str">
        <f>"Week "&amp;(BA6-($C$4-WEEKDAY($C$4,1)+2))/7+1</f>
        <v>Week 7</v>
      </c>
      <c r="BB4" s="87"/>
      <c r="BC4" s="87"/>
      <c r="BD4" s="87"/>
      <c r="BE4" s="87"/>
      <c r="BF4" s="87"/>
      <c r="BG4" s="99"/>
      <c r="BH4" s="86" t="str">
        <f>"Week "&amp;(BH6-($C$4-WEEKDAY($C$4,1)+2))/7+1</f>
        <v>Week 8</v>
      </c>
      <c r="BI4" s="87"/>
      <c r="BJ4" s="87"/>
      <c r="BK4" s="87"/>
      <c r="BL4" s="87"/>
      <c r="BM4" s="87"/>
      <c r="BN4" s="99"/>
    </row>
    <row r="5" ht="17.25" customHeight="1" spans="1:66">
      <c r="A5" s="55"/>
      <c r="B5" s="56" t="s">
        <v>3</v>
      </c>
      <c r="C5" s="59" t="s">
        <v>4</v>
      </c>
      <c r="D5" s="59"/>
      <c r="E5" s="59"/>
      <c r="F5" s="55"/>
      <c r="G5" s="55"/>
      <c r="H5" s="55"/>
      <c r="I5" s="55"/>
      <c r="J5" s="55"/>
      <c r="K5" s="88">
        <f>K6</f>
        <v>45985</v>
      </c>
      <c r="L5" s="89"/>
      <c r="M5" s="89"/>
      <c r="N5" s="89"/>
      <c r="O5" s="89"/>
      <c r="P5" s="89"/>
      <c r="Q5" s="100"/>
      <c r="R5" s="88">
        <f>R6</f>
        <v>45992</v>
      </c>
      <c r="S5" s="89"/>
      <c r="T5" s="89"/>
      <c r="U5" s="89"/>
      <c r="V5" s="89"/>
      <c r="W5" s="89"/>
      <c r="X5" s="100"/>
      <c r="Y5" s="88">
        <f>Y6</f>
        <v>45999</v>
      </c>
      <c r="Z5" s="89"/>
      <c r="AA5" s="89"/>
      <c r="AB5" s="89"/>
      <c r="AC5" s="89"/>
      <c r="AD5" s="89"/>
      <c r="AE5" s="100"/>
      <c r="AF5" s="88">
        <f>AF6</f>
        <v>46006</v>
      </c>
      <c r="AG5" s="89"/>
      <c r="AH5" s="89"/>
      <c r="AI5" s="89"/>
      <c r="AJ5" s="89"/>
      <c r="AK5" s="89"/>
      <c r="AL5" s="100"/>
      <c r="AM5" s="88">
        <f>AM6</f>
        <v>46013</v>
      </c>
      <c r="AN5" s="89"/>
      <c r="AO5" s="89"/>
      <c r="AP5" s="89"/>
      <c r="AQ5" s="89"/>
      <c r="AR5" s="89"/>
      <c r="AS5" s="100"/>
      <c r="AT5" s="88">
        <f>AT6</f>
        <v>46020</v>
      </c>
      <c r="AU5" s="89"/>
      <c r="AV5" s="89"/>
      <c r="AW5" s="89"/>
      <c r="AX5" s="89"/>
      <c r="AY5" s="89"/>
      <c r="AZ5" s="100"/>
      <c r="BA5" s="88">
        <f>BA6</f>
        <v>46027</v>
      </c>
      <c r="BB5" s="89"/>
      <c r="BC5" s="89"/>
      <c r="BD5" s="89"/>
      <c r="BE5" s="89"/>
      <c r="BF5" s="89"/>
      <c r="BG5" s="100"/>
      <c r="BH5" s="88">
        <f>BH6</f>
        <v>46034</v>
      </c>
      <c r="BI5" s="89"/>
      <c r="BJ5" s="89"/>
      <c r="BK5" s="89"/>
      <c r="BL5" s="89"/>
      <c r="BM5" s="89"/>
      <c r="BN5" s="100"/>
    </row>
    <row r="6" spans="1:66">
      <c r="A6" s="55"/>
      <c r="B6" s="55"/>
      <c r="C6" s="55"/>
      <c r="D6" s="55"/>
      <c r="E6" s="55"/>
      <c r="F6" s="55"/>
      <c r="G6" s="55"/>
      <c r="H6" s="55"/>
      <c r="I6" s="55"/>
      <c r="J6" s="55"/>
      <c r="K6" s="90">
        <f>C4-WEEKDAY(C4,1)+2+7*(H4-1)</f>
        <v>45985</v>
      </c>
      <c r="L6" s="91">
        <f t="shared" ref="L6:AQ6" si="0">K6+1</f>
        <v>45986</v>
      </c>
      <c r="M6" s="91">
        <f t="shared" si="0"/>
        <v>45987</v>
      </c>
      <c r="N6" s="91">
        <f t="shared" si="0"/>
        <v>45988</v>
      </c>
      <c r="O6" s="91">
        <f t="shared" si="0"/>
        <v>45989</v>
      </c>
      <c r="P6" s="91">
        <f t="shared" si="0"/>
        <v>45990</v>
      </c>
      <c r="Q6" s="101">
        <f t="shared" si="0"/>
        <v>45991</v>
      </c>
      <c r="R6" s="90">
        <f t="shared" si="0"/>
        <v>45992</v>
      </c>
      <c r="S6" s="91">
        <f t="shared" si="0"/>
        <v>45993</v>
      </c>
      <c r="T6" s="91">
        <f t="shared" si="0"/>
        <v>45994</v>
      </c>
      <c r="U6" s="91">
        <f t="shared" si="0"/>
        <v>45995</v>
      </c>
      <c r="V6" s="91">
        <f t="shared" si="0"/>
        <v>45996</v>
      </c>
      <c r="W6" s="91">
        <f t="shared" si="0"/>
        <v>45997</v>
      </c>
      <c r="X6" s="101">
        <f t="shared" si="0"/>
        <v>45998</v>
      </c>
      <c r="Y6" s="90">
        <f t="shared" si="0"/>
        <v>45999</v>
      </c>
      <c r="Z6" s="91">
        <f t="shared" si="0"/>
        <v>46000</v>
      </c>
      <c r="AA6" s="91">
        <f t="shared" si="0"/>
        <v>46001</v>
      </c>
      <c r="AB6" s="91">
        <f t="shared" si="0"/>
        <v>46002</v>
      </c>
      <c r="AC6" s="91">
        <f t="shared" si="0"/>
        <v>46003</v>
      </c>
      <c r="AD6" s="91">
        <f t="shared" si="0"/>
        <v>46004</v>
      </c>
      <c r="AE6" s="101">
        <f t="shared" si="0"/>
        <v>46005</v>
      </c>
      <c r="AF6" s="90">
        <f t="shared" si="0"/>
        <v>46006</v>
      </c>
      <c r="AG6" s="91">
        <f t="shared" si="0"/>
        <v>46007</v>
      </c>
      <c r="AH6" s="91">
        <f t="shared" si="0"/>
        <v>46008</v>
      </c>
      <c r="AI6" s="91">
        <f t="shared" si="0"/>
        <v>46009</v>
      </c>
      <c r="AJ6" s="91">
        <f t="shared" si="0"/>
        <v>46010</v>
      </c>
      <c r="AK6" s="91">
        <f t="shared" si="0"/>
        <v>46011</v>
      </c>
      <c r="AL6" s="101">
        <f t="shared" si="0"/>
        <v>46012</v>
      </c>
      <c r="AM6" s="90">
        <f t="shared" si="0"/>
        <v>46013</v>
      </c>
      <c r="AN6" s="91">
        <f t="shared" si="0"/>
        <v>46014</v>
      </c>
      <c r="AO6" s="91">
        <f t="shared" si="0"/>
        <v>46015</v>
      </c>
      <c r="AP6" s="91">
        <f t="shared" si="0"/>
        <v>46016</v>
      </c>
      <c r="AQ6" s="91">
        <f t="shared" si="0"/>
        <v>46017</v>
      </c>
      <c r="AR6" s="91">
        <f t="shared" ref="AR6:BN6" si="1">AQ6+1</f>
        <v>46018</v>
      </c>
      <c r="AS6" s="101">
        <f t="shared" si="1"/>
        <v>46019</v>
      </c>
      <c r="AT6" s="90">
        <f t="shared" si="1"/>
        <v>46020</v>
      </c>
      <c r="AU6" s="91">
        <f t="shared" si="1"/>
        <v>46021</v>
      </c>
      <c r="AV6" s="91">
        <f t="shared" si="1"/>
        <v>46022</v>
      </c>
      <c r="AW6" s="91">
        <f t="shared" si="1"/>
        <v>46023</v>
      </c>
      <c r="AX6" s="91">
        <f t="shared" si="1"/>
        <v>46024</v>
      </c>
      <c r="AY6" s="91">
        <f t="shared" si="1"/>
        <v>46025</v>
      </c>
      <c r="AZ6" s="101">
        <f t="shared" si="1"/>
        <v>46026</v>
      </c>
      <c r="BA6" s="90">
        <f t="shared" si="1"/>
        <v>46027</v>
      </c>
      <c r="BB6" s="91">
        <f t="shared" si="1"/>
        <v>46028</v>
      </c>
      <c r="BC6" s="91">
        <f t="shared" si="1"/>
        <v>46029</v>
      </c>
      <c r="BD6" s="91">
        <f t="shared" si="1"/>
        <v>46030</v>
      </c>
      <c r="BE6" s="91">
        <f t="shared" si="1"/>
        <v>46031</v>
      </c>
      <c r="BF6" s="91">
        <f t="shared" si="1"/>
        <v>46032</v>
      </c>
      <c r="BG6" s="101">
        <f t="shared" si="1"/>
        <v>46033</v>
      </c>
      <c r="BH6" s="90">
        <f t="shared" si="1"/>
        <v>46034</v>
      </c>
      <c r="BI6" s="91">
        <f t="shared" si="1"/>
        <v>46035</v>
      </c>
      <c r="BJ6" s="91">
        <f t="shared" si="1"/>
        <v>46036</v>
      </c>
      <c r="BK6" s="91">
        <f t="shared" si="1"/>
        <v>46037</v>
      </c>
      <c r="BL6" s="91">
        <f t="shared" si="1"/>
        <v>46038</v>
      </c>
      <c r="BM6" s="91">
        <f t="shared" si="1"/>
        <v>46039</v>
      </c>
      <c r="BN6" s="101">
        <f t="shared" si="1"/>
        <v>46040</v>
      </c>
    </row>
    <row r="7" ht="24.75" spans="1:66">
      <c r="A7" s="60" t="s">
        <v>5</v>
      </c>
      <c r="B7" s="60" t="s">
        <v>6</v>
      </c>
      <c r="C7" s="61" t="s">
        <v>7</v>
      </c>
      <c r="D7" s="62" t="s">
        <v>8</v>
      </c>
      <c r="E7" s="63" t="s">
        <v>9</v>
      </c>
      <c r="F7" s="63" t="s">
        <v>10</v>
      </c>
      <c r="G7" s="61" t="s">
        <v>11</v>
      </c>
      <c r="H7" s="61" t="s">
        <v>12</v>
      </c>
      <c r="I7" s="61" t="s">
        <v>13</v>
      </c>
      <c r="J7" s="61"/>
      <c r="K7" s="92" t="str">
        <f t="shared" ref="K7:AP7" si="2">CHOOSE(WEEKDAY(K6,1),"S","M","T","W","T","F","S")</f>
        <v>M</v>
      </c>
      <c r="L7" s="93" t="str">
        <f t="shared" si="2"/>
        <v>T</v>
      </c>
      <c r="M7" s="93" t="str">
        <f t="shared" si="2"/>
        <v>W</v>
      </c>
      <c r="N7" s="93" t="str">
        <f t="shared" si="2"/>
        <v>T</v>
      </c>
      <c r="O7" s="93" t="str">
        <f t="shared" si="2"/>
        <v>F</v>
      </c>
      <c r="P7" s="93" t="str">
        <f t="shared" si="2"/>
        <v>S</v>
      </c>
      <c r="Q7" s="102" t="str">
        <f t="shared" si="2"/>
        <v>S</v>
      </c>
      <c r="R7" s="92" t="str">
        <f t="shared" si="2"/>
        <v>M</v>
      </c>
      <c r="S7" s="93" t="str">
        <f t="shared" si="2"/>
        <v>T</v>
      </c>
      <c r="T7" s="93" t="str">
        <f t="shared" si="2"/>
        <v>W</v>
      </c>
      <c r="U7" s="93" t="str">
        <f t="shared" si="2"/>
        <v>T</v>
      </c>
      <c r="V7" s="93" t="str">
        <f t="shared" si="2"/>
        <v>F</v>
      </c>
      <c r="W7" s="93" t="str">
        <f t="shared" si="2"/>
        <v>S</v>
      </c>
      <c r="X7" s="102" t="str">
        <f t="shared" si="2"/>
        <v>S</v>
      </c>
      <c r="Y7" s="92" t="str">
        <f t="shared" si="2"/>
        <v>M</v>
      </c>
      <c r="Z7" s="93" t="str">
        <f t="shared" si="2"/>
        <v>T</v>
      </c>
      <c r="AA7" s="93" t="str">
        <f t="shared" si="2"/>
        <v>W</v>
      </c>
      <c r="AB7" s="93" t="str">
        <f t="shared" si="2"/>
        <v>T</v>
      </c>
      <c r="AC7" s="93" t="str">
        <f t="shared" si="2"/>
        <v>F</v>
      </c>
      <c r="AD7" s="93" t="str">
        <f t="shared" si="2"/>
        <v>S</v>
      </c>
      <c r="AE7" s="102" t="str">
        <f t="shared" si="2"/>
        <v>S</v>
      </c>
      <c r="AF7" s="92" t="str">
        <f t="shared" si="2"/>
        <v>M</v>
      </c>
      <c r="AG7" s="93" t="str">
        <f t="shared" si="2"/>
        <v>T</v>
      </c>
      <c r="AH7" s="93" t="str">
        <f t="shared" si="2"/>
        <v>W</v>
      </c>
      <c r="AI7" s="93" t="str">
        <f t="shared" si="2"/>
        <v>T</v>
      </c>
      <c r="AJ7" s="93" t="str">
        <f t="shared" si="2"/>
        <v>F</v>
      </c>
      <c r="AK7" s="93" t="str">
        <f t="shared" si="2"/>
        <v>S</v>
      </c>
      <c r="AL7" s="102" t="str">
        <f t="shared" si="2"/>
        <v>S</v>
      </c>
      <c r="AM7" s="92" t="str">
        <f t="shared" si="2"/>
        <v>M</v>
      </c>
      <c r="AN7" s="93" t="str">
        <f t="shared" si="2"/>
        <v>T</v>
      </c>
      <c r="AO7" s="93" t="str">
        <f t="shared" si="2"/>
        <v>W</v>
      </c>
      <c r="AP7" s="93" t="str">
        <f t="shared" si="2"/>
        <v>T</v>
      </c>
      <c r="AQ7" s="93" t="str">
        <f t="shared" ref="AQ7:BN7" si="3">CHOOSE(WEEKDAY(AQ6,1),"S","M","T","W","T","F","S")</f>
        <v>F</v>
      </c>
      <c r="AR7" s="93" t="str">
        <f t="shared" si="3"/>
        <v>S</v>
      </c>
      <c r="AS7" s="102" t="str">
        <f t="shared" si="3"/>
        <v>S</v>
      </c>
      <c r="AT7" s="92" t="str">
        <f t="shared" si="3"/>
        <v>M</v>
      </c>
      <c r="AU7" s="93" t="str">
        <f t="shared" si="3"/>
        <v>T</v>
      </c>
      <c r="AV7" s="93" t="str">
        <f t="shared" si="3"/>
        <v>W</v>
      </c>
      <c r="AW7" s="93" t="str">
        <f t="shared" si="3"/>
        <v>T</v>
      </c>
      <c r="AX7" s="93" t="str">
        <f t="shared" si="3"/>
        <v>F</v>
      </c>
      <c r="AY7" s="93" t="str">
        <f t="shared" si="3"/>
        <v>S</v>
      </c>
      <c r="AZ7" s="102" t="str">
        <f t="shared" si="3"/>
        <v>S</v>
      </c>
      <c r="BA7" s="92" t="str">
        <f t="shared" si="3"/>
        <v>M</v>
      </c>
      <c r="BB7" s="93" t="str">
        <f t="shared" si="3"/>
        <v>T</v>
      </c>
      <c r="BC7" s="93" t="str">
        <f t="shared" si="3"/>
        <v>W</v>
      </c>
      <c r="BD7" s="93" t="str">
        <f t="shared" si="3"/>
        <v>T</v>
      </c>
      <c r="BE7" s="93" t="str">
        <f t="shared" si="3"/>
        <v>F</v>
      </c>
      <c r="BF7" s="93" t="str">
        <f t="shared" si="3"/>
        <v>S</v>
      </c>
      <c r="BG7" s="102" t="str">
        <f t="shared" si="3"/>
        <v>S</v>
      </c>
      <c r="BH7" s="92" t="str">
        <f t="shared" si="3"/>
        <v>M</v>
      </c>
      <c r="BI7" s="93" t="str">
        <f t="shared" si="3"/>
        <v>T</v>
      </c>
      <c r="BJ7" s="93" t="str">
        <f t="shared" si="3"/>
        <v>W</v>
      </c>
      <c r="BK7" s="93" t="str">
        <f t="shared" si="3"/>
        <v>T</v>
      </c>
      <c r="BL7" s="93" t="str">
        <f t="shared" si="3"/>
        <v>F</v>
      </c>
      <c r="BM7" s="93" t="str">
        <f t="shared" si="3"/>
        <v>S</v>
      </c>
      <c r="BN7" s="102" t="str">
        <f t="shared" si="3"/>
        <v>S</v>
      </c>
    </row>
    <row r="8" s="46" customFormat="1" ht="18" spans="1:66">
      <c r="A8" s="64" t="str">
        <f>IF(ISERROR(VALUE(SUBSTITUTE(prevWBS,".",""))),"1",IF(ISERROR(FIND("`",SUBSTITUTE(prevWBS,".","`",1))),TEXT(VALUE(prevWBS)+1,"#"),TEXT(VALUE(LEFT(prevWBS,FIND("`",SUBSTITUTE(prevWBS,".","`",1))-1))+1,"#")))</f>
        <v>1</v>
      </c>
      <c r="B8" s="65" t="s">
        <v>14</v>
      </c>
      <c r="C8" s="66"/>
      <c r="D8" s="67"/>
      <c r="E8" s="68"/>
      <c r="F8" s="69" t="str">
        <f t="shared" ref="F8:F24" si="4">IF(ISBLANK(E8)," - ",IF(G8=0,E8,E8+G8-1))</f>
        <v> - </v>
      </c>
      <c r="G8" s="70"/>
      <c r="H8" s="71"/>
      <c r="I8" s="94" t="str">
        <f t="shared" ref="I8:I71" si="5">IF(OR(F8=0,E8=0)," - ",NETWORKDAYS(E8,F8))</f>
        <v> - </v>
      </c>
      <c r="J8" s="95"/>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row>
    <row r="9" s="47" customFormat="1" ht="18" spans="1:66">
      <c r="A9" s="72" t="str">
        <f t="shared" ref="A9:A46"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3" t="s">
        <v>15</v>
      </c>
      <c r="C9" s="47" t="s">
        <v>16</v>
      </c>
      <c r="D9" s="74"/>
      <c r="E9" s="75">
        <v>45987</v>
      </c>
      <c r="F9" s="76">
        <f t="shared" si="4"/>
        <v>45987</v>
      </c>
      <c r="G9" s="77">
        <v>1</v>
      </c>
      <c r="H9" s="78">
        <v>1</v>
      </c>
      <c r="I9" s="97">
        <f t="shared" si="5"/>
        <v>1</v>
      </c>
      <c r="J9" s="98"/>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row>
    <row r="10" s="47" customFormat="1" ht="18" spans="1:66">
      <c r="A10" s="72" t="str">
        <f t="shared" si="6"/>
        <v>1.2</v>
      </c>
      <c r="B10" s="73" t="s">
        <v>17</v>
      </c>
      <c r="C10" s="47" t="s">
        <v>16</v>
      </c>
      <c r="D10" s="74"/>
      <c r="E10" s="75">
        <v>45988</v>
      </c>
      <c r="F10" s="76">
        <f t="shared" si="4"/>
        <v>46054</v>
      </c>
      <c r="G10" s="77">
        <v>67</v>
      </c>
      <c r="H10" s="78">
        <v>0.3</v>
      </c>
      <c r="I10" s="97">
        <f t="shared" si="5"/>
        <v>47</v>
      </c>
      <c r="J10" s="98"/>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row>
    <row r="11" s="47" customFormat="1" ht="18" spans="1:66">
      <c r="A11" s="72" t="str">
        <f t="shared" si="6"/>
        <v>1.3</v>
      </c>
      <c r="B11" s="73" t="s">
        <v>18</v>
      </c>
      <c r="C11" s="47" t="s">
        <v>16</v>
      </c>
      <c r="D11" s="74"/>
      <c r="E11" s="75">
        <v>45995</v>
      </c>
      <c r="F11" s="76">
        <f t="shared" si="4"/>
        <v>46001</v>
      </c>
      <c r="G11" s="77">
        <v>7</v>
      </c>
      <c r="H11" s="78">
        <v>1</v>
      </c>
      <c r="I11" s="97">
        <f t="shared" ref="I11:I24" si="7">IF(OR(F11=0,E11=0)," - ",NETWORKDAYS(E11,F11))</f>
        <v>5</v>
      </c>
      <c r="J11" s="98"/>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row>
    <row r="12" s="47" customFormat="1" ht="18" spans="1:66">
      <c r="A12" s="72" t="str">
        <f t="shared" si="6"/>
        <v>1.4</v>
      </c>
      <c r="B12" s="73" t="s">
        <v>19</v>
      </c>
      <c r="C12" s="47" t="s">
        <v>20</v>
      </c>
      <c r="D12" s="74"/>
      <c r="E12" s="75">
        <v>46009</v>
      </c>
      <c r="F12" s="76">
        <f t="shared" si="4"/>
        <v>46014</v>
      </c>
      <c r="G12" s="77">
        <v>6</v>
      </c>
      <c r="H12" s="78">
        <v>1</v>
      </c>
      <c r="I12" s="97">
        <f t="shared" si="7"/>
        <v>4</v>
      </c>
      <c r="J12" s="98"/>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row>
    <row r="13" s="47" customFormat="1" ht="18" spans="1:66">
      <c r="A13" s="72" t="str">
        <f t="shared" si="6"/>
        <v>1.5</v>
      </c>
      <c r="B13" s="79" t="s">
        <v>21</v>
      </c>
      <c r="C13" s="80" t="s">
        <v>16</v>
      </c>
      <c r="D13" s="74"/>
      <c r="E13" s="75">
        <v>46021</v>
      </c>
      <c r="F13" s="76">
        <f t="shared" ref="F13" si="8">IF(ISBLANK(E13)," - ",IF(G13=0,E13,E13+G13-1))</f>
        <v>46021</v>
      </c>
      <c r="G13" s="77">
        <v>1</v>
      </c>
      <c r="H13" s="78">
        <v>1</v>
      </c>
      <c r="I13" s="97">
        <f t="shared" ref="I13" si="9">IF(OR(F13=0,E13=0)," - ",NETWORKDAYS(E13,F13))</f>
        <v>1</v>
      </c>
      <c r="J13" s="98"/>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row>
    <row r="14" s="47" customFormat="1" ht="18" spans="1:66">
      <c r="A14" s="72" t="str">
        <f t="shared" si="6"/>
        <v>1.6</v>
      </c>
      <c r="B14" s="73" t="s">
        <v>22</v>
      </c>
      <c r="C14" s="47" t="s">
        <v>20</v>
      </c>
      <c r="D14" s="74"/>
      <c r="E14" s="75">
        <v>46021</v>
      </c>
      <c r="F14" s="76">
        <f t="shared" ref="F14" si="10">IF(ISBLANK(E14)," - ",IF(G14=0,E14,E14+G14-1))</f>
        <v>46030</v>
      </c>
      <c r="G14" s="77">
        <v>10</v>
      </c>
      <c r="H14" s="78">
        <v>0</v>
      </c>
      <c r="I14" s="97">
        <f t="shared" ref="I14" si="11">IF(OR(F14=0,E14=0)," - ",NETWORKDAYS(E14,F14))</f>
        <v>8</v>
      </c>
      <c r="J14" s="98"/>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row>
    <row r="15" s="47" customFormat="1" ht="18" spans="1:66">
      <c r="A15" s="72" t="str">
        <f t="shared" si="6"/>
        <v>1.7</v>
      </c>
      <c r="B15" s="73" t="s">
        <v>23</v>
      </c>
      <c r="C15" s="47" t="s">
        <v>16</v>
      </c>
      <c r="D15" s="74"/>
      <c r="E15" s="75">
        <v>46028</v>
      </c>
      <c r="F15" s="76">
        <f t="shared" ref="F15" si="12">IF(ISBLANK(E15)," - ",IF(G15=0,E15,E15+G15-1))</f>
        <v>46030</v>
      </c>
      <c r="G15" s="77">
        <v>3</v>
      </c>
      <c r="H15" s="78">
        <v>0</v>
      </c>
      <c r="I15" s="97">
        <f t="shared" ref="I15" si="13">IF(OR(F15=0,E15=0)," - ",NETWORKDAYS(E15,F15))</f>
        <v>3</v>
      </c>
      <c r="J15" s="98"/>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row>
    <row r="16" s="47" customFormat="1" ht="18" spans="1:66">
      <c r="A16" s="72" t="str">
        <f t="shared" si="6"/>
        <v>1.8</v>
      </c>
      <c r="B16" s="73" t="s">
        <v>24</v>
      </c>
      <c r="C16" s="47" t="s">
        <v>20</v>
      </c>
      <c r="D16" s="74"/>
      <c r="E16" s="75">
        <v>46031</v>
      </c>
      <c r="F16" s="76">
        <f t="shared" si="4"/>
        <v>46040</v>
      </c>
      <c r="G16" s="77">
        <v>10</v>
      </c>
      <c r="H16" s="78">
        <v>0</v>
      </c>
      <c r="I16" s="97">
        <f t="shared" si="7"/>
        <v>6</v>
      </c>
      <c r="J16" s="98"/>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row>
    <row r="17" s="47" customFormat="1" ht="18" spans="1:66">
      <c r="A17" s="72" t="str">
        <f t="shared" si="6"/>
        <v>1.9</v>
      </c>
      <c r="B17" s="73" t="s">
        <v>25</v>
      </c>
      <c r="C17" s="47" t="s">
        <v>16</v>
      </c>
      <c r="D17" s="74"/>
      <c r="E17" s="75"/>
      <c r="F17" s="76" t="str">
        <f t="shared" ref="F17" si="14">IF(ISBLANK(E17)," - ",IF(G17=0,E17,E17+G17-1))</f>
        <v> - </v>
      </c>
      <c r="G17" s="77">
        <v>10</v>
      </c>
      <c r="H17" s="78">
        <v>0</v>
      </c>
      <c r="I17" s="97" t="str">
        <f t="shared" ref="I17" si="15">IF(OR(F17=0,E17=0)," - ",NETWORKDAYS(E17,F17))</f>
        <v> - </v>
      </c>
      <c r="J17" s="98"/>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row>
    <row r="18" s="47" customFormat="1" ht="18" spans="1:66">
      <c r="A18" s="72" t="str">
        <f t="shared" si="6"/>
        <v>1.10</v>
      </c>
      <c r="B18" s="73" t="s">
        <v>26</v>
      </c>
      <c r="C18" s="47" t="s">
        <v>27</v>
      </c>
      <c r="D18" s="74"/>
      <c r="E18" s="75">
        <v>46031</v>
      </c>
      <c r="F18" s="76">
        <f t="shared" ref="F18" si="16">IF(ISBLANK(E18)," - ",IF(G18=0,E18,E18+G18-1))</f>
        <v>46040</v>
      </c>
      <c r="G18" s="77">
        <v>10</v>
      </c>
      <c r="H18" s="78">
        <v>0</v>
      </c>
      <c r="I18" s="97">
        <f t="shared" ref="I18" si="17">IF(OR(F18=0,E18=0)," - ",NETWORKDAYS(E18,F18))</f>
        <v>6</v>
      </c>
      <c r="J18" s="98"/>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row>
    <row r="19" s="47" customFormat="1" ht="24" spans="1:66">
      <c r="A19" s="72" t="str">
        <f t="shared" si="6"/>
        <v>1.11</v>
      </c>
      <c r="B19" s="73" t="s">
        <v>28</v>
      </c>
      <c r="C19" s="47" t="s">
        <v>27</v>
      </c>
      <c r="D19" s="74"/>
      <c r="E19" s="75">
        <v>46031</v>
      </c>
      <c r="F19" s="76">
        <f t="shared" ref="F19" si="18">IF(ISBLANK(E19)," - ",IF(G19=0,E19,E19+G19-1))</f>
        <v>46040</v>
      </c>
      <c r="G19" s="77">
        <v>10</v>
      </c>
      <c r="H19" s="78">
        <v>0</v>
      </c>
      <c r="I19" s="97">
        <f t="shared" ref="I19:I20" si="19">IF(OR(F19=0,E19=0)," - ",NETWORKDAYS(E19,F19))</f>
        <v>6</v>
      </c>
      <c r="J19" s="98"/>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row>
    <row r="20" s="47" customFormat="1" ht="18" spans="1:66">
      <c r="A20" s="72" t="str">
        <f t="shared" si="6"/>
        <v>1.12</v>
      </c>
      <c r="B20" s="81" t="s">
        <v>29</v>
      </c>
      <c r="C20" s="80" t="s">
        <v>27</v>
      </c>
      <c r="D20" s="74"/>
      <c r="E20" s="75">
        <v>45676</v>
      </c>
      <c r="F20" s="76">
        <f t="shared" si="4"/>
        <v>45683</v>
      </c>
      <c r="G20" s="77">
        <v>8</v>
      </c>
      <c r="H20" s="78">
        <v>0</v>
      </c>
      <c r="I20" s="97">
        <f t="shared" si="19"/>
        <v>5</v>
      </c>
      <c r="J20" s="98"/>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row>
    <row r="21" s="47" customFormat="1" ht="18" spans="1:66">
      <c r="A21" s="72" t="str">
        <f t="shared" si="6"/>
        <v>1.13</v>
      </c>
      <c r="B21" s="82" t="s">
        <v>30</v>
      </c>
      <c r="C21" s="47" t="s">
        <v>20</v>
      </c>
      <c r="D21" s="74"/>
      <c r="E21" s="75">
        <v>45676</v>
      </c>
      <c r="F21" s="76">
        <f t="shared" si="4"/>
        <v>45683</v>
      </c>
      <c r="G21" s="77">
        <v>8</v>
      </c>
      <c r="H21" s="78">
        <v>0</v>
      </c>
      <c r="I21" s="97">
        <f t="shared" si="7"/>
        <v>5</v>
      </c>
      <c r="J21" s="98"/>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row>
    <row r="22" s="47" customFormat="1" ht="18" spans="1:66">
      <c r="A22" s="72" t="str">
        <f t="shared" si="6"/>
        <v>1.14</v>
      </c>
      <c r="B22" s="73" t="s">
        <v>31</v>
      </c>
      <c r="C22" s="47" t="s">
        <v>27</v>
      </c>
      <c r="D22" s="74"/>
      <c r="E22" s="75">
        <f t="shared" ref="E22:E46" si="20">F20+1</f>
        <v>45684</v>
      </c>
      <c r="F22" s="76">
        <f t="shared" si="4"/>
        <v>45691</v>
      </c>
      <c r="G22" s="77">
        <v>8</v>
      </c>
      <c r="H22" s="78">
        <v>0</v>
      </c>
      <c r="I22" s="97">
        <f t="shared" si="7"/>
        <v>6</v>
      </c>
      <c r="J22" s="98"/>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row>
    <row r="23" s="47" customFormat="1" ht="18" spans="1:66">
      <c r="A23" s="72" t="str">
        <f t="shared" si="6"/>
        <v>1.15</v>
      </c>
      <c r="B23" s="73" t="s">
        <v>32</v>
      </c>
      <c r="C23" s="47" t="s">
        <v>20</v>
      </c>
      <c r="D23" s="74"/>
      <c r="E23" s="75">
        <f t="shared" si="20"/>
        <v>45684</v>
      </c>
      <c r="F23" s="76">
        <f t="shared" si="4"/>
        <v>45691</v>
      </c>
      <c r="G23" s="77">
        <v>8</v>
      </c>
      <c r="H23" s="78">
        <v>0</v>
      </c>
      <c r="I23" s="97">
        <f t="shared" si="7"/>
        <v>6</v>
      </c>
      <c r="J23" s="98"/>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row>
    <row r="24" s="47" customFormat="1" ht="18" spans="1:66">
      <c r="A24" s="72" t="str">
        <f t="shared" si="6"/>
        <v>1.16</v>
      </c>
      <c r="B24" s="73" t="s">
        <v>33</v>
      </c>
      <c r="C24" s="47" t="s">
        <v>27</v>
      </c>
      <c r="D24" s="74"/>
      <c r="E24" s="75">
        <f t="shared" si="20"/>
        <v>45692</v>
      </c>
      <c r="F24" s="76">
        <f t="shared" si="4"/>
        <v>45699</v>
      </c>
      <c r="G24" s="77">
        <v>8</v>
      </c>
      <c r="H24" s="78">
        <v>0</v>
      </c>
      <c r="I24" s="97">
        <f t="shared" si="7"/>
        <v>6</v>
      </c>
      <c r="J24" s="98"/>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row>
    <row r="25" s="47" customFormat="1" ht="18" spans="1:66">
      <c r="A25" s="72" t="str">
        <f t="shared" si="6"/>
        <v>1.17</v>
      </c>
      <c r="B25" s="73" t="s">
        <v>34</v>
      </c>
      <c r="C25" s="47" t="s">
        <v>20</v>
      </c>
      <c r="D25" s="74"/>
      <c r="E25" s="75">
        <f t="shared" si="20"/>
        <v>45692</v>
      </c>
      <c r="F25" s="76">
        <f t="shared" ref="F25" si="21">IF(ISBLANK(E25)," - ",IF(G25=0,E25,E25+G25-1))</f>
        <v>45699</v>
      </c>
      <c r="G25" s="77">
        <v>8</v>
      </c>
      <c r="H25" s="78">
        <v>0</v>
      </c>
      <c r="I25" s="97">
        <f t="shared" ref="I25" si="22">IF(OR(F25=0,E25=0)," - ",NETWORKDAYS(E25,F25))</f>
        <v>6</v>
      </c>
      <c r="J25" s="98"/>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row>
    <row r="26" s="47" customFormat="1" ht="18" spans="1:66">
      <c r="A26" s="72" t="str">
        <f t="shared" si="6"/>
        <v>1.18</v>
      </c>
      <c r="B26" s="79" t="s">
        <v>35</v>
      </c>
      <c r="C26" s="47" t="s">
        <v>27</v>
      </c>
      <c r="D26" s="74"/>
      <c r="E26" s="75">
        <f t="shared" si="20"/>
        <v>45700</v>
      </c>
      <c r="F26" s="76">
        <f t="shared" ref="F26" si="23">IF(ISBLANK(E26)," - ",IF(G26=0,E26,E26+G26-1))</f>
        <v>45707</v>
      </c>
      <c r="G26" s="77">
        <v>8</v>
      </c>
      <c r="H26" s="78">
        <v>0</v>
      </c>
      <c r="I26" s="97">
        <f t="shared" ref="I26" si="24">IF(OR(F26=0,E26=0)," - ",NETWORKDAYS(E26,F26))</f>
        <v>6</v>
      </c>
      <c r="J26" s="98"/>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row>
    <row r="27" s="47" customFormat="1" ht="18" spans="1:66">
      <c r="A27" s="72" t="str">
        <f t="shared" si="6"/>
        <v>1.19</v>
      </c>
      <c r="B27" s="79" t="s">
        <v>36</v>
      </c>
      <c r="C27" s="47" t="s">
        <v>20</v>
      </c>
      <c r="D27" s="74"/>
      <c r="E27" s="75">
        <f t="shared" si="20"/>
        <v>45700</v>
      </c>
      <c r="F27" s="76">
        <f t="shared" ref="F27:F46" si="25">IF(ISBLANK(E27)," - ",IF(G27=0,E27,E27+G27-1))</f>
        <v>45707</v>
      </c>
      <c r="G27" s="77">
        <v>8</v>
      </c>
      <c r="H27" s="78">
        <v>0</v>
      </c>
      <c r="I27" s="97">
        <f t="shared" ref="I27:I46" si="26">IF(OR(F27=0,E27=0)," - ",NETWORKDAYS(E27,F27))</f>
        <v>6</v>
      </c>
      <c r="J27" s="98"/>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row>
    <row r="28" s="47" customFormat="1" ht="18" spans="1:66">
      <c r="A28" s="72" t="str">
        <f t="shared" si="6"/>
        <v>1.20</v>
      </c>
      <c r="B28" s="79" t="s">
        <v>37</v>
      </c>
      <c r="C28" s="47" t="s">
        <v>27</v>
      </c>
      <c r="D28" s="74"/>
      <c r="E28" s="75">
        <f t="shared" si="20"/>
        <v>45708</v>
      </c>
      <c r="F28" s="76">
        <f t="shared" si="25"/>
        <v>45715</v>
      </c>
      <c r="G28" s="77">
        <v>8</v>
      </c>
      <c r="H28" s="78">
        <v>0</v>
      </c>
      <c r="I28" s="97">
        <f t="shared" si="26"/>
        <v>6</v>
      </c>
      <c r="J28" s="98"/>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row>
    <row r="29" s="47" customFormat="1" ht="18" spans="1:66">
      <c r="A29" s="72" t="str">
        <f t="shared" si="6"/>
        <v>1.21</v>
      </c>
      <c r="B29" s="79" t="s">
        <v>38</v>
      </c>
      <c r="C29" s="47" t="s">
        <v>20</v>
      </c>
      <c r="D29" s="74"/>
      <c r="E29" s="75">
        <f t="shared" si="20"/>
        <v>45708</v>
      </c>
      <c r="F29" s="76">
        <f t="shared" si="25"/>
        <v>45715</v>
      </c>
      <c r="G29" s="77">
        <v>8</v>
      </c>
      <c r="H29" s="78">
        <v>0</v>
      </c>
      <c r="I29" s="97">
        <f t="shared" si="26"/>
        <v>6</v>
      </c>
      <c r="J29" s="98"/>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row>
    <row r="30" s="47" customFormat="1" ht="18" spans="1:66">
      <c r="A30" s="72" t="str">
        <f t="shared" si="6"/>
        <v>1.22</v>
      </c>
      <c r="B30" s="79" t="s">
        <v>39</v>
      </c>
      <c r="C30" s="47" t="s">
        <v>27</v>
      </c>
      <c r="D30" s="74"/>
      <c r="E30" s="75">
        <f t="shared" si="20"/>
        <v>45716</v>
      </c>
      <c r="F30" s="76">
        <f t="shared" si="25"/>
        <v>45723</v>
      </c>
      <c r="G30" s="77">
        <v>8</v>
      </c>
      <c r="H30" s="78">
        <v>0</v>
      </c>
      <c r="I30" s="97">
        <f t="shared" si="26"/>
        <v>6</v>
      </c>
      <c r="J30" s="98"/>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row>
    <row r="31" s="47" customFormat="1" ht="18" spans="1:66">
      <c r="A31" s="72" t="str">
        <f t="shared" si="6"/>
        <v>1.23</v>
      </c>
      <c r="B31" s="79" t="s">
        <v>40</v>
      </c>
      <c r="C31" s="47" t="s">
        <v>20</v>
      </c>
      <c r="D31" s="74"/>
      <c r="E31" s="75">
        <f t="shared" si="20"/>
        <v>45716</v>
      </c>
      <c r="F31" s="76">
        <f t="shared" si="25"/>
        <v>45723</v>
      </c>
      <c r="G31" s="77">
        <v>8</v>
      </c>
      <c r="H31" s="78">
        <v>0</v>
      </c>
      <c r="I31" s="97">
        <f t="shared" si="26"/>
        <v>6</v>
      </c>
      <c r="J31" s="98"/>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row>
    <row r="32" s="47" customFormat="1" ht="18" spans="1:66">
      <c r="A32" s="72" t="str">
        <f t="shared" si="6"/>
        <v>1.24</v>
      </c>
      <c r="B32" s="79" t="s">
        <v>41</v>
      </c>
      <c r="C32" s="47" t="s">
        <v>27</v>
      </c>
      <c r="D32" s="74"/>
      <c r="E32" s="75">
        <f t="shared" si="20"/>
        <v>45724</v>
      </c>
      <c r="F32" s="76">
        <f t="shared" si="25"/>
        <v>45731</v>
      </c>
      <c r="G32" s="77">
        <v>8</v>
      </c>
      <c r="H32" s="78">
        <v>0</v>
      </c>
      <c r="I32" s="97">
        <f t="shared" si="26"/>
        <v>5</v>
      </c>
      <c r="J32" s="98"/>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row>
    <row r="33" s="47" customFormat="1" ht="18" spans="1:66">
      <c r="A33" s="72" t="str">
        <f t="shared" si="6"/>
        <v>1.25</v>
      </c>
      <c r="B33" s="79" t="s">
        <v>42</v>
      </c>
      <c r="C33" s="47" t="s">
        <v>20</v>
      </c>
      <c r="D33" s="74"/>
      <c r="E33" s="75">
        <f t="shared" si="20"/>
        <v>45724</v>
      </c>
      <c r="F33" s="76">
        <f t="shared" si="25"/>
        <v>45731</v>
      </c>
      <c r="G33" s="77">
        <v>8</v>
      </c>
      <c r="H33" s="78">
        <v>0</v>
      </c>
      <c r="I33" s="97">
        <f t="shared" si="26"/>
        <v>5</v>
      </c>
      <c r="J33" s="98"/>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row>
    <row r="34" s="47" customFormat="1" ht="18" spans="1:66">
      <c r="A34" s="72" t="str">
        <f t="shared" si="6"/>
        <v>1.26</v>
      </c>
      <c r="B34" s="79" t="s">
        <v>43</v>
      </c>
      <c r="C34" s="47" t="s">
        <v>27</v>
      </c>
      <c r="D34" s="74"/>
      <c r="E34" s="75">
        <f t="shared" si="20"/>
        <v>45732</v>
      </c>
      <c r="F34" s="76">
        <f t="shared" si="25"/>
        <v>45739</v>
      </c>
      <c r="G34" s="77">
        <v>8</v>
      </c>
      <c r="H34" s="78">
        <v>0</v>
      </c>
      <c r="I34" s="97">
        <f t="shared" si="26"/>
        <v>5</v>
      </c>
      <c r="J34" s="98"/>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row>
    <row r="35" s="47" customFormat="1" ht="18" spans="1:66">
      <c r="A35" s="72" t="str">
        <f t="shared" si="6"/>
        <v>1.27</v>
      </c>
      <c r="B35" s="79" t="s">
        <v>44</v>
      </c>
      <c r="C35" s="47" t="s">
        <v>20</v>
      </c>
      <c r="D35" s="74"/>
      <c r="E35" s="75">
        <f t="shared" si="20"/>
        <v>45732</v>
      </c>
      <c r="F35" s="76">
        <f t="shared" si="25"/>
        <v>45739</v>
      </c>
      <c r="G35" s="77">
        <v>8</v>
      </c>
      <c r="H35" s="78">
        <v>0</v>
      </c>
      <c r="I35" s="97">
        <f t="shared" si="26"/>
        <v>5</v>
      </c>
      <c r="J35" s="98"/>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row>
    <row r="36" s="47" customFormat="1" ht="18" spans="1:66">
      <c r="A36" s="72" t="str">
        <f t="shared" si="6"/>
        <v>1.28</v>
      </c>
      <c r="B36" s="79" t="s">
        <v>45</v>
      </c>
      <c r="C36" s="47" t="s">
        <v>27</v>
      </c>
      <c r="D36" s="74"/>
      <c r="E36" s="75">
        <f t="shared" si="20"/>
        <v>45740</v>
      </c>
      <c r="F36" s="76">
        <f t="shared" si="25"/>
        <v>45755</v>
      </c>
      <c r="G36" s="77">
        <v>16</v>
      </c>
      <c r="H36" s="78">
        <v>0</v>
      </c>
      <c r="I36" s="97">
        <f t="shared" si="26"/>
        <v>12</v>
      </c>
      <c r="J36" s="98"/>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row>
    <row r="37" s="47" customFormat="1" ht="18" spans="1:66">
      <c r="A37" s="72" t="str">
        <f t="shared" si="6"/>
        <v>1.29</v>
      </c>
      <c r="B37" s="79" t="s">
        <v>46</v>
      </c>
      <c r="C37" s="47" t="s">
        <v>20</v>
      </c>
      <c r="D37" s="74"/>
      <c r="E37" s="75">
        <f t="shared" si="20"/>
        <v>45740</v>
      </c>
      <c r="F37" s="76">
        <f t="shared" si="25"/>
        <v>45755</v>
      </c>
      <c r="G37" s="77">
        <v>16</v>
      </c>
      <c r="H37" s="78">
        <v>0</v>
      </c>
      <c r="I37" s="97">
        <f t="shared" si="26"/>
        <v>12</v>
      </c>
      <c r="J37" s="98"/>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row>
    <row r="38" s="47" customFormat="1" ht="18" spans="1:66">
      <c r="A38" s="72" t="str">
        <f t="shared" si="6"/>
        <v>1.30</v>
      </c>
      <c r="B38" s="79" t="s">
        <v>47</v>
      </c>
      <c r="C38" s="47" t="s">
        <v>27</v>
      </c>
      <c r="D38" s="74"/>
      <c r="E38" s="75">
        <f t="shared" si="20"/>
        <v>45756</v>
      </c>
      <c r="F38" s="76">
        <f t="shared" si="25"/>
        <v>45763</v>
      </c>
      <c r="G38" s="77">
        <v>8</v>
      </c>
      <c r="H38" s="78">
        <v>0</v>
      </c>
      <c r="I38" s="97">
        <f t="shared" si="26"/>
        <v>6</v>
      </c>
      <c r="J38" s="98"/>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row>
    <row r="39" s="47" customFormat="1" ht="18" spans="1:66">
      <c r="A39" s="72" t="str">
        <f t="shared" si="6"/>
        <v>1.31</v>
      </c>
      <c r="B39" s="79" t="s">
        <v>48</v>
      </c>
      <c r="C39" s="47" t="s">
        <v>20</v>
      </c>
      <c r="D39" s="74"/>
      <c r="E39" s="75">
        <f t="shared" si="20"/>
        <v>45756</v>
      </c>
      <c r="F39" s="76">
        <f t="shared" si="25"/>
        <v>45763</v>
      </c>
      <c r="G39" s="77">
        <v>8</v>
      </c>
      <c r="H39" s="78">
        <v>0</v>
      </c>
      <c r="I39" s="97">
        <f t="shared" si="26"/>
        <v>6</v>
      </c>
      <c r="J39" s="98"/>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row>
    <row r="40" s="47" customFormat="1" ht="18" spans="1:66">
      <c r="A40" s="72" t="str">
        <f t="shared" si="6"/>
        <v>1.32</v>
      </c>
      <c r="B40" s="79" t="s">
        <v>49</v>
      </c>
      <c r="C40" s="47" t="s">
        <v>27</v>
      </c>
      <c r="D40" s="74"/>
      <c r="E40" s="75">
        <f t="shared" si="20"/>
        <v>45764</v>
      </c>
      <c r="F40" s="76">
        <f t="shared" si="25"/>
        <v>45771</v>
      </c>
      <c r="G40" s="77">
        <v>8</v>
      </c>
      <c r="H40" s="78">
        <v>0</v>
      </c>
      <c r="I40" s="97">
        <f t="shared" si="26"/>
        <v>6</v>
      </c>
      <c r="J40" s="98"/>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row>
    <row r="41" s="47" customFormat="1" ht="18" spans="1:66">
      <c r="A41" s="72" t="str">
        <f t="shared" si="6"/>
        <v>1.33</v>
      </c>
      <c r="B41" s="79" t="s">
        <v>50</v>
      </c>
      <c r="C41" s="47" t="s">
        <v>20</v>
      </c>
      <c r="D41" s="74"/>
      <c r="E41" s="75">
        <f t="shared" si="20"/>
        <v>45764</v>
      </c>
      <c r="F41" s="76">
        <f t="shared" si="25"/>
        <v>45771</v>
      </c>
      <c r="G41" s="77">
        <v>8</v>
      </c>
      <c r="H41" s="78">
        <v>0</v>
      </c>
      <c r="I41" s="97">
        <f t="shared" si="26"/>
        <v>6</v>
      </c>
      <c r="J41" s="98"/>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row>
    <row r="42" s="47" customFormat="1" ht="18" spans="1:66">
      <c r="A42" s="72" t="str">
        <f t="shared" si="6"/>
        <v>1.34</v>
      </c>
      <c r="B42" s="79" t="s">
        <v>51</v>
      </c>
      <c r="C42" s="47" t="s">
        <v>27</v>
      </c>
      <c r="D42" s="74"/>
      <c r="E42" s="75">
        <f t="shared" si="20"/>
        <v>45772</v>
      </c>
      <c r="F42" s="76">
        <f t="shared" si="25"/>
        <v>45779</v>
      </c>
      <c r="G42" s="77">
        <v>8</v>
      </c>
      <c r="H42" s="78">
        <v>0</v>
      </c>
      <c r="I42" s="97">
        <f t="shared" si="26"/>
        <v>6</v>
      </c>
      <c r="J42" s="98"/>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row>
    <row r="43" s="47" customFormat="1" ht="18" spans="1:66">
      <c r="A43" s="72" t="str">
        <f t="shared" si="6"/>
        <v>1.35</v>
      </c>
      <c r="B43" s="79" t="s">
        <v>52</v>
      </c>
      <c r="C43" s="47" t="s">
        <v>20</v>
      </c>
      <c r="D43" s="74"/>
      <c r="E43" s="75">
        <f t="shared" si="20"/>
        <v>45772</v>
      </c>
      <c r="F43" s="76">
        <f t="shared" si="25"/>
        <v>45779</v>
      </c>
      <c r="G43" s="77">
        <v>8</v>
      </c>
      <c r="H43" s="78">
        <v>0</v>
      </c>
      <c r="I43" s="97">
        <f t="shared" si="26"/>
        <v>6</v>
      </c>
      <c r="J43" s="98"/>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row>
    <row r="44" s="47" customFormat="1" ht="18" spans="1:66">
      <c r="A44" s="72" t="str">
        <f t="shared" si="6"/>
        <v>1.36</v>
      </c>
      <c r="B44" s="79" t="s">
        <v>53</v>
      </c>
      <c r="C44" s="47" t="s">
        <v>27</v>
      </c>
      <c r="D44" s="74"/>
      <c r="E44" s="75">
        <f t="shared" si="20"/>
        <v>45780</v>
      </c>
      <c r="F44" s="76">
        <f t="shared" si="25"/>
        <v>45787</v>
      </c>
      <c r="G44" s="77">
        <v>8</v>
      </c>
      <c r="H44" s="78">
        <v>0</v>
      </c>
      <c r="I44" s="97">
        <f t="shared" si="26"/>
        <v>5</v>
      </c>
      <c r="J44" s="98"/>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row>
    <row r="45" s="47" customFormat="1" ht="18" spans="1:66">
      <c r="A45" s="72" t="str">
        <f t="shared" si="6"/>
        <v>1.37</v>
      </c>
      <c r="B45" s="79" t="s">
        <v>54</v>
      </c>
      <c r="C45" s="47" t="s">
        <v>20</v>
      </c>
      <c r="D45" s="74"/>
      <c r="E45" s="75">
        <f t="shared" si="20"/>
        <v>45780</v>
      </c>
      <c r="F45" s="76">
        <f t="shared" si="25"/>
        <v>45787</v>
      </c>
      <c r="G45" s="77">
        <v>8</v>
      </c>
      <c r="H45" s="78">
        <v>0</v>
      </c>
      <c r="I45" s="97">
        <f t="shared" si="26"/>
        <v>5</v>
      </c>
      <c r="J45" s="98"/>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row>
    <row r="46" s="47" customFormat="1" ht="18" spans="1:66">
      <c r="A46" s="72" t="str">
        <f t="shared" si="6"/>
        <v>1.38</v>
      </c>
      <c r="B46" s="79" t="s">
        <v>55</v>
      </c>
      <c r="C46" s="47" t="s">
        <v>27</v>
      </c>
      <c r="D46" s="74"/>
      <c r="E46" s="75">
        <f t="shared" si="20"/>
        <v>45788</v>
      </c>
      <c r="F46" s="76">
        <f t="shared" si="25"/>
        <v>45795</v>
      </c>
      <c r="G46" s="77">
        <v>8</v>
      </c>
      <c r="H46" s="78">
        <v>0</v>
      </c>
      <c r="I46" s="97">
        <f t="shared" si="26"/>
        <v>5</v>
      </c>
      <c r="J46" s="98"/>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row>
    <row r="47" s="47" customFormat="1" ht="18" spans="1:66">
      <c r="A47" s="72"/>
      <c r="B47" s="73"/>
      <c r="D47" s="74"/>
      <c r="E47" s="75"/>
      <c r="F47" s="76"/>
      <c r="G47" s="77"/>
      <c r="H47" s="78"/>
      <c r="I47" s="97"/>
      <c r="J47" s="98"/>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row>
    <row r="48" s="47" customFormat="1" ht="18" spans="1:66">
      <c r="A48" s="72"/>
      <c r="B48" s="73"/>
      <c r="D48" s="74"/>
      <c r="E48" s="75"/>
      <c r="F48" s="76"/>
      <c r="G48" s="77"/>
      <c r="H48" s="78"/>
      <c r="I48" s="97"/>
      <c r="J48" s="98"/>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row>
    <row r="49" s="47" customFormat="1" ht="18" spans="1:66">
      <c r="A49" s="72"/>
      <c r="B49" s="73"/>
      <c r="D49" s="74"/>
      <c r="E49" s="75"/>
      <c r="F49" s="76"/>
      <c r="G49" s="77"/>
      <c r="H49" s="78"/>
      <c r="I49" s="97"/>
      <c r="J49" s="98"/>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row>
    <row r="50" s="47" customFormat="1" ht="18" spans="1:66">
      <c r="A50" s="72"/>
      <c r="B50" s="73"/>
      <c r="D50" s="74"/>
      <c r="E50" s="75"/>
      <c r="F50" s="76"/>
      <c r="G50" s="77"/>
      <c r="H50" s="78"/>
      <c r="I50" s="97"/>
      <c r="J50" s="98"/>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row>
    <row r="51" s="47" customFormat="1" ht="18" spans="1:66">
      <c r="A51" s="72"/>
      <c r="B51" s="73"/>
      <c r="D51" s="74"/>
      <c r="E51" s="75"/>
      <c r="F51" s="76"/>
      <c r="G51" s="77"/>
      <c r="H51" s="78"/>
      <c r="I51" s="97"/>
      <c r="J51" s="98"/>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row>
    <row r="52" s="47" customFormat="1" ht="18" spans="1:66">
      <c r="A52" s="72"/>
      <c r="B52" s="73"/>
      <c r="D52" s="74"/>
      <c r="E52" s="75"/>
      <c r="F52" s="76"/>
      <c r="G52" s="77"/>
      <c r="H52" s="78"/>
      <c r="I52" s="97"/>
      <c r="J52" s="98"/>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row>
    <row r="53" s="47" customFormat="1" ht="18" spans="1:66">
      <c r="A53" s="72"/>
      <c r="B53" s="73"/>
      <c r="D53" s="74"/>
      <c r="E53" s="75"/>
      <c r="F53" s="76"/>
      <c r="G53" s="77"/>
      <c r="H53" s="78"/>
      <c r="I53" s="97"/>
      <c r="J53" s="98"/>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row>
    <row r="54" s="47" customFormat="1" ht="18" spans="1:66">
      <c r="A54" s="72"/>
      <c r="B54" s="73"/>
      <c r="D54" s="74"/>
      <c r="E54" s="75"/>
      <c r="F54" s="76"/>
      <c r="G54" s="77"/>
      <c r="H54" s="78"/>
      <c r="I54" s="97"/>
      <c r="J54" s="98"/>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row>
    <row r="55" s="47" customFormat="1" ht="18" spans="1:66">
      <c r="A55" s="72"/>
      <c r="B55" s="73"/>
      <c r="D55" s="74"/>
      <c r="E55" s="75"/>
      <c r="F55" s="76"/>
      <c r="G55" s="77"/>
      <c r="H55" s="78"/>
      <c r="I55" s="97"/>
      <c r="J55" s="98"/>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row>
    <row r="56" s="47" customFormat="1" ht="18" spans="1:66">
      <c r="A56" s="72"/>
      <c r="B56" s="73"/>
      <c r="D56" s="74"/>
      <c r="E56" s="75"/>
      <c r="F56" s="76"/>
      <c r="G56" s="77"/>
      <c r="H56" s="78"/>
      <c r="I56" s="97"/>
      <c r="J56" s="98"/>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row>
    <row r="57" s="47" customFormat="1" ht="18" spans="1:66">
      <c r="A57" s="72"/>
      <c r="B57" s="73"/>
      <c r="D57" s="74"/>
      <c r="E57" s="75"/>
      <c r="F57" s="76"/>
      <c r="G57" s="77"/>
      <c r="H57" s="78"/>
      <c r="I57" s="97"/>
      <c r="J57" s="98"/>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row>
    <row r="58" s="47" customFormat="1" ht="18" spans="1:66">
      <c r="A58" s="72"/>
      <c r="B58" s="73"/>
      <c r="D58" s="74"/>
      <c r="E58" s="75"/>
      <c r="F58" s="76"/>
      <c r="G58" s="77"/>
      <c r="H58" s="78"/>
      <c r="I58" s="97"/>
      <c r="J58" s="98"/>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row>
    <row r="59" s="47" customFormat="1" ht="18" spans="1:66">
      <c r="A59" s="72"/>
      <c r="B59" s="73"/>
      <c r="D59" s="74"/>
      <c r="E59" s="75"/>
      <c r="F59" s="76"/>
      <c r="G59" s="77"/>
      <c r="H59" s="78"/>
      <c r="I59" s="97"/>
      <c r="J59" s="98"/>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row>
    <row r="60" s="47" customFormat="1" ht="18" spans="1:66">
      <c r="A60" s="72"/>
      <c r="B60" s="73"/>
      <c r="D60" s="74"/>
      <c r="E60" s="75"/>
      <c r="F60" s="76"/>
      <c r="G60" s="77"/>
      <c r="H60" s="78"/>
      <c r="I60" s="97"/>
      <c r="J60" s="98"/>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row>
    <row r="61" s="47" customFormat="1" ht="18" spans="1:66">
      <c r="A61" s="72"/>
      <c r="B61" s="73"/>
      <c r="D61" s="74"/>
      <c r="E61" s="75"/>
      <c r="F61" s="76"/>
      <c r="G61" s="77"/>
      <c r="H61" s="78"/>
      <c r="I61" s="97"/>
      <c r="J61" s="98"/>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row>
    <row r="62" s="47" customFormat="1" ht="18" spans="1:66">
      <c r="A62" s="72"/>
      <c r="B62" s="73"/>
      <c r="D62" s="74"/>
      <c r="E62" s="75"/>
      <c r="F62" s="76"/>
      <c r="G62" s="77"/>
      <c r="H62" s="78"/>
      <c r="I62" s="97"/>
      <c r="J62" s="98"/>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row>
    <row r="63" s="47" customFormat="1" ht="18" spans="1:66">
      <c r="A63" s="72"/>
      <c r="B63" s="73"/>
      <c r="D63" s="74"/>
      <c r="E63" s="75"/>
      <c r="F63" s="76"/>
      <c r="G63" s="77"/>
      <c r="H63" s="78"/>
      <c r="I63" s="97"/>
      <c r="J63" s="98"/>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row>
    <row r="64" s="47" customFormat="1" ht="18" spans="1:66">
      <c r="A64" s="72"/>
      <c r="B64" s="73"/>
      <c r="D64" s="74"/>
      <c r="E64" s="75"/>
      <c r="F64" s="76"/>
      <c r="G64" s="77"/>
      <c r="H64" s="78"/>
      <c r="I64" s="97"/>
      <c r="J64" s="98"/>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row>
    <row r="65" s="47" customFormat="1" ht="18" spans="1:66">
      <c r="A65" s="72"/>
      <c r="B65" s="73"/>
      <c r="D65" s="74"/>
      <c r="E65" s="75"/>
      <c r="F65" s="76"/>
      <c r="G65" s="77"/>
      <c r="H65" s="78"/>
      <c r="I65" s="97"/>
      <c r="J65" s="98"/>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row>
    <row r="66" s="46" customFormat="1" ht="18" hidden="1" spans="1:66">
      <c r="A66" s="103" t="str">
        <f>IF(ISERROR(VALUE(SUBSTITUTE(prevWBS,".",""))),"1",IF(ISERROR(FIND("`",SUBSTITUTE(prevWBS,".","`",1))),TEXT(VALUE(prevWBS)+1,"#"),TEXT(VALUE(LEFT(prevWBS,FIND("`",SUBSTITUTE(prevWBS,".","`",1))-1))+1,"#")))</f>
        <v>1</v>
      </c>
      <c r="B66" s="104" t="s">
        <v>56</v>
      </c>
      <c r="D66" s="105"/>
      <c r="E66" s="106"/>
      <c r="F66" s="106" t="str">
        <f t="shared" ref="F66:F71" si="27">IF(ISBLANK(E66)," - ",IF(G66=0,E66,E66+G66-1))</f>
        <v> - </v>
      </c>
      <c r="G66" s="107"/>
      <c r="H66" s="108"/>
      <c r="I66" s="110" t="str">
        <f t="shared" si="5"/>
        <v> - </v>
      </c>
      <c r="J66" s="111"/>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row>
    <row r="67" s="47" customFormat="1" ht="18" hidden="1" spans="1:66">
      <c r="A67" s="72" t="str">
        <f t="shared" ref="A67:A105" si="2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7" s="73" t="s">
        <v>57</v>
      </c>
      <c r="C67" s="47" t="s">
        <v>58</v>
      </c>
      <c r="D67" s="74"/>
      <c r="E67" s="75">
        <v>46057</v>
      </c>
      <c r="F67" s="76">
        <f t="shared" si="27"/>
        <v>46063</v>
      </c>
      <c r="G67" s="77">
        <v>7</v>
      </c>
      <c r="H67" s="78">
        <v>0</v>
      </c>
      <c r="I67" s="97">
        <f t="shared" si="5"/>
        <v>5</v>
      </c>
      <c r="J67" s="98"/>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row>
    <row r="68" s="47" customFormat="1" ht="18" hidden="1" spans="1:66">
      <c r="A68" s="72" t="str">
        <f t="shared" si="28"/>
        <v>1.2</v>
      </c>
      <c r="B68" s="73" t="s">
        <v>59</v>
      </c>
      <c r="C68" s="47" t="s">
        <v>20</v>
      </c>
      <c r="D68" s="74"/>
      <c r="E68" s="75">
        <v>46064</v>
      </c>
      <c r="F68" s="76">
        <f t="shared" si="27"/>
        <v>46070</v>
      </c>
      <c r="G68" s="77">
        <v>7</v>
      </c>
      <c r="H68" s="78">
        <v>0</v>
      </c>
      <c r="I68" s="97">
        <f t="shared" si="5"/>
        <v>5</v>
      </c>
      <c r="J68" s="98"/>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row>
    <row r="69" s="47" customFormat="1" ht="44.25" hidden="1" customHeight="1" spans="1:66">
      <c r="A69" s="72" t="str">
        <f t="shared" si="28"/>
        <v>1.3</v>
      </c>
      <c r="B69" s="73" t="s">
        <v>60</v>
      </c>
      <c r="C69" s="47" t="s">
        <v>27</v>
      </c>
      <c r="D69" s="74"/>
      <c r="E69" s="75">
        <v>46064</v>
      </c>
      <c r="F69" s="76">
        <f t="shared" si="27"/>
        <v>46070</v>
      </c>
      <c r="G69" s="77">
        <v>7</v>
      </c>
      <c r="H69" s="78">
        <v>0</v>
      </c>
      <c r="I69" s="97">
        <f t="shared" si="5"/>
        <v>5</v>
      </c>
      <c r="J69" s="98"/>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row>
    <row r="70" s="47" customFormat="1" ht="18" hidden="1" spans="1:66">
      <c r="A70" s="72" t="str">
        <f t="shared" si="28"/>
        <v>1.4</v>
      </c>
      <c r="B70" s="73" t="s">
        <v>61</v>
      </c>
      <c r="C70" s="47" t="s">
        <v>20</v>
      </c>
      <c r="D70" s="74"/>
      <c r="E70" s="75">
        <v>46071</v>
      </c>
      <c r="F70" s="76">
        <f t="shared" si="27"/>
        <v>46077</v>
      </c>
      <c r="G70" s="77">
        <v>7</v>
      </c>
      <c r="H70" s="78">
        <v>0</v>
      </c>
      <c r="I70" s="97">
        <f t="shared" si="5"/>
        <v>5</v>
      </c>
      <c r="J70" s="98"/>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row>
    <row r="71" s="47" customFormat="1" ht="18" hidden="1" spans="1:66">
      <c r="A71" s="72" t="str">
        <f t="shared" si="28"/>
        <v>1.5</v>
      </c>
      <c r="B71" s="73" t="s">
        <v>62</v>
      </c>
      <c r="C71" s="47" t="s">
        <v>27</v>
      </c>
      <c r="D71" s="74"/>
      <c r="E71" s="75">
        <v>46071</v>
      </c>
      <c r="F71" s="76">
        <f t="shared" si="27"/>
        <v>46077</v>
      </c>
      <c r="G71" s="77">
        <v>7</v>
      </c>
      <c r="H71" s="78">
        <v>0</v>
      </c>
      <c r="I71" s="97">
        <f t="shared" si="5"/>
        <v>5</v>
      </c>
      <c r="J71" s="98"/>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row>
    <row r="72" s="47" customFormat="1" ht="18" hidden="1" spans="1:66">
      <c r="A72" s="72" t="str">
        <f t="shared" si="28"/>
        <v>1.6</v>
      </c>
      <c r="B72" s="73" t="s">
        <v>63</v>
      </c>
      <c r="C72" s="47" t="s">
        <v>20</v>
      </c>
      <c r="D72" s="74"/>
      <c r="E72" s="75">
        <v>46078</v>
      </c>
      <c r="F72" s="76">
        <f t="shared" ref="F72:F86" si="29">IF(ISBLANK(E72)," - ",IF(G72=0,E72,E72+G72-1))</f>
        <v>46084</v>
      </c>
      <c r="G72" s="77">
        <v>7</v>
      </c>
      <c r="H72" s="78">
        <v>0</v>
      </c>
      <c r="I72" s="97">
        <f t="shared" ref="I72:I86" si="30">IF(OR(F72=0,E72=0)," - ",NETWORKDAYS(E72,F72))</f>
        <v>5</v>
      </c>
      <c r="J72" s="98"/>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row>
    <row r="73" s="47" customFormat="1" ht="18" hidden="1" spans="1:66">
      <c r="A73" s="72" t="str">
        <f t="shared" si="28"/>
        <v>1.7</v>
      </c>
      <c r="B73" s="73" t="s">
        <v>64</v>
      </c>
      <c r="C73" s="47" t="s">
        <v>27</v>
      </c>
      <c r="D73" s="74"/>
      <c r="E73" s="75">
        <v>46078</v>
      </c>
      <c r="F73" s="76">
        <f t="shared" si="29"/>
        <v>46084</v>
      </c>
      <c r="G73" s="77">
        <v>7</v>
      </c>
      <c r="H73" s="78">
        <v>0</v>
      </c>
      <c r="I73" s="97">
        <f t="shared" si="30"/>
        <v>5</v>
      </c>
      <c r="J73" s="98"/>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row>
    <row r="74" s="47" customFormat="1" ht="18" hidden="1" spans="1:66">
      <c r="A74" s="72" t="str">
        <f t="shared" si="28"/>
        <v>1.8</v>
      </c>
      <c r="B74" s="73" t="s">
        <v>65</v>
      </c>
      <c r="C74" s="47" t="s">
        <v>66</v>
      </c>
      <c r="D74" s="74"/>
      <c r="E74" s="75">
        <v>46057</v>
      </c>
      <c r="F74" s="76">
        <f t="shared" si="29"/>
        <v>46063</v>
      </c>
      <c r="G74" s="77">
        <v>7</v>
      </c>
      <c r="H74" s="78">
        <v>0</v>
      </c>
      <c r="I74" s="97">
        <f t="shared" si="30"/>
        <v>5</v>
      </c>
      <c r="J74" s="98"/>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row>
    <row r="75" s="47" customFormat="1" ht="18" hidden="1" spans="1:66">
      <c r="A75" s="72" t="str">
        <f t="shared" si="28"/>
        <v>1.9</v>
      </c>
      <c r="B75" s="73" t="s">
        <v>67</v>
      </c>
      <c r="C75" s="47" t="s">
        <v>20</v>
      </c>
      <c r="D75" s="74"/>
      <c r="E75" s="75">
        <v>46085</v>
      </c>
      <c r="F75" s="76">
        <f t="shared" si="29"/>
        <v>46091</v>
      </c>
      <c r="G75" s="77">
        <v>7</v>
      </c>
      <c r="H75" s="78">
        <v>0</v>
      </c>
      <c r="I75" s="97">
        <f t="shared" si="30"/>
        <v>5</v>
      </c>
      <c r="J75" s="98"/>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row>
    <row r="76" s="47" customFormat="1" ht="18" hidden="1" spans="1:66">
      <c r="A76" s="72" t="str">
        <f t="shared" si="28"/>
        <v>1.10</v>
      </c>
      <c r="B76" s="73" t="s">
        <v>68</v>
      </c>
      <c r="C76" s="47" t="s">
        <v>27</v>
      </c>
      <c r="D76" s="74"/>
      <c r="E76" s="75">
        <v>46085</v>
      </c>
      <c r="F76" s="76">
        <f t="shared" si="29"/>
        <v>46091</v>
      </c>
      <c r="G76" s="77">
        <v>7</v>
      </c>
      <c r="H76" s="78">
        <v>0</v>
      </c>
      <c r="I76" s="97">
        <f t="shared" si="30"/>
        <v>5</v>
      </c>
      <c r="J76" s="98"/>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row>
    <row r="77" s="47" customFormat="1" ht="18" hidden="1" spans="1:66">
      <c r="A77" s="72" t="str">
        <f t="shared" si="28"/>
        <v>1.11</v>
      </c>
      <c r="B77" s="73" t="s">
        <v>69</v>
      </c>
      <c r="C77" s="47" t="s">
        <v>27</v>
      </c>
      <c r="D77" s="74"/>
      <c r="E77" s="75">
        <v>46092</v>
      </c>
      <c r="F77" s="76">
        <f t="shared" si="29"/>
        <v>46098</v>
      </c>
      <c r="G77" s="77">
        <v>7</v>
      </c>
      <c r="H77" s="78">
        <v>0</v>
      </c>
      <c r="I77" s="97">
        <f t="shared" si="30"/>
        <v>5</v>
      </c>
      <c r="J77" s="98"/>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row>
    <row r="78" s="47" customFormat="1" ht="18" hidden="1" spans="1:66">
      <c r="A78" s="72" t="str">
        <f t="shared" si="28"/>
        <v>1.12</v>
      </c>
      <c r="B78" s="73" t="s">
        <v>70</v>
      </c>
      <c r="C78" s="47" t="s">
        <v>20</v>
      </c>
      <c r="D78" s="74"/>
      <c r="E78" s="75">
        <v>46092</v>
      </c>
      <c r="F78" s="76">
        <f t="shared" si="29"/>
        <v>46098</v>
      </c>
      <c r="G78" s="77">
        <v>7</v>
      </c>
      <c r="H78" s="78">
        <v>0</v>
      </c>
      <c r="I78" s="97">
        <f t="shared" si="30"/>
        <v>5</v>
      </c>
      <c r="J78" s="98"/>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row>
    <row r="79" s="47" customFormat="1" ht="18" hidden="1" spans="1:66">
      <c r="A79" s="72" t="str">
        <f t="shared" si="28"/>
        <v>1.13</v>
      </c>
      <c r="B79" s="73" t="s">
        <v>71</v>
      </c>
      <c r="C79" s="47" t="s">
        <v>27</v>
      </c>
      <c r="D79" s="74"/>
      <c r="E79" s="75">
        <v>46099</v>
      </c>
      <c r="F79" s="76">
        <f t="shared" si="29"/>
        <v>46105</v>
      </c>
      <c r="G79" s="77">
        <v>7</v>
      </c>
      <c r="H79" s="78">
        <v>0</v>
      </c>
      <c r="I79" s="97">
        <f t="shared" si="30"/>
        <v>5</v>
      </c>
      <c r="J79" s="98"/>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row>
    <row r="80" s="47" customFormat="1" ht="18" hidden="1" spans="1:66">
      <c r="A80" s="72" t="str">
        <f t="shared" si="28"/>
        <v>1.14</v>
      </c>
      <c r="B80" s="73" t="s">
        <v>72</v>
      </c>
      <c r="C80" s="47" t="s">
        <v>27</v>
      </c>
      <c r="D80" s="74"/>
      <c r="E80" s="75">
        <v>46106</v>
      </c>
      <c r="F80" s="76">
        <f t="shared" ref="F80" si="31">IF(ISBLANK(E80)," - ",IF(G80=0,E80,E80+G80-1))</f>
        <v>46112</v>
      </c>
      <c r="G80" s="77">
        <v>7</v>
      </c>
      <c r="H80" s="78">
        <v>0</v>
      </c>
      <c r="I80" s="97">
        <f t="shared" ref="I80" si="32">IF(OR(F80=0,E80=0)," - ",NETWORKDAYS(E80,F80))</f>
        <v>5</v>
      </c>
      <c r="J80" s="98"/>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row>
    <row r="81" s="47" customFormat="1" ht="18" hidden="1" spans="1:66">
      <c r="A81" s="72" t="str">
        <f t="shared" si="28"/>
        <v>1.15</v>
      </c>
      <c r="B81" s="73" t="s">
        <v>73</v>
      </c>
      <c r="C81" s="47" t="s">
        <v>27</v>
      </c>
      <c r="D81" s="74"/>
      <c r="E81" s="75">
        <v>46106</v>
      </c>
      <c r="F81" s="76">
        <f t="shared" ref="F81" si="33">IF(ISBLANK(E81)," - ",IF(G81=0,E81,E81+G81-1))</f>
        <v>46112</v>
      </c>
      <c r="G81" s="77">
        <v>7</v>
      </c>
      <c r="H81" s="78">
        <v>0</v>
      </c>
      <c r="I81" s="97">
        <f t="shared" ref="I81" si="34">IF(OR(F81=0,E81=0)," - ",NETWORKDAYS(E81,F81))</f>
        <v>5</v>
      </c>
      <c r="J81" s="98"/>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row>
    <row r="82" s="47" customFormat="1" ht="18" hidden="1" spans="1:66">
      <c r="A82" s="72" t="str">
        <f t="shared" si="28"/>
        <v>1.16</v>
      </c>
      <c r="B82" s="73" t="s">
        <v>74</v>
      </c>
      <c r="C82" s="47" t="s">
        <v>27</v>
      </c>
      <c r="D82" s="74"/>
      <c r="E82" s="75">
        <v>46113</v>
      </c>
      <c r="F82" s="76">
        <f t="shared" si="29"/>
        <v>46119</v>
      </c>
      <c r="G82" s="77">
        <v>7</v>
      </c>
      <c r="H82" s="78">
        <v>0</v>
      </c>
      <c r="I82" s="97">
        <f t="shared" si="30"/>
        <v>5</v>
      </c>
      <c r="J82" s="98"/>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row>
    <row r="83" s="47" customFormat="1" ht="18" hidden="1" spans="1:66">
      <c r="A83" s="72" t="str">
        <f t="shared" si="28"/>
        <v>1.17</v>
      </c>
      <c r="B83" s="73" t="s">
        <v>75</v>
      </c>
      <c r="C83" s="47" t="s">
        <v>20</v>
      </c>
      <c r="D83" s="74"/>
      <c r="E83" s="75">
        <v>46113</v>
      </c>
      <c r="F83" s="76">
        <f t="shared" si="29"/>
        <v>46119</v>
      </c>
      <c r="G83" s="77">
        <v>7</v>
      </c>
      <c r="H83" s="78">
        <v>0</v>
      </c>
      <c r="I83" s="97">
        <f t="shared" si="30"/>
        <v>5</v>
      </c>
      <c r="J83" s="98"/>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c r="BB83" s="72"/>
      <c r="BC83" s="72"/>
      <c r="BD83" s="72"/>
      <c r="BE83" s="72"/>
      <c r="BF83" s="72"/>
      <c r="BG83" s="72"/>
      <c r="BH83" s="72"/>
      <c r="BI83" s="72"/>
      <c r="BJ83" s="72"/>
      <c r="BK83" s="72"/>
      <c r="BL83" s="72"/>
      <c r="BM83" s="72"/>
      <c r="BN83" s="72"/>
    </row>
    <row r="84" s="47" customFormat="1" ht="18" hidden="1" spans="1:66">
      <c r="A84" s="72" t="str">
        <f t="shared" si="28"/>
        <v>1.18</v>
      </c>
      <c r="B84" s="73" t="s">
        <v>76</v>
      </c>
      <c r="C84" s="47" t="s">
        <v>27</v>
      </c>
      <c r="D84" s="74"/>
      <c r="E84" s="75">
        <v>46120</v>
      </c>
      <c r="F84" s="76">
        <f t="shared" si="29"/>
        <v>46126</v>
      </c>
      <c r="G84" s="77">
        <v>7</v>
      </c>
      <c r="H84" s="78">
        <v>0</v>
      </c>
      <c r="I84" s="97">
        <f t="shared" si="30"/>
        <v>5</v>
      </c>
      <c r="J84" s="98"/>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row>
    <row r="85" s="47" customFormat="1" ht="18" hidden="1" spans="1:66">
      <c r="A85" s="72" t="str">
        <f t="shared" si="28"/>
        <v>1.19</v>
      </c>
      <c r="B85" s="73" t="s">
        <v>77</v>
      </c>
      <c r="C85" s="47" t="s">
        <v>20</v>
      </c>
      <c r="D85" s="74"/>
      <c r="E85" s="75">
        <v>46120</v>
      </c>
      <c r="F85" s="76">
        <f t="shared" si="29"/>
        <v>46126</v>
      </c>
      <c r="G85" s="77">
        <v>7</v>
      </c>
      <c r="H85" s="78">
        <v>0</v>
      </c>
      <c r="I85" s="97">
        <f t="shared" si="30"/>
        <v>5</v>
      </c>
      <c r="J85" s="98"/>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row>
    <row r="86" s="47" customFormat="1" ht="18" hidden="1" spans="1:66">
      <c r="A86" s="72" t="str">
        <f t="shared" si="28"/>
        <v>1.20</v>
      </c>
      <c r="B86" s="73" t="s">
        <v>78</v>
      </c>
      <c r="C86" s="47" t="s">
        <v>27</v>
      </c>
      <c r="D86" s="74"/>
      <c r="E86" s="75">
        <v>46127</v>
      </c>
      <c r="F86" s="76">
        <f t="shared" si="29"/>
        <v>46133</v>
      </c>
      <c r="G86" s="77">
        <v>7</v>
      </c>
      <c r="H86" s="78">
        <v>0</v>
      </c>
      <c r="I86" s="97">
        <f t="shared" si="30"/>
        <v>5</v>
      </c>
      <c r="J86" s="98"/>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row>
    <row r="87" s="47" customFormat="1" ht="18" hidden="1" spans="1:66">
      <c r="A87" s="72" t="str">
        <f t="shared" si="28"/>
        <v>1.21</v>
      </c>
      <c r="B87" s="73" t="s">
        <v>79</v>
      </c>
      <c r="C87" s="47" t="s">
        <v>20</v>
      </c>
      <c r="D87" s="74"/>
      <c r="E87" s="75">
        <v>46127</v>
      </c>
      <c r="F87" s="76">
        <f t="shared" ref="F87:F97" si="35">IF(ISBLANK(E87)," - ",IF(G87=0,E87,E87+G87-1))</f>
        <v>46133</v>
      </c>
      <c r="G87" s="77">
        <v>7</v>
      </c>
      <c r="H87" s="78">
        <v>0</v>
      </c>
      <c r="I87" s="97">
        <f t="shared" ref="I87:I95" si="36">IF(OR(F87=0,E87=0)," - ",NETWORKDAYS(E87,F87))</f>
        <v>5</v>
      </c>
      <c r="J87" s="98"/>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row>
    <row r="88" s="47" customFormat="1" ht="18" hidden="1" spans="1:66">
      <c r="A88" s="72" t="str">
        <f t="shared" si="28"/>
        <v>1.22</v>
      </c>
      <c r="B88" s="73" t="s">
        <v>80</v>
      </c>
      <c r="C88" s="47" t="s">
        <v>27</v>
      </c>
      <c r="D88" s="74"/>
      <c r="E88" s="75">
        <v>46134</v>
      </c>
      <c r="F88" s="76">
        <f t="shared" si="35"/>
        <v>46140</v>
      </c>
      <c r="G88" s="77">
        <v>7</v>
      </c>
      <c r="H88" s="78">
        <v>0</v>
      </c>
      <c r="I88" s="97">
        <f t="shared" si="36"/>
        <v>5</v>
      </c>
      <c r="J88" s="98"/>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row>
    <row r="89" s="47" customFormat="1" ht="18" hidden="1" spans="1:66">
      <c r="A89" s="72" t="str">
        <f t="shared" si="28"/>
        <v>1.23</v>
      </c>
      <c r="B89" s="73" t="s">
        <v>81</v>
      </c>
      <c r="C89" s="47" t="s">
        <v>20</v>
      </c>
      <c r="D89" s="74"/>
      <c r="E89" s="75">
        <v>46134</v>
      </c>
      <c r="F89" s="76">
        <f t="shared" ref="F89:F90" si="37">IF(ISBLANK(E89)," - ",IF(G89=0,E89,E89+G89-1))</f>
        <v>46140</v>
      </c>
      <c r="G89" s="77">
        <v>7</v>
      </c>
      <c r="H89" s="78">
        <v>0</v>
      </c>
      <c r="I89" s="97">
        <f t="shared" ref="I89:I90" si="38">IF(OR(F89=0,E89=0)," - ",NETWORKDAYS(E89,F89))</f>
        <v>5</v>
      </c>
      <c r="J89" s="98"/>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row>
    <row r="90" s="47" customFormat="1" ht="18" hidden="1" spans="1:66">
      <c r="A90" s="72" t="str">
        <f t="shared" si="28"/>
        <v>1.24</v>
      </c>
      <c r="B90" s="73" t="s">
        <v>82</v>
      </c>
      <c r="C90" s="47" t="s">
        <v>27</v>
      </c>
      <c r="D90" s="74"/>
      <c r="E90" s="75">
        <v>46141</v>
      </c>
      <c r="F90" s="76">
        <f t="shared" si="37"/>
        <v>46147</v>
      </c>
      <c r="G90" s="77">
        <v>7</v>
      </c>
      <c r="H90" s="78">
        <v>0</v>
      </c>
      <c r="I90" s="97">
        <f t="shared" si="38"/>
        <v>5</v>
      </c>
      <c r="J90" s="98"/>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row>
    <row r="91" s="47" customFormat="1" ht="18" hidden="1" spans="1:66">
      <c r="A91" s="72" t="str">
        <f t="shared" si="28"/>
        <v>1.25</v>
      </c>
      <c r="B91" s="73" t="s">
        <v>83</v>
      </c>
      <c r="C91" s="47" t="s">
        <v>27</v>
      </c>
      <c r="D91" s="74"/>
      <c r="E91" s="75">
        <v>46141</v>
      </c>
      <c r="F91" s="76">
        <f t="shared" ref="F91:F93" si="39">IF(ISBLANK(E91)," - ",IF(G91=0,E91,E91+G91-1))</f>
        <v>46147</v>
      </c>
      <c r="G91" s="77">
        <v>7</v>
      </c>
      <c r="H91" s="78">
        <v>0</v>
      </c>
      <c r="I91" s="97">
        <f t="shared" ref="I91:I93" si="40">IF(OR(F91=0,E91=0)," - ",NETWORKDAYS(E91,F91))</f>
        <v>5</v>
      </c>
      <c r="J91" s="98"/>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row>
    <row r="92" s="47" customFormat="1" ht="18" hidden="1" spans="1:66">
      <c r="A92" s="72" t="str">
        <f t="shared" si="28"/>
        <v>1.26</v>
      </c>
      <c r="B92" s="73" t="s">
        <v>84</v>
      </c>
      <c r="C92" s="47" t="s">
        <v>27</v>
      </c>
      <c r="D92" s="74"/>
      <c r="E92" s="75">
        <v>46148</v>
      </c>
      <c r="F92" s="76">
        <f t="shared" si="39"/>
        <v>46154</v>
      </c>
      <c r="G92" s="77">
        <v>7</v>
      </c>
      <c r="H92" s="78">
        <v>0</v>
      </c>
      <c r="I92" s="97">
        <f t="shared" si="40"/>
        <v>5</v>
      </c>
      <c r="J92" s="98"/>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row>
    <row r="93" s="47" customFormat="1" ht="18" hidden="1" spans="1:66">
      <c r="A93" s="72" t="str">
        <f t="shared" si="28"/>
        <v>1.27</v>
      </c>
      <c r="B93" s="73" t="s">
        <v>85</v>
      </c>
      <c r="C93" s="47" t="s">
        <v>27</v>
      </c>
      <c r="D93" s="74"/>
      <c r="E93" s="75">
        <v>46148</v>
      </c>
      <c r="F93" s="76">
        <f t="shared" si="39"/>
        <v>46154</v>
      </c>
      <c r="G93" s="77">
        <v>7</v>
      </c>
      <c r="H93" s="78">
        <v>0</v>
      </c>
      <c r="I93" s="97">
        <f t="shared" si="40"/>
        <v>5</v>
      </c>
      <c r="J93" s="98"/>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row>
    <row r="94" s="46" customFormat="1" ht="18" hidden="1" spans="1:66">
      <c r="A94" s="103" t="str">
        <f>IF(ISERROR(VALUE(SUBSTITUTE(prevWBS,".",""))),"1",IF(ISERROR(FIND("`",SUBSTITUTE(prevWBS,".","`",1))),TEXT(VALUE(prevWBS)+1,"#"),TEXT(VALUE(LEFT(prevWBS,FIND("`",SUBSTITUTE(prevWBS,".","`",1))-1))+1,"#")))</f>
        <v>2</v>
      </c>
      <c r="B94" s="104" t="s">
        <v>86</v>
      </c>
      <c r="D94" s="105"/>
      <c r="E94" s="106"/>
      <c r="F94" s="106" t="str">
        <f t="shared" si="35"/>
        <v> - </v>
      </c>
      <c r="G94" s="107"/>
      <c r="H94" s="108"/>
      <c r="I94" s="110" t="str">
        <f t="shared" si="36"/>
        <v> - </v>
      </c>
      <c r="J94" s="111"/>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row>
    <row r="95" s="47" customFormat="1" ht="18" hidden="1" spans="1:66">
      <c r="A95" s="72" t="str">
        <f t="shared" si="28"/>
        <v>2.1</v>
      </c>
      <c r="B95" s="109" t="s">
        <v>87</v>
      </c>
      <c r="C95" s="47" t="s">
        <v>66</v>
      </c>
      <c r="D95" s="74"/>
      <c r="E95" s="75">
        <v>46034</v>
      </c>
      <c r="F95" s="76">
        <f t="shared" si="35"/>
        <v>46038</v>
      </c>
      <c r="G95" s="77">
        <v>5</v>
      </c>
      <c r="H95" s="78">
        <v>0</v>
      </c>
      <c r="I95" s="97">
        <f t="shared" si="36"/>
        <v>5</v>
      </c>
      <c r="J95" s="98"/>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row>
    <row r="96" s="47" customFormat="1" ht="18" hidden="1" spans="1:66">
      <c r="A96" s="72" t="str">
        <f t="shared" si="28"/>
        <v>2.2</v>
      </c>
      <c r="B96" s="109" t="s">
        <v>88</v>
      </c>
      <c r="C96" s="47" t="s">
        <v>89</v>
      </c>
      <c r="D96" s="74"/>
      <c r="E96" s="75">
        <v>46023</v>
      </c>
      <c r="F96" s="76">
        <f t="shared" si="35"/>
        <v>46032</v>
      </c>
      <c r="G96" s="77">
        <v>10</v>
      </c>
      <c r="H96" s="78">
        <v>0</v>
      </c>
      <c r="I96" s="97">
        <v>6</v>
      </c>
      <c r="J96" s="98"/>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row>
    <row r="97" s="47" customFormat="1" ht="45" hidden="1" customHeight="1" spans="1:66">
      <c r="A97" s="72" t="str">
        <f t="shared" si="28"/>
        <v>2.3</v>
      </c>
      <c r="B97" s="109" t="s">
        <v>90</v>
      </c>
      <c r="C97" s="47" t="s">
        <v>58</v>
      </c>
      <c r="D97" s="74"/>
      <c r="E97" s="75">
        <v>46034</v>
      </c>
      <c r="F97" s="76">
        <f t="shared" si="35"/>
        <v>46038</v>
      </c>
      <c r="G97" s="77">
        <v>5</v>
      </c>
      <c r="H97" s="78">
        <v>0</v>
      </c>
      <c r="I97" s="97">
        <v>5</v>
      </c>
      <c r="J97" s="98"/>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row>
    <row r="98" s="46" customFormat="1" ht="18" hidden="1" spans="1:66">
      <c r="A98" s="103" t="str">
        <f>IF(ISERROR(VALUE(SUBSTITUTE(prevWBS,".",""))),"1",IF(ISERROR(FIND("`",SUBSTITUTE(prevWBS,".","`",1))),TEXT(VALUE(prevWBS)+1,"#"),TEXT(VALUE(LEFT(prevWBS,FIND("`",SUBSTITUTE(prevWBS,".","`",1))-1))+1,"#")))</f>
        <v>3</v>
      </c>
      <c r="B98" s="104" t="s">
        <v>91</v>
      </c>
      <c r="D98" s="105"/>
      <c r="E98" s="106"/>
      <c r="F98" s="106" t="str">
        <f t="shared" ref="F98:F103" si="41">IF(ISBLANK(E98)," - ",IF(G98=0,E98,E98+G98-1))</f>
        <v> - </v>
      </c>
      <c r="G98" s="107"/>
      <c r="H98" s="108"/>
      <c r="I98" s="110" t="str">
        <f t="shared" ref="I98" si="42">IF(OR(F98=0,E98=0)," - ",NETWORKDAYS(E98,F98))</f>
        <v> - </v>
      </c>
      <c r="J98" s="111"/>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row>
    <row r="99" s="47" customFormat="1" ht="18" hidden="1" spans="1:66">
      <c r="A99" s="72" t="str">
        <f t="shared" si="28"/>
        <v>3.1</v>
      </c>
      <c r="B99" s="109" t="s">
        <v>92</v>
      </c>
      <c r="C99" s="47" t="s">
        <v>66</v>
      </c>
      <c r="D99" s="74"/>
      <c r="E99" s="75">
        <v>46041</v>
      </c>
      <c r="F99" s="76">
        <f t="shared" si="41"/>
        <v>46044</v>
      </c>
      <c r="G99" s="77">
        <v>4</v>
      </c>
      <c r="H99" s="78">
        <v>0</v>
      </c>
      <c r="I99" s="97">
        <v>4</v>
      </c>
      <c r="J99" s="98"/>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row>
    <row r="100" s="47" customFormat="1" ht="18" hidden="1" spans="1:66">
      <c r="A100" s="72" t="str">
        <f t="shared" si="28"/>
        <v>3.2</v>
      </c>
      <c r="B100" s="109" t="s">
        <v>93</v>
      </c>
      <c r="C100" s="47" t="s">
        <v>58</v>
      </c>
      <c r="D100" s="74"/>
      <c r="E100" s="75">
        <v>46041</v>
      </c>
      <c r="F100" s="76">
        <f t="shared" si="41"/>
        <v>46044</v>
      </c>
      <c r="G100" s="77">
        <v>4</v>
      </c>
      <c r="H100" s="78">
        <v>0</v>
      </c>
      <c r="I100" s="97">
        <v>4</v>
      </c>
      <c r="J100" s="98"/>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row>
    <row r="101" s="47" customFormat="1" ht="18" hidden="1" spans="1:66">
      <c r="A101" s="72" t="str">
        <f t="shared" si="28"/>
        <v>3.3</v>
      </c>
      <c r="B101" s="109" t="s">
        <v>94</v>
      </c>
      <c r="C101" s="47" t="s">
        <v>20</v>
      </c>
      <c r="D101" s="74"/>
      <c r="E101" s="75">
        <v>46045</v>
      </c>
      <c r="F101" s="76">
        <f t="shared" si="41"/>
        <v>46050</v>
      </c>
      <c r="G101" s="77">
        <v>6</v>
      </c>
      <c r="H101" s="78">
        <v>0</v>
      </c>
      <c r="I101" s="97">
        <v>4</v>
      </c>
      <c r="J101" s="98"/>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row>
    <row r="102" s="47" customFormat="1" ht="18" hidden="1" spans="1:66">
      <c r="A102" s="72" t="str">
        <f t="shared" si="28"/>
        <v>3.4</v>
      </c>
      <c r="B102" s="109" t="s">
        <v>95</v>
      </c>
      <c r="C102" s="47" t="s">
        <v>20</v>
      </c>
      <c r="D102" s="74"/>
      <c r="E102" s="75">
        <v>46051</v>
      </c>
      <c r="F102" s="76">
        <f t="shared" si="41"/>
        <v>46056</v>
      </c>
      <c r="G102" s="77">
        <v>6</v>
      </c>
      <c r="H102" s="78">
        <v>0</v>
      </c>
      <c r="I102" s="97">
        <v>4</v>
      </c>
      <c r="J102" s="98"/>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row>
    <row r="103" s="47" customFormat="1" ht="18" hidden="1" spans="1:66">
      <c r="A103" s="72" t="str">
        <f t="shared" si="28"/>
        <v>3.5</v>
      </c>
      <c r="B103" s="109" t="s">
        <v>96</v>
      </c>
      <c r="C103" s="47" t="s">
        <v>27</v>
      </c>
      <c r="D103" s="74"/>
      <c r="E103" s="75">
        <v>46045</v>
      </c>
      <c r="F103" s="76">
        <f t="shared" si="41"/>
        <v>46050</v>
      </c>
      <c r="G103" s="77">
        <v>6</v>
      </c>
      <c r="H103" s="78">
        <v>0</v>
      </c>
      <c r="I103" s="97">
        <v>4</v>
      </c>
      <c r="J103" s="98"/>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row>
    <row r="104" s="46" customFormat="1" ht="18" hidden="1" spans="1:66">
      <c r="A104" s="103" t="str">
        <f>IF(ISERROR(VALUE(SUBSTITUTE(prevWBS,".",""))),"1",IF(ISERROR(FIND("`",SUBSTITUTE(prevWBS,".","`",1))),TEXT(VALUE(prevWBS)+1,"#"),TEXT(VALUE(LEFT(prevWBS,FIND("`",SUBSTITUTE(prevWBS,".","`",1))-1))+1,"#")))</f>
        <v>4</v>
      </c>
      <c r="B104" s="104" t="s">
        <v>97</v>
      </c>
      <c r="D104" s="105"/>
      <c r="E104" s="106"/>
      <c r="F104" s="106" t="str">
        <f t="shared" ref="F104:F105" si="43">IF(ISBLANK(E104)," - ",IF(G104=0,E104,E104+G104-1))</f>
        <v> - </v>
      </c>
      <c r="G104" s="107"/>
      <c r="H104" s="108"/>
      <c r="I104" s="110" t="str">
        <f t="shared" ref="I104" si="44">IF(OR(F104=0,E104=0)," - ",NETWORKDAYS(E104,F104))</f>
        <v> - </v>
      </c>
      <c r="J104" s="111"/>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row>
    <row r="105" s="47" customFormat="1" ht="18" hidden="1" spans="1:66">
      <c r="A105" s="72" t="str">
        <f t="shared" si="28"/>
        <v>4.1</v>
      </c>
      <c r="B105" s="109" t="s">
        <v>98</v>
      </c>
      <c r="C105" s="47" t="s">
        <v>66</v>
      </c>
      <c r="D105" s="74"/>
      <c r="E105" s="75">
        <v>46051</v>
      </c>
      <c r="F105" s="76">
        <f t="shared" si="43"/>
        <v>46056</v>
      </c>
      <c r="G105" s="77">
        <v>6</v>
      </c>
      <c r="H105" s="78">
        <v>0</v>
      </c>
      <c r="I105" s="97">
        <v>4</v>
      </c>
      <c r="J105" s="98"/>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53">
      <dataBar>
        <cfvo type="num" val="0"/>
        <cfvo type="num" val="1"/>
        <color theme="0" tint="-0.349986266670736"/>
      </dataBar>
      <extLst>
        <ext xmlns:x14="http://schemas.microsoft.com/office/spreadsheetml/2009/9/main" uri="{B025F937-C7B1-47D3-B67F-A62EFF666E3E}">
          <x14:id>{c82f29cc-9165-4200-8e45-3f88b7731402}</x14:id>
        </ext>
      </extLst>
    </cfRule>
  </conditionalFormatting>
  <conditionalFormatting sqref="H20">
    <cfRule type="dataBar" priority="33">
      <dataBar>
        <cfvo type="num" val="0"/>
        <cfvo type="num" val="1"/>
        <color theme="0" tint="-0.349986266670736"/>
      </dataBar>
      <extLst>
        <ext xmlns:x14="http://schemas.microsoft.com/office/spreadsheetml/2009/9/main" uri="{B025F937-C7B1-47D3-B67F-A62EFF666E3E}">
          <x14:id>{42b26c0d-a72c-491e-8a7a-0a2d328cab42}</x14:id>
        </ext>
      </extLst>
    </cfRule>
  </conditionalFormatting>
  <conditionalFormatting sqref="H21">
    <cfRule type="dataBar" priority="29">
      <dataBar>
        <cfvo type="num" val="0"/>
        <cfvo type="num" val="1"/>
        <color theme="0" tint="-0.349986266670736"/>
      </dataBar>
      <extLst>
        <ext xmlns:x14="http://schemas.microsoft.com/office/spreadsheetml/2009/9/main" uri="{B025F937-C7B1-47D3-B67F-A62EFF666E3E}">
          <x14:id>{424b800f-a511-484c-8698-a53601c1f97b}</x14:id>
        </ext>
      </extLst>
    </cfRule>
  </conditionalFormatting>
  <conditionalFormatting sqref="H22">
    <cfRule type="dataBar" priority="25">
      <dataBar>
        <cfvo type="num" val="0"/>
        <cfvo type="num" val="1"/>
        <color theme="0" tint="-0.349986266670736"/>
      </dataBar>
      <extLst>
        <ext xmlns:x14="http://schemas.microsoft.com/office/spreadsheetml/2009/9/main" uri="{B025F937-C7B1-47D3-B67F-A62EFF666E3E}">
          <x14:id>{b224a4b9-5310-4984-b95a-1d7ddba21b43}</x14:id>
        </ext>
      </extLst>
    </cfRule>
  </conditionalFormatting>
  <conditionalFormatting sqref="H23">
    <cfRule type="dataBar" priority="21">
      <dataBar>
        <cfvo type="num" val="0"/>
        <cfvo type="num" val="1"/>
        <color theme="0" tint="-0.349986266670736"/>
      </dataBar>
      <extLst>
        <ext xmlns:x14="http://schemas.microsoft.com/office/spreadsheetml/2009/9/main" uri="{B025F937-C7B1-47D3-B67F-A62EFF666E3E}">
          <x14:id>{2baad873-d795-4aa6-a314-7903594b5f89}</x14:id>
        </ext>
      </extLst>
    </cfRule>
  </conditionalFormatting>
  <conditionalFormatting sqref="H24">
    <cfRule type="dataBar" priority="17">
      <dataBar>
        <cfvo type="num" val="0"/>
        <cfvo type="num" val="1"/>
        <color theme="0" tint="-0.349986266670736"/>
      </dataBar>
      <extLst>
        <ext xmlns:x14="http://schemas.microsoft.com/office/spreadsheetml/2009/9/main" uri="{B025F937-C7B1-47D3-B67F-A62EFF666E3E}">
          <x14:id>{3ae1b3c8-6720-4df7-8f02-1f9584346eda}</x14:id>
        </ext>
      </extLst>
    </cfRule>
  </conditionalFormatting>
  <conditionalFormatting sqref="H25">
    <cfRule type="dataBar" priority="9">
      <dataBar>
        <cfvo type="num" val="0"/>
        <cfvo type="num" val="1"/>
        <color theme="0" tint="-0.349986266670736"/>
      </dataBar>
      <extLst>
        <ext xmlns:x14="http://schemas.microsoft.com/office/spreadsheetml/2009/9/main" uri="{B025F937-C7B1-47D3-B67F-A62EFF666E3E}">
          <x14:id>{4f6fb63d-5c80-4b7e-aa82-354d0389170a}</x14:id>
        </ext>
      </extLst>
    </cfRule>
  </conditionalFormatting>
  <conditionalFormatting sqref="H26">
    <cfRule type="dataBar" priority="5">
      <dataBar>
        <cfvo type="num" val="0"/>
        <cfvo type="num" val="1"/>
        <color theme="0" tint="-0.349986266670736"/>
      </dataBar>
      <extLst>
        <ext xmlns:x14="http://schemas.microsoft.com/office/spreadsheetml/2009/9/main" uri="{B025F937-C7B1-47D3-B67F-A62EFF666E3E}">
          <x14:id>{8612768a-21f5-4f2e-b768-05a7505deaa6}</x14:id>
        </ext>
      </extLst>
    </cfRule>
  </conditionalFormatting>
  <conditionalFormatting sqref="H80">
    <cfRule type="dataBar" priority="93">
      <dataBar>
        <cfvo type="num" val="0"/>
        <cfvo type="num" val="1"/>
        <color theme="0" tint="-0.349986266670736"/>
      </dataBar>
      <extLst>
        <ext xmlns:x14="http://schemas.microsoft.com/office/spreadsheetml/2009/9/main" uri="{B025F937-C7B1-47D3-B67F-A62EFF666E3E}">
          <x14:id>{88bff44a-e51e-45a7-a9d3-c37318cd4486}</x14:id>
        </ext>
      </extLst>
    </cfRule>
  </conditionalFormatting>
  <conditionalFormatting sqref="H81">
    <cfRule type="dataBar" priority="89">
      <dataBar>
        <cfvo type="num" val="0"/>
        <cfvo type="num" val="1"/>
        <color theme="0" tint="-0.349986266670736"/>
      </dataBar>
      <extLst>
        <ext xmlns:x14="http://schemas.microsoft.com/office/spreadsheetml/2009/9/main" uri="{B025F937-C7B1-47D3-B67F-A62EFF666E3E}">
          <x14:id>{4d1bf3be-1b3a-4147-b46e-b36fe9b29562}</x14:id>
        </ext>
      </extLst>
    </cfRule>
  </conditionalFormatting>
  <conditionalFormatting sqref="H89">
    <cfRule type="dataBar" priority="85">
      <dataBar>
        <cfvo type="num" val="0"/>
        <cfvo type="num" val="1"/>
        <color theme="0" tint="-0.349986266670736"/>
      </dataBar>
      <extLst>
        <ext xmlns:x14="http://schemas.microsoft.com/office/spreadsheetml/2009/9/main" uri="{B025F937-C7B1-47D3-B67F-A62EFF666E3E}">
          <x14:id>{350e6712-2844-4918-8d29-ea05a3fbdd79}</x14:id>
        </ext>
      </extLst>
    </cfRule>
  </conditionalFormatting>
  <conditionalFormatting sqref="H90">
    <cfRule type="dataBar" priority="77">
      <dataBar>
        <cfvo type="num" val="0"/>
        <cfvo type="num" val="1"/>
        <color theme="0" tint="-0.349986266670736"/>
      </dataBar>
      <extLst>
        <ext xmlns:x14="http://schemas.microsoft.com/office/spreadsheetml/2009/9/main" uri="{B025F937-C7B1-47D3-B67F-A62EFF666E3E}">
          <x14:id>{51c206ca-4434-4033-bb0f-f88cb2f4d401}</x14:id>
        </ext>
      </extLst>
    </cfRule>
  </conditionalFormatting>
  <conditionalFormatting sqref="H91">
    <cfRule type="dataBar" priority="73">
      <dataBar>
        <cfvo type="num" val="0"/>
        <cfvo type="num" val="1"/>
        <color theme="0" tint="-0.349986266670736"/>
      </dataBar>
      <extLst>
        <ext xmlns:x14="http://schemas.microsoft.com/office/spreadsheetml/2009/9/main" uri="{B025F937-C7B1-47D3-B67F-A62EFF666E3E}">
          <x14:id>{2368c8cc-3552-45c1-ba0a-6ce2ce801bd7}</x14:id>
        </ext>
      </extLst>
    </cfRule>
  </conditionalFormatting>
  <conditionalFormatting sqref="H92">
    <cfRule type="dataBar" priority="65">
      <dataBar>
        <cfvo type="num" val="0"/>
        <cfvo type="num" val="1"/>
        <color theme="0" tint="-0.349986266670736"/>
      </dataBar>
      <extLst>
        <ext xmlns:x14="http://schemas.microsoft.com/office/spreadsheetml/2009/9/main" uri="{B025F937-C7B1-47D3-B67F-A62EFF666E3E}">
          <x14:id>{a672a338-8207-4b69-85cf-a3ec50f17c33}</x14:id>
        </ext>
      </extLst>
    </cfRule>
  </conditionalFormatting>
  <conditionalFormatting sqref="H93">
    <cfRule type="dataBar" priority="61">
      <dataBar>
        <cfvo type="num" val="0"/>
        <cfvo type="num" val="1"/>
        <color theme="0" tint="-0.349986266670736"/>
      </dataBar>
      <extLst>
        <ext xmlns:x14="http://schemas.microsoft.com/office/spreadsheetml/2009/9/main" uri="{B025F937-C7B1-47D3-B67F-A62EFF666E3E}">
          <x14:id>{9e4a8746-05e9-425a-975c-6ff237ea5aa5}</x14:id>
        </ext>
      </extLst>
    </cfRule>
  </conditionalFormatting>
  <conditionalFormatting sqref="H94">
    <cfRule type="dataBar" priority="133">
      <dataBar>
        <cfvo type="num" val="0"/>
        <cfvo type="num" val="1"/>
        <color theme="0" tint="-0.349986266670736"/>
      </dataBar>
      <extLst>
        <ext xmlns:x14="http://schemas.microsoft.com/office/spreadsheetml/2009/9/main" uri="{B025F937-C7B1-47D3-B67F-A62EFF666E3E}">
          <x14:id>{b6d134f9-fdc3-4130-88e7-d8ec663a43ca}</x14:id>
        </ext>
      </extLst>
    </cfRule>
  </conditionalFormatting>
  <conditionalFormatting sqref="H98">
    <cfRule type="dataBar" priority="121">
      <dataBar>
        <cfvo type="num" val="0"/>
        <cfvo type="num" val="1"/>
        <color theme="0" tint="-0.349986266670736"/>
      </dataBar>
      <extLst>
        <ext xmlns:x14="http://schemas.microsoft.com/office/spreadsheetml/2009/9/main" uri="{B025F937-C7B1-47D3-B67F-A62EFF666E3E}">
          <x14:id>{d2e64de9-be71-44b4-a552-162a2343e3ab}</x14:id>
        </ext>
      </extLst>
    </cfRule>
  </conditionalFormatting>
  <conditionalFormatting sqref="H104">
    <cfRule type="dataBar" priority="101">
      <dataBar>
        <cfvo type="num" val="0"/>
        <cfvo type="num" val="1"/>
        <color theme="0" tint="-0.349986266670736"/>
      </dataBar>
      <extLst>
        <ext xmlns:x14="http://schemas.microsoft.com/office/spreadsheetml/2009/9/main" uri="{B025F937-C7B1-47D3-B67F-A62EFF666E3E}">
          <x14:id>{fae75bae-7782-4d8e-bbc5-59a62f0bb2eb}</x14:id>
        </ext>
      </extLst>
    </cfRule>
  </conditionalFormatting>
  <conditionalFormatting sqref="H105">
    <cfRule type="dataBar" priority="97">
      <dataBar>
        <cfvo type="num" val="0"/>
        <cfvo type="num" val="1"/>
        <color theme="0" tint="-0.349986266670736"/>
      </dataBar>
      <extLst>
        <ext xmlns:x14="http://schemas.microsoft.com/office/spreadsheetml/2009/9/main" uri="{B025F937-C7B1-47D3-B67F-A62EFF666E3E}">
          <x14:id>{ad81f8e0-0449-481c-82f1-0318f7ab1972}</x14:id>
        </ext>
      </extLst>
    </cfRule>
  </conditionalFormatting>
  <conditionalFormatting sqref="H12:H15">
    <cfRule type="dataBar" priority="49">
      <dataBar>
        <cfvo type="num" val="0"/>
        <cfvo type="num" val="1"/>
        <color theme="0" tint="-0.349986266670736"/>
      </dataBar>
      <extLst>
        <ext xmlns:x14="http://schemas.microsoft.com/office/spreadsheetml/2009/9/main" uri="{B025F937-C7B1-47D3-B67F-A62EFF666E3E}">
          <x14:id>{622623cc-cebf-45ca-9bb0-9873a6ebdd15}</x14:id>
        </ext>
      </extLst>
    </cfRule>
  </conditionalFormatting>
  <conditionalFormatting sqref="H16:H19">
    <cfRule type="dataBar" priority="45">
      <dataBar>
        <cfvo type="num" val="0"/>
        <cfvo type="num" val="1"/>
        <color theme="0" tint="-0.349986266670736"/>
      </dataBar>
      <extLst>
        <ext xmlns:x14="http://schemas.microsoft.com/office/spreadsheetml/2009/9/main" uri="{B025F937-C7B1-47D3-B67F-A62EFF666E3E}">
          <x14:id>{e7b19019-582e-4875-8f39-a18fa0f454be}</x14:id>
        </ext>
      </extLst>
    </cfRule>
  </conditionalFormatting>
  <conditionalFormatting sqref="H27:H65">
    <cfRule type="dataBar" priority="1">
      <dataBar>
        <cfvo type="num" val="0"/>
        <cfvo type="num" val="1"/>
        <color theme="0" tint="-0.349986266670736"/>
      </dataBar>
      <extLst>
        <ext xmlns:x14="http://schemas.microsoft.com/office/spreadsheetml/2009/9/main" uri="{B025F937-C7B1-47D3-B67F-A62EFF666E3E}">
          <x14:id>{d8eaab20-86eb-4a4f-88e7-8c733d90f135}</x14:id>
        </ext>
      </extLst>
    </cfRule>
  </conditionalFormatting>
  <conditionalFormatting sqref="H72:H76">
    <cfRule type="dataBar" priority="153">
      <dataBar>
        <cfvo type="num" val="0"/>
        <cfvo type="num" val="1"/>
        <color theme="0" tint="-0.349986266670736"/>
      </dataBar>
      <extLst>
        <ext xmlns:x14="http://schemas.microsoft.com/office/spreadsheetml/2009/9/main" uri="{B025F937-C7B1-47D3-B67F-A62EFF666E3E}">
          <x14:id>{d1d233ce-0caf-4141-b0bb-f0a169a04de8}</x14:id>
        </ext>
      </extLst>
    </cfRule>
  </conditionalFormatting>
  <conditionalFormatting sqref="H77:H79">
    <cfRule type="dataBar" priority="149">
      <dataBar>
        <cfvo type="num" val="0"/>
        <cfvo type="num" val="1"/>
        <color theme="0" tint="-0.349986266670736"/>
      </dataBar>
      <extLst>
        <ext xmlns:x14="http://schemas.microsoft.com/office/spreadsheetml/2009/9/main" uri="{B025F937-C7B1-47D3-B67F-A62EFF666E3E}">
          <x14:id>{18494542-7ffa-4544-a829-73f273fdac72}</x14:id>
        </ext>
      </extLst>
    </cfRule>
  </conditionalFormatting>
  <conditionalFormatting sqref="H82:H86">
    <cfRule type="dataBar" priority="145">
      <dataBar>
        <cfvo type="num" val="0"/>
        <cfvo type="num" val="1"/>
        <color theme="0" tint="-0.349986266670736"/>
      </dataBar>
      <extLst>
        <ext xmlns:x14="http://schemas.microsoft.com/office/spreadsheetml/2009/9/main" uri="{B025F937-C7B1-47D3-B67F-A62EFF666E3E}">
          <x14:id>{2e20adf6-eb30-4ab4-87ae-5126ac9810b3}</x14:id>
        </ext>
      </extLst>
    </cfRule>
  </conditionalFormatting>
  <conditionalFormatting sqref="H87:H88">
    <cfRule type="dataBar" priority="141">
      <dataBar>
        <cfvo type="num" val="0"/>
        <cfvo type="num" val="1"/>
        <color theme="0" tint="-0.349986266670736"/>
      </dataBar>
      <extLst>
        <ext xmlns:x14="http://schemas.microsoft.com/office/spreadsheetml/2009/9/main" uri="{B025F937-C7B1-47D3-B67F-A62EFF666E3E}">
          <x14:id>{84d739b6-5139-4692-8d94-3d2600db22e8}</x14:id>
        </ext>
      </extLst>
    </cfRule>
  </conditionalFormatting>
  <conditionalFormatting sqref="H95:H97">
    <cfRule type="dataBar" priority="129">
      <dataBar>
        <cfvo type="num" val="0"/>
        <cfvo type="num" val="1"/>
        <color theme="0" tint="-0.349986266670736"/>
      </dataBar>
      <extLst>
        <ext xmlns:x14="http://schemas.microsoft.com/office/spreadsheetml/2009/9/main" uri="{B025F937-C7B1-47D3-B67F-A62EFF666E3E}">
          <x14:id>{7c6058b7-73e3-4218-b248-6be7606a2995}</x14:id>
        </ext>
      </extLst>
    </cfRule>
  </conditionalFormatting>
  <conditionalFormatting sqref="H99:H103">
    <cfRule type="dataBar" priority="113">
      <dataBar>
        <cfvo type="num" val="0"/>
        <cfvo type="num" val="1"/>
        <color theme="0" tint="-0.349986266670736"/>
      </dataBar>
      <extLst>
        <ext xmlns:x14="http://schemas.microsoft.com/office/spreadsheetml/2009/9/main" uri="{B025F937-C7B1-47D3-B67F-A62EFF666E3E}">
          <x14:id>{896b7761-a367-42b2-9e35-ac3039c4a3e9}</x14:id>
        </ext>
      </extLst>
    </cfRule>
  </conditionalFormatting>
  <conditionalFormatting sqref="K6:BN7">
    <cfRule type="expression" dxfId="0" priority="209">
      <formula>K$6=TODAY()</formula>
    </cfRule>
  </conditionalFormatting>
  <conditionalFormatting sqref="K6:BN105">
    <cfRule type="expression" dxfId="1" priority="46">
      <formula>K$6=TODAY()</formula>
    </cfRule>
  </conditionalFormatting>
  <conditionalFormatting sqref="H8:H10;H66:H71">
    <cfRule type="dataBar" priority="166">
      <dataBar>
        <cfvo type="num" val="0"/>
        <cfvo type="num" val="1"/>
        <color theme="0" tint="-0.349986266670736"/>
      </dataBar>
      <extLst>
        <ext xmlns:x14="http://schemas.microsoft.com/office/spreadsheetml/2009/9/main" uri="{B025F937-C7B1-47D3-B67F-A62EFF666E3E}">
          <x14:id>{29e37b84-c31e-4a00-bf5c-5be8ffce8fb3}</x14:id>
        </ext>
      </extLst>
    </cfRule>
  </conditionalFormatting>
  <conditionalFormatting sqref="K8:BN105">
    <cfRule type="expression" dxfId="2" priority="47">
      <formula>AND($E8&lt;=K$6,ROUNDDOWN(($F8-$E8+1)*$H8,0)+$E8-1&gt;=K$6)</formula>
    </cfRule>
    <cfRule type="expression" dxfId="3" priority="48">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66" formula="1"/>
    <ignoredError sqref="H68:H70 G66:H66 E6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c82f29cc-9165-4200-8e45-3f88b7731402}">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42b26c0d-a72c-491e-8a7a-0a2d328cab42}">
            <x14:dataBar minLength="0" maxLength="100" gradient="0">
              <x14:cfvo type="num">
                <xm:f>0</xm:f>
              </x14:cfvo>
              <x14:cfvo type="num">
                <xm:f>1</xm:f>
              </x14:cfvo>
              <x14:negativeFillColor rgb="FFFF0000"/>
              <x14:axisColor rgb="FF000000"/>
            </x14:dataBar>
          </x14:cfRule>
          <xm:sqref>H20</xm:sqref>
        </x14:conditionalFormatting>
        <x14:conditionalFormatting xmlns:xm="http://schemas.microsoft.com/office/excel/2006/main">
          <x14:cfRule type="dataBar" id="{424b800f-a511-484c-8698-a53601c1f97b}">
            <x14:dataBar minLength="0" maxLength="100" gradient="0">
              <x14:cfvo type="num">
                <xm:f>0</xm:f>
              </x14:cfvo>
              <x14:cfvo type="num">
                <xm:f>1</xm:f>
              </x14:cfvo>
              <x14:negativeFillColor rgb="FFFF0000"/>
              <x14:axisColor rgb="FF000000"/>
            </x14:dataBar>
          </x14:cfRule>
          <xm:sqref>H21</xm:sqref>
        </x14:conditionalFormatting>
        <x14:conditionalFormatting xmlns:xm="http://schemas.microsoft.com/office/excel/2006/main">
          <x14:cfRule type="dataBar" id="{b224a4b9-5310-4984-b95a-1d7ddba21b43}">
            <x14:dataBar minLength="0" maxLength="100" gradient="0">
              <x14:cfvo type="num">
                <xm:f>0</xm:f>
              </x14:cfvo>
              <x14:cfvo type="num">
                <xm:f>1</xm:f>
              </x14:cfvo>
              <x14:negativeFillColor rgb="FFFF0000"/>
              <x14:axisColor rgb="FF000000"/>
            </x14:dataBar>
          </x14:cfRule>
          <xm:sqref>H22</xm:sqref>
        </x14:conditionalFormatting>
        <x14:conditionalFormatting xmlns:xm="http://schemas.microsoft.com/office/excel/2006/main">
          <x14:cfRule type="dataBar" id="{2baad873-d795-4aa6-a314-7903594b5f89}">
            <x14:dataBar minLength="0" maxLength="100" gradient="0">
              <x14:cfvo type="num">
                <xm:f>0</xm:f>
              </x14:cfvo>
              <x14:cfvo type="num">
                <xm:f>1</xm:f>
              </x14:cfvo>
              <x14:negativeFillColor rgb="FFFF0000"/>
              <x14:axisColor rgb="FF000000"/>
            </x14:dataBar>
          </x14:cfRule>
          <xm:sqref>H23</xm:sqref>
        </x14:conditionalFormatting>
        <x14:conditionalFormatting xmlns:xm="http://schemas.microsoft.com/office/excel/2006/main">
          <x14:cfRule type="dataBar" id="{3ae1b3c8-6720-4df7-8f02-1f9584346eda}">
            <x14:dataBar minLength="0" maxLength="100" gradient="0">
              <x14:cfvo type="num">
                <xm:f>0</xm:f>
              </x14:cfvo>
              <x14:cfvo type="num">
                <xm:f>1</xm:f>
              </x14:cfvo>
              <x14:negativeFillColor rgb="FFFF0000"/>
              <x14:axisColor rgb="FF000000"/>
            </x14:dataBar>
          </x14:cfRule>
          <xm:sqref>H24</xm:sqref>
        </x14:conditionalFormatting>
        <x14:conditionalFormatting xmlns:xm="http://schemas.microsoft.com/office/excel/2006/main">
          <x14:cfRule type="dataBar" id="{4f6fb63d-5c80-4b7e-aa82-354d0389170a}">
            <x14:dataBar minLength="0" maxLength="100" gradient="0">
              <x14:cfvo type="num">
                <xm:f>0</xm:f>
              </x14:cfvo>
              <x14:cfvo type="num">
                <xm:f>1</xm:f>
              </x14:cfvo>
              <x14:negativeFillColor rgb="FFFF0000"/>
              <x14:axisColor rgb="FF000000"/>
            </x14:dataBar>
          </x14:cfRule>
          <xm:sqref>H25</xm:sqref>
        </x14:conditionalFormatting>
        <x14:conditionalFormatting xmlns:xm="http://schemas.microsoft.com/office/excel/2006/main">
          <x14:cfRule type="dataBar" id="{8612768a-21f5-4f2e-b768-05a7505deaa6}">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88bff44a-e51e-45a7-a9d3-c37318cd4486}">
            <x14:dataBar minLength="0" maxLength="100" gradient="0">
              <x14:cfvo type="num">
                <xm:f>0</xm:f>
              </x14:cfvo>
              <x14:cfvo type="num">
                <xm:f>1</xm:f>
              </x14:cfvo>
              <x14:negativeFillColor rgb="FFFF0000"/>
              <x14:axisColor rgb="FF000000"/>
            </x14:dataBar>
          </x14:cfRule>
          <xm:sqref>H80</xm:sqref>
        </x14:conditionalFormatting>
        <x14:conditionalFormatting xmlns:xm="http://schemas.microsoft.com/office/excel/2006/main">
          <x14:cfRule type="dataBar" id="{4d1bf3be-1b3a-4147-b46e-b36fe9b29562}">
            <x14:dataBar minLength="0" maxLength="100" gradient="0">
              <x14:cfvo type="num">
                <xm:f>0</xm:f>
              </x14:cfvo>
              <x14:cfvo type="num">
                <xm:f>1</xm:f>
              </x14:cfvo>
              <x14:negativeFillColor rgb="FFFF0000"/>
              <x14:axisColor rgb="FF000000"/>
            </x14:dataBar>
          </x14:cfRule>
          <xm:sqref>H81</xm:sqref>
        </x14:conditionalFormatting>
        <x14:conditionalFormatting xmlns:xm="http://schemas.microsoft.com/office/excel/2006/main">
          <x14:cfRule type="dataBar" id="{350e6712-2844-4918-8d29-ea05a3fbdd79}">
            <x14:dataBar minLength="0" maxLength="100" gradient="0">
              <x14:cfvo type="num">
                <xm:f>0</xm:f>
              </x14:cfvo>
              <x14:cfvo type="num">
                <xm:f>1</xm:f>
              </x14:cfvo>
              <x14:negativeFillColor rgb="FFFF0000"/>
              <x14:axisColor rgb="FF000000"/>
            </x14:dataBar>
          </x14:cfRule>
          <xm:sqref>H89</xm:sqref>
        </x14:conditionalFormatting>
        <x14:conditionalFormatting xmlns:xm="http://schemas.microsoft.com/office/excel/2006/main">
          <x14:cfRule type="dataBar" id="{51c206ca-4434-4033-bb0f-f88cb2f4d401}">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2368c8cc-3552-45c1-ba0a-6ce2ce801bd7}">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a672a338-8207-4b69-85cf-a3ec50f17c33}">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9e4a8746-05e9-425a-975c-6ff237ea5aa5}">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b6d134f9-fdc3-4130-88e7-d8ec663a43ca}">
            <x14:dataBar minLength="0" maxLength="100" gradient="0">
              <x14:cfvo type="num">
                <xm:f>0</xm:f>
              </x14:cfvo>
              <x14:cfvo type="num">
                <xm:f>1</xm:f>
              </x14:cfvo>
              <x14:negativeFillColor rgb="FFFF0000"/>
              <x14:axisColor rgb="FF000000"/>
            </x14:dataBar>
          </x14:cfRule>
          <xm:sqref>H94</xm:sqref>
        </x14:conditionalFormatting>
        <x14:conditionalFormatting xmlns:xm="http://schemas.microsoft.com/office/excel/2006/main">
          <x14:cfRule type="dataBar" id="{d2e64de9-be71-44b4-a552-162a2343e3ab}">
            <x14:dataBar minLength="0" maxLength="100" gradient="0">
              <x14:cfvo type="num">
                <xm:f>0</xm:f>
              </x14:cfvo>
              <x14:cfvo type="num">
                <xm:f>1</xm:f>
              </x14:cfvo>
              <x14:negativeFillColor rgb="FFFF0000"/>
              <x14:axisColor rgb="FF000000"/>
            </x14:dataBar>
          </x14:cfRule>
          <xm:sqref>H98</xm:sqref>
        </x14:conditionalFormatting>
        <x14:conditionalFormatting xmlns:xm="http://schemas.microsoft.com/office/excel/2006/main">
          <x14:cfRule type="dataBar" id="{fae75bae-7782-4d8e-bbc5-59a62f0bb2e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ad81f8e0-0449-481c-82f1-0318f7ab1972}">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622623cc-cebf-45ca-9bb0-9873a6ebdd15}">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e7b19019-582e-4875-8f39-a18fa0f454be}">
            <x14:dataBar minLength="0" maxLength="100" gradient="0">
              <x14:cfvo type="num">
                <xm:f>0</xm:f>
              </x14:cfvo>
              <x14:cfvo type="num">
                <xm:f>1</xm:f>
              </x14:cfvo>
              <x14:negativeFillColor rgb="FFFF0000"/>
              <x14:axisColor rgb="FF000000"/>
            </x14:dataBar>
          </x14:cfRule>
          <xm:sqref>H16:H19</xm:sqref>
        </x14:conditionalFormatting>
        <x14:conditionalFormatting xmlns:xm="http://schemas.microsoft.com/office/excel/2006/main">
          <x14:cfRule type="dataBar" id="{d8eaab20-86eb-4a4f-88e7-8c733d90f135}">
            <x14:dataBar minLength="0" maxLength="100" gradient="0">
              <x14:cfvo type="num">
                <xm:f>0</xm:f>
              </x14:cfvo>
              <x14:cfvo type="num">
                <xm:f>1</xm:f>
              </x14:cfvo>
              <x14:negativeFillColor rgb="FFFF0000"/>
              <x14:axisColor rgb="FF000000"/>
            </x14:dataBar>
          </x14:cfRule>
          <xm:sqref>H27:H65</xm:sqref>
        </x14:conditionalFormatting>
        <x14:conditionalFormatting xmlns:xm="http://schemas.microsoft.com/office/excel/2006/main">
          <x14:cfRule type="dataBar" id="{d1d233ce-0caf-4141-b0bb-f0a169a04de8}">
            <x14:dataBar minLength="0" maxLength="100" gradient="0">
              <x14:cfvo type="num">
                <xm:f>0</xm:f>
              </x14:cfvo>
              <x14:cfvo type="num">
                <xm:f>1</xm:f>
              </x14:cfvo>
              <x14:negativeFillColor rgb="FFFF0000"/>
              <x14:axisColor rgb="FF000000"/>
            </x14:dataBar>
          </x14:cfRule>
          <xm:sqref>H72:H76</xm:sqref>
        </x14:conditionalFormatting>
        <x14:conditionalFormatting xmlns:xm="http://schemas.microsoft.com/office/excel/2006/main">
          <x14:cfRule type="dataBar" id="{18494542-7ffa-4544-a829-73f273fdac72}">
            <x14:dataBar minLength="0" maxLength="100" gradient="0">
              <x14:cfvo type="num">
                <xm:f>0</xm:f>
              </x14:cfvo>
              <x14:cfvo type="num">
                <xm:f>1</xm:f>
              </x14:cfvo>
              <x14:negativeFillColor rgb="FFFF0000"/>
              <x14:axisColor rgb="FF000000"/>
            </x14:dataBar>
          </x14:cfRule>
          <xm:sqref>H77:H79</xm:sqref>
        </x14:conditionalFormatting>
        <x14:conditionalFormatting xmlns:xm="http://schemas.microsoft.com/office/excel/2006/main">
          <x14:cfRule type="dataBar" id="{2e20adf6-eb30-4ab4-87ae-5126ac9810b3}">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84d739b6-5139-4692-8d94-3d2600db22e8}">
            <x14:dataBar minLength="0" maxLength="100" gradient="0">
              <x14:cfvo type="num">
                <xm:f>0</xm:f>
              </x14:cfvo>
              <x14:cfvo type="num">
                <xm:f>1</xm:f>
              </x14:cfvo>
              <x14:negativeFillColor rgb="FFFF0000"/>
              <x14:axisColor rgb="FF000000"/>
            </x14:dataBar>
          </x14:cfRule>
          <xm:sqref>H87:H88</xm:sqref>
        </x14:conditionalFormatting>
        <x14:conditionalFormatting xmlns:xm="http://schemas.microsoft.com/office/excel/2006/main">
          <x14:cfRule type="dataBar" id="{7c6058b7-73e3-4218-b248-6be7606a2995}">
            <x14:dataBar minLength="0" maxLength="100" gradient="0">
              <x14:cfvo type="num">
                <xm:f>0</xm:f>
              </x14:cfvo>
              <x14:cfvo type="num">
                <xm:f>1</xm:f>
              </x14:cfvo>
              <x14:negativeFillColor rgb="FFFF0000"/>
              <x14:axisColor rgb="FF000000"/>
            </x14:dataBar>
          </x14:cfRule>
          <xm:sqref>H95:H97</xm:sqref>
        </x14:conditionalFormatting>
        <x14:conditionalFormatting xmlns:xm="http://schemas.microsoft.com/office/excel/2006/main">
          <x14:cfRule type="dataBar" id="{896b7761-a367-42b2-9e35-ac3039c4a3e9}">
            <x14:dataBar minLength="0" maxLength="100" gradient="0">
              <x14:cfvo type="num">
                <xm:f>0</xm:f>
              </x14:cfvo>
              <x14:cfvo type="num">
                <xm:f>1</xm:f>
              </x14:cfvo>
              <x14:negativeFillColor rgb="FFFF0000"/>
              <x14:axisColor rgb="FF000000"/>
            </x14:dataBar>
          </x14:cfRule>
          <xm:sqref>H99:H103</xm:sqref>
        </x14:conditionalFormatting>
        <x14:conditionalFormatting xmlns:xm="http://schemas.microsoft.com/office/excel/2006/main">
          <x14:cfRule type="dataBar" id="{29e37b84-c31e-4a00-bf5c-5be8ffce8fb3}">
            <x14:dataBar minLength="0" maxLength="100" gradient="0">
              <x14:cfvo type="num">
                <xm:f>0</xm:f>
              </x14:cfvo>
              <x14:cfvo type="num">
                <xm:f>1</xm:f>
              </x14:cfvo>
              <x14:negativeFillColor rgb="FFFF0000"/>
              <x14:axisColor rgb="FF000000"/>
            </x14:dataBar>
          </x14:cfRule>
          <xm:sqref>H8:H10;H66:H71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1">
      <c r="A1" s="42" t="s">
        <v>99</v>
      </c>
    </row>
    <row r="4" spans="3:3">
      <c r="C4" s="26" t="s">
        <v>100</v>
      </c>
    </row>
    <row r="5" spans="3:3">
      <c r="C5" t="s">
        <v>101</v>
      </c>
    </row>
    <row r="7" ht="18" spans="3:3">
      <c r="C7" s="43" t="s">
        <v>102</v>
      </c>
    </row>
    <row r="8" spans="3:3">
      <c r="C8" s="44" t="s">
        <v>103</v>
      </c>
    </row>
    <row r="10" spans="3:3">
      <c r="C10" t="s">
        <v>104</v>
      </c>
    </row>
    <row r="11" spans="3:3">
      <c r="C11" t="s">
        <v>105</v>
      </c>
    </row>
    <row r="13" ht="18" spans="3:3">
      <c r="C13" s="43" t="s">
        <v>106</v>
      </c>
    </row>
    <row r="16" ht="15.75" spans="1:1">
      <c r="A16" s="16" t="s">
        <v>107</v>
      </c>
    </row>
    <row r="18" ht="15" spans="2:2">
      <c r="B18" s="45" t="s">
        <v>108</v>
      </c>
    </row>
    <row r="19" spans="2:2">
      <c r="B19" t="s">
        <v>109</v>
      </c>
    </row>
    <row r="20" spans="2:2">
      <c r="B20" t="s">
        <v>110</v>
      </c>
    </row>
    <row r="22" ht="15" spans="2:2">
      <c r="B22" s="45" t="s">
        <v>111</v>
      </c>
    </row>
    <row r="23" spans="2:2">
      <c r="B23" t="s">
        <v>112</v>
      </c>
    </row>
    <row r="24" spans="2:2">
      <c r="B24" t="s">
        <v>113</v>
      </c>
    </row>
    <row r="26" ht="15" spans="2:2">
      <c r="B26" s="45" t="s">
        <v>114</v>
      </c>
    </row>
    <row r="27" spans="2:2">
      <c r="B27" t="s">
        <v>115</v>
      </c>
    </row>
    <row r="28" spans="2:2">
      <c r="B28" t="s">
        <v>116</v>
      </c>
    </row>
    <row r="29" spans="2:2">
      <c r="B29" t="s">
        <v>117</v>
      </c>
    </row>
    <row r="30" spans="2:2">
      <c r="B30" t="s">
        <v>118</v>
      </c>
    </row>
    <row r="31" spans="2:2">
      <c r="B31" t="s">
        <v>119</v>
      </c>
    </row>
    <row r="32" spans="2:2">
      <c r="B32" t="s">
        <v>120</v>
      </c>
    </row>
    <row r="34" ht="15" spans="2:2">
      <c r="B34" s="45" t="s">
        <v>121</v>
      </c>
    </row>
    <row r="35" spans="2:2">
      <c r="B35" t="s">
        <v>122</v>
      </c>
    </row>
    <row r="36" spans="2:2">
      <c r="B36" t="s">
        <v>123</v>
      </c>
    </row>
    <row r="37" spans="2:2">
      <c r="B37" t="s">
        <v>124</v>
      </c>
    </row>
    <row r="39" ht="15" spans="2:2">
      <c r="B39" s="45" t="s">
        <v>125</v>
      </c>
    </row>
    <row r="40" spans="2:2">
      <c r="B40" t="s">
        <v>126</v>
      </c>
    </row>
    <row r="42" ht="15" spans="2:2">
      <c r="B42" s="45" t="s">
        <v>127</v>
      </c>
    </row>
    <row r="43" spans="2:2">
      <c r="B43" t="s">
        <v>128</v>
      </c>
    </row>
    <row r="44" spans="2:2">
      <c r="B44" t="s">
        <v>129</v>
      </c>
    </row>
    <row r="46" ht="18" spans="2:2">
      <c r="B46" s="43" t="s">
        <v>130</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2">
      <c r="A1" s="1" t="s">
        <v>131</v>
      </c>
      <c r="B1" s="12"/>
    </row>
    <row r="2" ht="14.25" spans="1:2">
      <c r="A2" s="13" t="s">
        <v>103</v>
      </c>
      <c r="B2" s="14"/>
    </row>
    <row r="3" spans="2:2">
      <c r="B3" s="14"/>
    </row>
    <row r="4" ht="18" spans="1:2">
      <c r="A4" s="15" t="s">
        <v>132</v>
      </c>
      <c r="B4" s="16"/>
    </row>
    <row r="5" ht="57" spans="2:2">
      <c r="B5" s="17" t="s">
        <v>133</v>
      </c>
    </row>
    <row r="7" ht="28.5" spans="2:2">
      <c r="B7" s="17" t="s">
        <v>134</v>
      </c>
    </row>
    <row r="9" ht="14.25" spans="2:2">
      <c r="B9" s="13" t="s">
        <v>135</v>
      </c>
    </row>
    <row r="11" ht="28.5" spans="2:2">
      <c r="B11" s="18" t="s">
        <v>136</v>
      </c>
    </row>
    <row r="13" ht="18" spans="1:2">
      <c r="A13" s="19" t="s">
        <v>137</v>
      </c>
      <c r="B13" s="19"/>
    </row>
    <row r="15" s="11" customFormat="1" ht="18" spans="1:2">
      <c r="A15" s="20"/>
      <c r="B15" s="21" t="s">
        <v>138</v>
      </c>
    </row>
    <row r="16" s="11" customFormat="1" ht="18" spans="1:3">
      <c r="A16" s="20"/>
      <c r="B16" s="21" t="s">
        <v>139</v>
      </c>
      <c r="C16" s="22" t="s">
        <v>140</v>
      </c>
    </row>
    <row r="17" ht="18" spans="1:2">
      <c r="A17" s="23"/>
      <c r="B17" s="21" t="s">
        <v>141</v>
      </c>
    </row>
    <row r="18" ht="18" spans="1:2">
      <c r="A18" s="23"/>
      <c r="B18" s="21" t="s">
        <v>142</v>
      </c>
    </row>
    <row r="19" ht="18" spans="1:2">
      <c r="A19" s="23"/>
      <c r="B19" s="21" t="s">
        <v>143</v>
      </c>
    </row>
    <row r="20" s="11" customFormat="1" ht="18" spans="1:3">
      <c r="A20" s="20"/>
      <c r="B20" s="21" t="s">
        <v>144</v>
      </c>
      <c r="C20" s="24" t="s">
        <v>145</v>
      </c>
    </row>
    <row r="21" ht="18" spans="1:2">
      <c r="A21" s="23"/>
      <c r="B21" s="21" t="s">
        <v>146</v>
      </c>
    </row>
    <row r="22" ht="18" spans="1:2">
      <c r="A22" s="23"/>
      <c r="B22" s="25" t="s">
        <v>147</v>
      </c>
    </row>
    <row r="23" ht="18" spans="1:2">
      <c r="A23" s="23"/>
      <c r="B23" s="26"/>
    </row>
    <row r="24" ht="18" spans="1:2">
      <c r="A24" s="19" t="s">
        <v>148</v>
      </c>
      <c r="B24" s="19"/>
    </row>
    <row r="25" ht="43.5" spans="1:2">
      <c r="A25" s="23"/>
      <c r="B25" s="21" t="s">
        <v>149</v>
      </c>
    </row>
    <row r="26" ht="18" spans="1:2">
      <c r="A26" s="23"/>
      <c r="B26" s="21"/>
    </row>
    <row r="27" ht="18" spans="1:2">
      <c r="A27" s="23"/>
      <c r="B27" s="27" t="s">
        <v>150</v>
      </c>
    </row>
    <row r="28" ht="18" spans="1:2">
      <c r="A28" s="23"/>
      <c r="B28" s="21" t="s">
        <v>151</v>
      </c>
    </row>
    <row r="29" ht="28.5" spans="1:2">
      <c r="A29" s="23"/>
      <c r="B29" s="21" t="s">
        <v>152</v>
      </c>
    </row>
    <row r="30" ht="18" spans="1:2">
      <c r="A30" s="23"/>
      <c r="B30" s="21"/>
    </row>
    <row r="31" ht="18" spans="1:2">
      <c r="A31" s="23"/>
      <c r="B31" s="27" t="s">
        <v>153</v>
      </c>
    </row>
    <row r="32" ht="18" spans="1:2">
      <c r="A32" s="23"/>
      <c r="B32" s="21" t="s">
        <v>154</v>
      </c>
    </row>
    <row r="33" ht="18" spans="1:2">
      <c r="A33" s="23"/>
      <c r="B33" s="21" t="s">
        <v>155</v>
      </c>
    </row>
    <row r="34" ht="18" spans="1:2">
      <c r="A34" s="23"/>
      <c r="B34" s="26"/>
    </row>
    <row r="35" ht="28.5" spans="1:2">
      <c r="A35" s="23"/>
      <c r="B35" s="21" t="s">
        <v>156</v>
      </c>
    </row>
    <row r="36" ht="18" spans="1:2">
      <c r="A36" s="23"/>
      <c r="B36" s="28" t="s">
        <v>157</v>
      </c>
    </row>
    <row r="37" ht="18" spans="1:2">
      <c r="A37" s="23"/>
      <c r="B37" s="26"/>
    </row>
    <row r="38" ht="18" spans="1:2">
      <c r="A38" s="19" t="s">
        <v>158</v>
      </c>
      <c r="B38" s="19"/>
    </row>
    <row r="39" ht="28.5" spans="2:2">
      <c r="B39" s="21" t="s">
        <v>159</v>
      </c>
    </row>
    <row r="41" ht="14.25" spans="2:2">
      <c r="B41" s="21" t="s">
        <v>160</v>
      </c>
    </row>
    <row r="43" ht="28.5" spans="2:2">
      <c r="B43" s="21" t="s">
        <v>161</v>
      </c>
    </row>
    <row r="45" ht="28.5" spans="2:2">
      <c r="B45" s="21" t="s">
        <v>162</v>
      </c>
    </row>
    <row r="46" spans="2:2">
      <c r="B46" s="29"/>
    </row>
    <row r="47" ht="28.5" spans="2:2">
      <c r="B47" s="21" t="s">
        <v>163</v>
      </c>
    </row>
    <row r="49" ht="18" spans="1:2">
      <c r="A49" s="19" t="s">
        <v>164</v>
      </c>
      <c r="B49" s="19"/>
    </row>
    <row r="50" ht="28.5" spans="2:2">
      <c r="B50" s="21" t="s">
        <v>165</v>
      </c>
    </row>
    <row r="52" ht="14.25" spans="1:2">
      <c r="A52" s="30" t="s">
        <v>166</v>
      </c>
      <c r="B52" s="21" t="s">
        <v>167</v>
      </c>
    </row>
    <row r="53" ht="14.25" spans="1:2">
      <c r="A53" s="30" t="s">
        <v>168</v>
      </c>
      <c r="B53" s="21" t="s">
        <v>169</v>
      </c>
    </row>
    <row r="54" ht="14.25" spans="1:2">
      <c r="A54" s="30" t="s">
        <v>170</v>
      </c>
      <c r="B54" s="21" t="s">
        <v>171</v>
      </c>
    </row>
    <row r="55" ht="28.5" spans="1:2">
      <c r="A55" s="18"/>
      <c r="B55" s="21" t="s">
        <v>172</v>
      </c>
    </row>
    <row r="56" ht="28.5" spans="1:2">
      <c r="A56" s="18"/>
      <c r="B56" s="21" t="s">
        <v>173</v>
      </c>
    </row>
    <row r="57" ht="14.25" spans="1:2">
      <c r="A57" s="30" t="s">
        <v>174</v>
      </c>
      <c r="B57" s="21" t="s">
        <v>175</v>
      </c>
    </row>
    <row r="58" ht="14.25" spans="1:2">
      <c r="A58" s="18"/>
      <c r="B58" s="21" t="s">
        <v>176</v>
      </c>
    </row>
    <row r="59" ht="14.25" spans="1:2">
      <c r="A59" s="18"/>
      <c r="B59" s="21" t="s">
        <v>177</v>
      </c>
    </row>
    <row r="60" ht="14.25" spans="1:2">
      <c r="A60" s="30" t="s">
        <v>178</v>
      </c>
      <c r="B60" s="21" t="s">
        <v>179</v>
      </c>
    </row>
    <row r="61" ht="28.5" spans="1:2">
      <c r="A61" s="18"/>
      <c r="B61" s="21" t="s">
        <v>180</v>
      </c>
    </row>
    <row r="62" ht="14.25" spans="1:2">
      <c r="A62" s="30" t="s">
        <v>181</v>
      </c>
      <c r="B62" s="21" t="s">
        <v>182</v>
      </c>
    </row>
    <row r="63" ht="14.25" spans="1:2">
      <c r="A63" s="31"/>
      <c r="B63" s="21" t="s">
        <v>183</v>
      </c>
    </row>
    <row r="64" spans="2:2">
      <c r="B64" s="32"/>
    </row>
    <row r="65" ht="18" spans="1:2">
      <c r="A65" s="19" t="s">
        <v>184</v>
      </c>
      <c r="B65" s="19"/>
    </row>
    <row r="66" ht="42.75" spans="2:2">
      <c r="B66" s="21" t="s">
        <v>185</v>
      </c>
    </row>
    <row r="68" ht="18" spans="1:2">
      <c r="A68" s="19" t="s">
        <v>186</v>
      </c>
      <c r="B68" s="19"/>
    </row>
    <row r="69" ht="15" spans="1:2">
      <c r="A69" s="33" t="s">
        <v>187</v>
      </c>
      <c r="B69" s="34" t="s">
        <v>188</v>
      </c>
    </row>
    <row r="70" ht="28.5" spans="1:2">
      <c r="A70" s="31"/>
      <c r="B70" s="35" t="s">
        <v>189</v>
      </c>
    </row>
    <row r="71" ht="14.25" spans="1:2">
      <c r="A71" s="31"/>
      <c r="B71" s="36"/>
    </row>
    <row r="72" ht="15" spans="1:2">
      <c r="A72" s="33" t="s">
        <v>187</v>
      </c>
      <c r="B72" s="34" t="s">
        <v>190</v>
      </c>
    </row>
    <row r="73" ht="28.5" spans="1:2">
      <c r="A73" s="31"/>
      <c r="B73" s="35" t="s">
        <v>191</v>
      </c>
    </row>
    <row r="74" ht="14.25" spans="1:2">
      <c r="A74" s="31"/>
      <c r="B74" s="36"/>
    </row>
    <row r="75" ht="15" spans="1:2">
      <c r="A75" s="33" t="s">
        <v>187</v>
      </c>
      <c r="B75" s="37" t="s">
        <v>192</v>
      </c>
    </row>
    <row r="76" ht="42.75" spans="1:2">
      <c r="A76" s="31"/>
      <c r="B76" s="17" t="s">
        <v>193</v>
      </c>
    </row>
    <row r="77" ht="14.25" spans="1:2">
      <c r="A77" s="31"/>
      <c r="B77" s="31"/>
    </row>
    <row r="78" ht="15" spans="1:2">
      <c r="A78" s="33" t="s">
        <v>187</v>
      </c>
      <c r="B78" s="37" t="s">
        <v>194</v>
      </c>
    </row>
    <row r="79" ht="28.5" spans="1:2">
      <c r="A79" s="31"/>
      <c r="B79" s="17" t="s">
        <v>195</v>
      </c>
    </row>
    <row r="80" ht="14.25" spans="1:2">
      <c r="A80" s="31"/>
      <c r="B80" s="31"/>
    </row>
    <row r="81" ht="15" spans="1:2">
      <c r="A81" s="33" t="s">
        <v>187</v>
      </c>
      <c r="B81" s="37" t="s">
        <v>196</v>
      </c>
    </row>
    <row r="82" ht="14.25" spans="1:2">
      <c r="A82" s="31"/>
      <c r="B82" s="38" t="s">
        <v>197</v>
      </c>
    </row>
    <row r="83" ht="14.25" spans="1:2">
      <c r="A83" s="31"/>
      <c r="B83" s="38" t="s">
        <v>198</v>
      </c>
    </row>
    <row r="84" ht="14.25" spans="1:2">
      <c r="A84" s="31"/>
      <c r="B84" s="38" t="s">
        <v>199</v>
      </c>
    </row>
    <row r="85" ht="15" spans="1:2">
      <c r="A85" s="31"/>
      <c r="B85" s="39"/>
    </row>
    <row r="86" ht="15" spans="1:2">
      <c r="A86" s="33" t="s">
        <v>187</v>
      </c>
      <c r="B86" s="37" t="s">
        <v>200</v>
      </c>
    </row>
    <row r="87" ht="42.75" spans="1:2">
      <c r="A87" s="31"/>
      <c r="B87" s="17" t="s">
        <v>201</v>
      </c>
    </row>
    <row r="88" ht="14.25" spans="1:2">
      <c r="A88" s="31"/>
      <c r="B88" s="113" t="s">
        <v>202</v>
      </c>
    </row>
    <row r="89" ht="57" spans="1:2">
      <c r="A89" s="31"/>
      <c r="B89" s="114" t="s">
        <v>203</v>
      </c>
    </row>
    <row r="90" ht="14.25" spans="1:2">
      <c r="A90" s="31"/>
      <c r="B90" s="31"/>
    </row>
    <row r="91" ht="15" spans="1:2">
      <c r="A91" s="33" t="s">
        <v>187</v>
      </c>
      <c r="B91" s="37" t="s">
        <v>204</v>
      </c>
    </row>
    <row r="92" ht="28.5" spans="1:2">
      <c r="A92" s="18"/>
      <c r="B92" s="38" t="s">
        <v>205</v>
      </c>
    </row>
    <row r="94" spans="1:1">
      <c r="A94" s="41" t="s">
        <v>206</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2">
      <c r="A1" s="1" t="s">
        <v>207</v>
      </c>
      <c r="B1" s="1"/>
    </row>
    <row r="2" ht="15" spans="2:2">
      <c r="B2" s="2"/>
    </row>
    <row r="3" ht="15" spans="1:3">
      <c r="A3" s="3"/>
      <c r="B3" s="4" t="s">
        <v>208</v>
      </c>
      <c r="C3" s="3"/>
    </row>
    <row r="4" ht="14.25" spans="1:3">
      <c r="A4" s="5"/>
      <c r="B4" s="6" t="s">
        <v>103</v>
      </c>
      <c r="C4" s="5"/>
    </row>
    <row r="5" ht="15" spans="1:3">
      <c r="A5" s="5"/>
      <c r="B5" s="7"/>
      <c r="C5" s="5"/>
    </row>
    <row r="6" ht="15.75" spans="1:3">
      <c r="A6" s="5"/>
      <c r="B6" s="8" t="s">
        <v>206</v>
      </c>
      <c r="C6" s="5"/>
    </row>
    <row r="7" ht="15" spans="1:3">
      <c r="A7" s="5"/>
      <c r="B7" s="7"/>
      <c r="C7" s="5"/>
    </row>
    <row r="8" ht="30" spans="1:3">
      <c r="A8" s="5"/>
      <c r="B8" s="7" t="s">
        <v>209</v>
      </c>
      <c r="C8" s="5"/>
    </row>
    <row r="9" ht="15" spans="1:3">
      <c r="A9" s="5"/>
      <c r="B9" s="7"/>
      <c r="C9" s="5"/>
    </row>
    <row r="10" ht="46.5" spans="1:3">
      <c r="A10" s="5"/>
      <c r="B10" s="7" t="s">
        <v>210</v>
      </c>
      <c r="C10" s="5"/>
    </row>
    <row r="11" ht="15" spans="1:3">
      <c r="A11" s="5"/>
      <c r="B11" s="7"/>
      <c r="C11" s="5"/>
    </row>
    <row r="12" ht="45" spans="1:3">
      <c r="A12" s="5"/>
      <c r="B12" s="7" t="s">
        <v>211</v>
      </c>
      <c r="C12" s="5"/>
    </row>
    <row r="13" ht="15" spans="1:3">
      <c r="A13" s="5"/>
      <c r="B13" s="7"/>
      <c r="C13" s="5"/>
    </row>
    <row r="14" ht="60" spans="1:3">
      <c r="A14" s="5"/>
      <c r="B14" s="7" t="s">
        <v>212</v>
      </c>
      <c r="C14" s="5"/>
    </row>
    <row r="15" ht="15" spans="1:3">
      <c r="A15" s="5"/>
      <c r="B15" s="7"/>
      <c r="C15" s="5"/>
    </row>
    <row r="16" ht="30.75" spans="1:3">
      <c r="A16" s="5"/>
      <c r="B16" s="7" t="s">
        <v>213</v>
      </c>
      <c r="C16" s="5"/>
    </row>
    <row r="17" ht="15" spans="1:3">
      <c r="A17" s="5"/>
      <c r="B17" s="7"/>
      <c r="C17" s="5"/>
    </row>
    <row r="18" ht="15.75" spans="1:3">
      <c r="A18" s="5"/>
      <c r="B18" s="8" t="s">
        <v>214</v>
      </c>
      <c r="C18" s="5"/>
    </row>
    <row r="19" ht="15" spans="1:3">
      <c r="A19" s="5"/>
      <c r="B19" s="9" t="s">
        <v>215</v>
      </c>
      <c r="C19" s="5"/>
    </row>
    <row r="20" ht="15" spans="1:3">
      <c r="A20" s="5"/>
      <c r="B20" s="10"/>
      <c r="C20" s="5"/>
    </row>
    <row r="21" spans="1:3">
      <c r="A21" s="5"/>
      <c r="B21" s="5"/>
      <c r="C21" s="5"/>
    </row>
    <row r="22" spans="1:3">
      <c r="A22" s="5"/>
      <c r="B22" s="5"/>
      <c r="C22" s="5"/>
    </row>
    <row r="23" spans="1:3">
      <c r="A23" s="5"/>
      <c r="B23" s="5"/>
      <c r="C23" s="5"/>
    </row>
    <row r="24" spans="1:3">
      <c r="A24" s="5"/>
      <c r="B24" s="5"/>
      <c r="C24" s="5"/>
    </row>
    <row r="25" spans="1:3">
      <c r="A25" s="5"/>
      <c r="B25" s="5"/>
      <c r="C25" s="5"/>
    </row>
    <row r="26" spans="1:3">
      <c r="A26" s="5"/>
      <c r="B26" s="5"/>
      <c r="C26" s="5"/>
    </row>
    <row r="27" spans="1:3">
      <c r="A27" s="5"/>
      <c r="B27" s="5"/>
      <c r="C27" s="5"/>
    </row>
    <row r="28" spans="1:3">
      <c r="A28" s="5"/>
      <c r="B28" s="5"/>
      <c r="C28" s="5"/>
    </row>
    <row r="29" spans="1:3">
      <c r="A29" s="5"/>
      <c r="B29" s="5"/>
      <c r="C29" s="5"/>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4</vt:i4>
      </vt:variant>
    </vt:vector>
  </HeadingPairs>
  <TitlesOfParts>
    <vt:vector size="4" baseType="lpstr">
      <vt:lpstr>GanttChart</vt:lpstr>
      <vt:lpstr>GanttChartPro</vt:lpstr>
      <vt:lpstr>Help</vt:lpstr>
      <vt:lpstr>TermsOfUse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Billy</cp:lastModifiedBy>
  <dcterms:created xsi:type="dcterms:W3CDTF">2010-06-09T16:05:00Z</dcterms:created>
  <cp:lastPrinted>2025-11-24T02:54:00Z</cp:lastPrinted>
  <dcterms:modified xsi:type="dcterms:W3CDTF">2026-01-02T14:08:08Z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8BC01C34AA7C4290B4DBEC7AD5B576BD_12</vt:lpwstr>
  </property>
  <property fmtid="{D5CDD505-2E9C-101B-9397-08002B2CF9AE}" pid="6" name="KSOProductBuildVer">
    <vt:lpwstr>1033-12.9.0.21549</vt:lpwstr>
  </property>
</Properties>
</file>