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675" windowWidth="20115" windowHeight="7395" tabRatio="907"/>
  </bookViews>
  <sheets>
    <sheet name="PR CREATE IT 2025" sheetId="1" r:id="rId1"/>
    <sheet name="PR 2025" sheetId="4" r:id="rId2"/>
    <sheet name="PO 2025" sheetId="2" r:id="rId3"/>
    <sheet name="GRS 2025" sheetId="3" r:id="rId4"/>
    <sheet name="MATERIAL DISCONTINUE" sheetId="6" r:id="rId5"/>
    <sheet name="Sheet1" sheetId="5" r:id="rId6"/>
  </sheets>
  <definedNames>
    <definedName name="_xlnm._FilterDatabase" localSheetId="3" hidden="1">'GRS 2025'!$B$1:$AE$1261</definedName>
    <definedName name="_xlnm._FilterDatabase" localSheetId="2" hidden="1">'PO 2025'!$A$1:$AZ$39</definedName>
    <definedName name="_xlnm._FilterDatabase" localSheetId="1" hidden="1">'PR 2025'!$A$1:$AK$293</definedName>
    <definedName name="_xlnm._FilterDatabase" localSheetId="0" hidden="1">'PR CREATE IT 2025'!$D$3:$O$463</definedName>
    <definedName name="_xlnm.Print_Titles" localSheetId="0">'PR CREATE IT 2025'!$3:$3</definedName>
  </definedNames>
  <calcPr calcId="144525"/>
</workbook>
</file>

<file path=xl/calcChain.xml><?xml version="1.0" encoding="utf-8"?>
<calcChain xmlns="http://schemas.openxmlformats.org/spreadsheetml/2006/main">
  <c r="E464" i="1" l="1"/>
  <c r="F464" i="1"/>
  <c r="A464" i="1" s="1"/>
  <c r="I464" i="1" s="1"/>
  <c r="G464" i="1"/>
  <c r="H464" i="1"/>
  <c r="J464" i="1"/>
  <c r="K464" i="1"/>
  <c r="L464" i="1"/>
  <c r="M464" i="1"/>
  <c r="O464" i="1"/>
  <c r="C464" i="1" l="1"/>
  <c r="N464" i="1" s="1"/>
  <c r="B464" i="1"/>
  <c r="E460" i="1"/>
  <c r="F460" i="1"/>
  <c r="G460" i="1"/>
  <c r="H460" i="1"/>
  <c r="J460" i="1"/>
  <c r="K460" i="1"/>
  <c r="L460" i="1"/>
  <c r="M460" i="1"/>
  <c r="O460" i="1"/>
  <c r="E461" i="1"/>
  <c r="F461" i="1"/>
  <c r="A461" i="1" s="1"/>
  <c r="G461" i="1"/>
  <c r="H461" i="1"/>
  <c r="J461" i="1"/>
  <c r="K461" i="1"/>
  <c r="L461" i="1"/>
  <c r="M461" i="1"/>
  <c r="O461" i="1"/>
  <c r="E462" i="1"/>
  <c r="F462" i="1"/>
  <c r="G462" i="1"/>
  <c r="H462" i="1"/>
  <c r="J462" i="1"/>
  <c r="K462" i="1"/>
  <c r="L462" i="1"/>
  <c r="M462" i="1"/>
  <c r="O462" i="1"/>
  <c r="E463" i="1"/>
  <c r="F463" i="1"/>
  <c r="G463" i="1"/>
  <c r="H463" i="1"/>
  <c r="J463" i="1"/>
  <c r="K463" i="1"/>
  <c r="L463" i="1"/>
  <c r="M463" i="1"/>
  <c r="O463" i="1"/>
  <c r="A463" i="1" l="1"/>
  <c r="A462" i="1"/>
  <c r="A460" i="1"/>
  <c r="E457" i="1"/>
  <c r="F457" i="1"/>
  <c r="G457" i="1"/>
  <c r="H457" i="1"/>
  <c r="J457" i="1"/>
  <c r="K457" i="1"/>
  <c r="L457" i="1"/>
  <c r="M457" i="1"/>
  <c r="O457" i="1"/>
  <c r="E458" i="1"/>
  <c r="F458" i="1"/>
  <c r="G458" i="1"/>
  <c r="H458" i="1"/>
  <c r="J458" i="1"/>
  <c r="K458" i="1"/>
  <c r="L458" i="1"/>
  <c r="M458" i="1"/>
  <c r="O458" i="1"/>
  <c r="E459" i="1"/>
  <c r="F459" i="1"/>
  <c r="A459" i="1" s="1"/>
  <c r="G459" i="1"/>
  <c r="H459" i="1"/>
  <c r="J459" i="1"/>
  <c r="K459" i="1"/>
  <c r="L459" i="1"/>
  <c r="M459" i="1"/>
  <c r="O459" i="1"/>
  <c r="E456" i="1"/>
  <c r="F456" i="1"/>
  <c r="G456" i="1"/>
  <c r="H456" i="1"/>
  <c r="J456" i="1"/>
  <c r="K456" i="1"/>
  <c r="L456" i="1"/>
  <c r="M456" i="1"/>
  <c r="O456" i="1"/>
  <c r="E452" i="1"/>
  <c r="F452" i="1"/>
  <c r="G452" i="1"/>
  <c r="H452" i="1"/>
  <c r="J452" i="1"/>
  <c r="K452" i="1"/>
  <c r="L452" i="1"/>
  <c r="M452" i="1"/>
  <c r="O452" i="1"/>
  <c r="E453" i="1"/>
  <c r="F453" i="1"/>
  <c r="G453" i="1"/>
  <c r="H453" i="1"/>
  <c r="J453" i="1"/>
  <c r="K453" i="1"/>
  <c r="L453" i="1"/>
  <c r="M453" i="1"/>
  <c r="O453" i="1"/>
  <c r="E454" i="1"/>
  <c r="F454" i="1"/>
  <c r="A454" i="1" s="1"/>
  <c r="G454" i="1"/>
  <c r="H454" i="1"/>
  <c r="J454" i="1"/>
  <c r="K454" i="1"/>
  <c r="L454" i="1"/>
  <c r="M454" i="1"/>
  <c r="O454" i="1"/>
  <c r="E455" i="1"/>
  <c r="F455" i="1"/>
  <c r="G455" i="1"/>
  <c r="H455" i="1"/>
  <c r="J455" i="1"/>
  <c r="K455" i="1"/>
  <c r="L455" i="1"/>
  <c r="M455" i="1"/>
  <c r="O455" i="1"/>
  <c r="A456" i="1" l="1"/>
  <c r="A455" i="1"/>
  <c r="A452" i="1"/>
  <c r="A457" i="1"/>
  <c r="A458" i="1"/>
  <c r="A453" i="1"/>
  <c r="E447" i="1"/>
  <c r="F447" i="1"/>
  <c r="G447" i="1"/>
  <c r="H447" i="1"/>
  <c r="J447" i="1"/>
  <c r="K447" i="1"/>
  <c r="L447" i="1"/>
  <c r="M447" i="1"/>
  <c r="O447" i="1"/>
  <c r="E448" i="1"/>
  <c r="F448" i="1"/>
  <c r="G448" i="1"/>
  <c r="H448" i="1"/>
  <c r="J448" i="1"/>
  <c r="K448" i="1"/>
  <c r="L448" i="1"/>
  <c r="M448" i="1"/>
  <c r="O448" i="1"/>
  <c r="E449" i="1"/>
  <c r="F449" i="1"/>
  <c r="G449" i="1"/>
  <c r="H449" i="1"/>
  <c r="J449" i="1"/>
  <c r="K449" i="1"/>
  <c r="L449" i="1"/>
  <c r="M449" i="1"/>
  <c r="O449" i="1"/>
  <c r="E450" i="1"/>
  <c r="F450" i="1"/>
  <c r="G450" i="1"/>
  <c r="H450" i="1"/>
  <c r="J450" i="1"/>
  <c r="K450" i="1"/>
  <c r="L450" i="1"/>
  <c r="M450" i="1"/>
  <c r="O450" i="1"/>
  <c r="E451" i="1"/>
  <c r="F451" i="1"/>
  <c r="G451" i="1"/>
  <c r="H451" i="1"/>
  <c r="J451" i="1"/>
  <c r="K451" i="1"/>
  <c r="L451" i="1"/>
  <c r="M451" i="1"/>
  <c r="O451" i="1"/>
  <c r="A447" i="1" l="1"/>
  <c r="A448" i="1"/>
  <c r="A450" i="1"/>
  <c r="A451" i="1"/>
  <c r="A449" i="1"/>
  <c r="E446" i="1"/>
  <c r="F446" i="1"/>
  <c r="G446" i="1"/>
  <c r="H446" i="1"/>
  <c r="J446" i="1"/>
  <c r="K446" i="1"/>
  <c r="L446" i="1"/>
  <c r="M446" i="1"/>
  <c r="O446" i="1"/>
  <c r="A446" i="1" l="1"/>
  <c r="E445" i="1"/>
  <c r="F445" i="1"/>
  <c r="G445" i="1"/>
  <c r="H445" i="1"/>
  <c r="J445" i="1"/>
  <c r="K445" i="1"/>
  <c r="L445" i="1"/>
  <c r="M445" i="1"/>
  <c r="O445" i="1"/>
  <c r="A445" i="1" l="1"/>
  <c r="E441" i="1"/>
  <c r="F441" i="1"/>
  <c r="G441" i="1"/>
  <c r="H441" i="1"/>
  <c r="J441" i="1"/>
  <c r="K441" i="1"/>
  <c r="L441" i="1"/>
  <c r="M441" i="1"/>
  <c r="O441" i="1"/>
  <c r="E442" i="1"/>
  <c r="F442" i="1"/>
  <c r="G442" i="1"/>
  <c r="H442" i="1"/>
  <c r="J442" i="1"/>
  <c r="K442" i="1"/>
  <c r="L442" i="1"/>
  <c r="M442" i="1"/>
  <c r="O442" i="1"/>
  <c r="E443" i="1"/>
  <c r="F443" i="1"/>
  <c r="G443" i="1"/>
  <c r="H443" i="1"/>
  <c r="J443" i="1"/>
  <c r="K443" i="1"/>
  <c r="L443" i="1"/>
  <c r="M443" i="1"/>
  <c r="O443" i="1"/>
  <c r="E444" i="1"/>
  <c r="F444" i="1"/>
  <c r="G444" i="1"/>
  <c r="H444" i="1"/>
  <c r="J444" i="1"/>
  <c r="K444" i="1"/>
  <c r="L444" i="1"/>
  <c r="M444" i="1"/>
  <c r="O444" i="1"/>
  <c r="A441" i="1" l="1"/>
  <c r="A443" i="1"/>
  <c r="A444" i="1"/>
  <c r="A442" i="1"/>
  <c r="E438" i="1"/>
  <c r="F438" i="1"/>
  <c r="G438" i="1"/>
  <c r="H438" i="1"/>
  <c r="J438" i="1"/>
  <c r="K438" i="1"/>
  <c r="L438" i="1"/>
  <c r="M438" i="1"/>
  <c r="O438" i="1"/>
  <c r="E439" i="1"/>
  <c r="F439" i="1"/>
  <c r="G439" i="1"/>
  <c r="H439" i="1"/>
  <c r="J439" i="1"/>
  <c r="K439" i="1"/>
  <c r="L439" i="1"/>
  <c r="M439" i="1"/>
  <c r="O439" i="1"/>
  <c r="E440" i="1"/>
  <c r="F440" i="1"/>
  <c r="G440" i="1"/>
  <c r="H440" i="1"/>
  <c r="J440" i="1"/>
  <c r="K440" i="1"/>
  <c r="L440" i="1"/>
  <c r="M440" i="1"/>
  <c r="O440" i="1"/>
  <c r="A438" i="1" l="1"/>
  <c r="A440" i="1"/>
  <c r="A439" i="1"/>
  <c r="E435" i="1"/>
  <c r="F435" i="1"/>
  <c r="G435" i="1"/>
  <c r="H435" i="1"/>
  <c r="J435" i="1"/>
  <c r="K435" i="1"/>
  <c r="L435" i="1"/>
  <c r="M435" i="1"/>
  <c r="O435" i="1"/>
  <c r="E436" i="1"/>
  <c r="F436" i="1"/>
  <c r="G436" i="1"/>
  <c r="H436" i="1"/>
  <c r="J436" i="1"/>
  <c r="K436" i="1"/>
  <c r="L436" i="1"/>
  <c r="M436" i="1"/>
  <c r="O436" i="1"/>
  <c r="E437" i="1"/>
  <c r="F437" i="1"/>
  <c r="G437" i="1"/>
  <c r="H437" i="1"/>
  <c r="J437" i="1"/>
  <c r="K437" i="1"/>
  <c r="L437" i="1"/>
  <c r="M437" i="1"/>
  <c r="O437" i="1"/>
  <c r="A436" i="1" l="1"/>
  <c r="A435" i="1"/>
  <c r="A437" i="1"/>
  <c r="E432" i="1"/>
  <c r="F432" i="1"/>
  <c r="G432" i="1"/>
  <c r="H432" i="1"/>
  <c r="J432" i="1"/>
  <c r="K432" i="1"/>
  <c r="L432" i="1"/>
  <c r="M432" i="1"/>
  <c r="O432" i="1"/>
  <c r="E433" i="1"/>
  <c r="F433" i="1"/>
  <c r="G433" i="1"/>
  <c r="H433" i="1"/>
  <c r="J433" i="1"/>
  <c r="K433" i="1"/>
  <c r="L433" i="1"/>
  <c r="M433" i="1"/>
  <c r="O433" i="1"/>
  <c r="E434" i="1"/>
  <c r="F434" i="1"/>
  <c r="G434" i="1"/>
  <c r="H434" i="1"/>
  <c r="J434" i="1"/>
  <c r="K434" i="1"/>
  <c r="L434" i="1"/>
  <c r="M434" i="1"/>
  <c r="O434" i="1"/>
  <c r="A432" i="1" l="1"/>
  <c r="A434" i="1"/>
  <c r="A433" i="1"/>
  <c r="E429" i="1"/>
  <c r="F429" i="1"/>
  <c r="G429" i="1"/>
  <c r="H429" i="1"/>
  <c r="J429" i="1"/>
  <c r="K429" i="1"/>
  <c r="L429" i="1"/>
  <c r="M429" i="1"/>
  <c r="O429" i="1"/>
  <c r="E430" i="1"/>
  <c r="F430" i="1"/>
  <c r="G430" i="1"/>
  <c r="H430" i="1"/>
  <c r="J430" i="1"/>
  <c r="K430" i="1"/>
  <c r="L430" i="1"/>
  <c r="M430" i="1"/>
  <c r="O430" i="1"/>
  <c r="E431" i="1"/>
  <c r="F431" i="1"/>
  <c r="G431" i="1"/>
  <c r="H431" i="1"/>
  <c r="J431" i="1"/>
  <c r="K431" i="1"/>
  <c r="L431" i="1"/>
  <c r="M431" i="1"/>
  <c r="O431" i="1"/>
  <c r="A431" i="1" l="1"/>
  <c r="A429" i="1"/>
  <c r="A430" i="1"/>
  <c r="E427" i="1"/>
  <c r="F427" i="1"/>
  <c r="G427" i="1"/>
  <c r="H427" i="1"/>
  <c r="J427" i="1"/>
  <c r="K427" i="1"/>
  <c r="L427" i="1"/>
  <c r="M427" i="1"/>
  <c r="O427" i="1"/>
  <c r="E428" i="1"/>
  <c r="F428" i="1"/>
  <c r="G428" i="1"/>
  <c r="H428" i="1"/>
  <c r="J428" i="1"/>
  <c r="K428" i="1"/>
  <c r="L428" i="1"/>
  <c r="M428" i="1"/>
  <c r="O428" i="1"/>
  <c r="E423" i="1"/>
  <c r="F423" i="1"/>
  <c r="G423" i="1"/>
  <c r="H423" i="1"/>
  <c r="J423" i="1"/>
  <c r="K423" i="1"/>
  <c r="L423" i="1"/>
  <c r="M423" i="1"/>
  <c r="O423" i="1"/>
  <c r="E424" i="1"/>
  <c r="F424" i="1"/>
  <c r="G424" i="1"/>
  <c r="H424" i="1"/>
  <c r="J424" i="1"/>
  <c r="K424" i="1"/>
  <c r="L424" i="1"/>
  <c r="M424" i="1"/>
  <c r="O424" i="1"/>
  <c r="E425" i="1"/>
  <c r="F425" i="1"/>
  <c r="G425" i="1"/>
  <c r="H425" i="1"/>
  <c r="J425" i="1"/>
  <c r="K425" i="1"/>
  <c r="L425" i="1"/>
  <c r="M425" i="1"/>
  <c r="O425" i="1"/>
  <c r="E426" i="1"/>
  <c r="F426" i="1"/>
  <c r="G426" i="1"/>
  <c r="H426" i="1"/>
  <c r="J426" i="1"/>
  <c r="K426" i="1"/>
  <c r="L426" i="1"/>
  <c r="M426" i="1"/>
  <c r="O426" i="1"/>
  <c r="E415" i="1"/>
  <c r="F415" i="1"/>
  <c r="G415" i="1"/>
  <c r="H415" i="1"/>
  <c r="J415" i="1"/>
  <c r="K415" i="1"/>
  <c r="L415" i="1"/>
  <c r="M415" i="1"/>
  <c r="O415" i="1"/>
  <c r="E416" i="1"/>
  <c r="F416" i="1"/>
  <c r="G416" i="1"/>
  <c r="H416" i="1"/>
  <c r="J416" i="1"/>
  <c r="K416" i="1"/>
  <c r="L416" i="1"/>
  <c r="M416" i="1"/>
  <c r="O416" i="1"/>
  <c r="E417" i="1"/>
  <c r="F417" i="1"/>
  <c r="G417" i="1"/>
  <c r="H417" i="1"/>
  <c r="J417" i="1"/>
  <c r="K417" i="1"/>
  <c r="L417" i="1"/>
  <c r="M417" i="1"/>
  <c r="O417" i="1"/>
  <c r="E418" i="1"/>
  <c r="F418" i="1"/>
  <c r="G418" i="1"/>
  <c r="H418" i="1"/>
  <c r="J418" i="1"/>
  <c r="K418" i="1"/>
  <c r="L418" i="1"/>
  <c r="M418" i="1"/>
  <c r="O418" i="1"/>
  <c r="E419" i="1"/>
  <c r="F419" i="1"/>
  <c r="G419" i="1"/>
  <c r="H419" i="1"/>
  <c r="J419" i="1"/>
  <c r="K419" i="1"/>
  <c r="L419" i="1"/>
  <c r="M419" i="1"/>
  <c r="O419" i="1"/>
  <c r="E420" i="1"/>
  <c r="F420" i="1"/>
  <c r="G420" i="1"/>
  <c r="H420" i="1"/>
  <c r="J420" i="1"/>
  <c r="K420" i="1"/>
  <c r="L420" i="1"/>
  <c r="M420" i="1"/>
  <c r="O420" i="1"/>
  <c r="E421" i="1"/>
  <c r="F421" i="1"/>
  <c r="G421" i="1"/>
  <c r="H421" i="1"/>
  <c r="J421" i="1"/>
  <c r="K421" i="1"/>
  <c r="L421" i="1"/>
  <c r="M421" i="1"/>
  <c r="O421" i="1"/>
  <c r="E422" i="1"/>
  <c r="F422" i="1"/>
  <c r="G422" i="1"/>
  <c r="H422" i="1"/>
  <c r="J422" i="1"/>
  <c r="K422" i="1"/>
  <c r="L422" i="1"/>
  <c r="M422" i="1"/>
  <c r="O422" i="1"/>
  <c r="A416" i="1" l="1"/>
  <c r="A421" i="1"/>
  <c r="A417" i="1"/>
  <c r="A425" i="1"/>
  <c r="A427" i="1"/>
  <c r="A419" i="1"/>
  <c r="A415" i="1"/>
  <c r="A423" i="1"/>
  <c r="A428" i="1"/>
  <c r="A426" i="1"/>
  <c r="A424" i="1"/>
  <c r="A422" i="1"/>
  <c r="A420" i="1"/>
  <c r="A418" i="1"/>
  <c r="E410" i="1"/>
  <c r="F410" i="1"/>
  <c r="G410" i="1"/>
  <c r="H410" i="1"/>
  <c r="J410" i="1"/>
  <c r="K410" i="1"/>
  <c r="L410" i="1"/>
  <c r="M410" i="1"/>
  <c r="O410" i="1"/>
  <c r="E411" i="1"/>
  <c r="F411" i="1"/>
  <c r="G411" i="1"/>
  <c r="H411" i="1"/>
  <c r="J411" i="1"/>
  <c r="K411" i="1"/>
  <c r="L411" i="1"/>
  <c r="M411" i="1"/>
  <c r="O411" i="1"/>
  <c r="E412" i="1"/>
  <c r="F412" i="1"/>
  <c r="G412" i="1"/>
  <c r="H412" i="1"/>
  <c r="J412" i="1"/>
  <c r="K412" i="1"/>
  <c r="L412" i="1"/>
  <c r="M412" i="1"/>
  <c r="O412" i="1"/>
  <c r="E413" i="1"/>
  <c r="F413" i="1"/>
  <c r="G413" i="1"/>
  <c r="H413" i="1"/>
  <c r="J413" i="1"/>
  <c r="K413" i="1"/>
  <c r="L413" i="1"/>
  <c r="M413" i="1"/>
  <c r="O413" i="1"/>
  <c r="E414" i="1"/>
  <c r="F414" i="1"/>
  <c r="G414" i="1"/>
  <c r="H414" i="1"/>
  <c r="J414" i="1"/>
  <c r="K414" i="1"/>
  <c r="L414" i="1"/>
  <c r="M414" i="1"/>
  <c r="O414" i="1"/>
  <c r="A414" i="1" l="1"/>
  <c r="A410" i="1"/>
  <c r="A413" i="1"/>
  <c r="A412" i="1"/>
  <c r="A411" i="1"/>
  <c r="E409" i="1"/>
  <c r="F409" i="1"/>
  <c r="G409" i="1"/>
  <c r="H409" i="1"/>
  <c r="J409" i="1"/>
  <c r="K409" i="1"/>
  <c r="L409" i="1"/>
  <c r="M409" i="1"/>
  <c r="O409" i="1"/>
  <c r="E407" i="1"/>
  <c r="F407" i="1"/>
  <c r="G407" i="1"/>
  <c r="H407" i="1"/>
  <c r="J407" i="1"/>
  <c r="K407" i="1"/>
  <c r="L407" i="1"/>
  <c r="M407" i="1"/>
  <c r="O407" i="1"/>
  <c r="E408" i="1"/>
  <c r="F408" i="1"/>
  <c r="G408" i="1"/>
  <c r="H408" i="1"/>
  <c r="J408" i="1"/>
  <c r="K408" i="1"/>
  <c r="L408" i="1"/>
  <c r="M408" i="1"/>
  <c r="O408" i="1"/>
  <c r="E399" i="1"/>
  <c r="F399" i="1"/>
  <c r="G399" i="1"/>
  <c r="H399" i="1"/>
  <c r="J399" i="1"/>
  <c r="K399" i="1"/>
  <c r="L399" i="1"/>
  <c r="M399" i="1"/>
  <c r="O399" i="1"/>
  <c r="E400" i="1"/>
  <c r="F400" i="1"/>
  <c r="G400" i="1"/>
  <c r="H400" i="1"/>
  <c r="J400" i="1"/>
  <c r="K400" i="1"/>
  <c r="L400" i="1"/>
  <c r="M400" i="1"/>
  <c r="O400" i="1"/>
  <c r="E401" i="1"/>
  <c r="F401" i="1"/>
  <c r="G401" i="1"/>
  <c r="H401" i="1"/>
  <c r="J401" i="1"/>
  <c r="K401" i="1"/>
  <c r="L401" i="1"/>
  <c r="M401" i="1"/>
  <c r="O401" i="1"/>
  <c r="E402" i="1"/>
  <c r="F402" i="1"/>
  <c r="G402" i="1"/>
  <c r="H402" i="1"/>
  <c r="J402" i="1"/>
  <c r="K402" i="1"/>
  <c r="L402" i="1"/>
  <c r="M402" i="1"/>
  <c r="O402" i="1"/>
  <c r="E403" i="1"/>
  <c r="F403" i="1"/>
  <c r="G403" i="1"/>
  <c r="H403" i="1"/>
  <c r="J403" i="1"/>
  <c r="K403" i="1"/>
  <c r="L403" i="1"/>
  <c r="M403" i="1"/>
  <c r="O403" i="1"/>
  <c r="E404" i="1"/>
  <c r="F404" i="1"/>
  <c r="G404" i="1"/>
  <c r="H404" i="1"/>
  <c r="J404" i="1"/>
  <c r="K404" i="1"/>
  <c r="L404" i="1"/>
  <c r="M404" i="1"/>
  <c r="O404" i="1"/>
  <c r="E405" i="1"/>
  <c r="F405" i="1"/>
  <c r="G405" i="1"/>
  <c r="H405" i="1"/>
  <c r="J405" i="1"/>
  <c r="K405" i="1"/>
  <c r="L405" i="1"/>
  <c r="M405" i="1"/>
  <c r="O405" i="1"/>
  <c r="E406" i="1"/>
  <c r="F406" i="1"/>
  <c r="G406" i="1"/>
  <c r="H406" i="1"/>
  <c r="J406" i="1"/>
  <c r="K406" i="1"/>
  <c r="L406" i="1"/>
  <c r="M406" i="1"/>
  <c r="O406" i="1"/>
  <c r="A401" i="1" l="1"/>
  <c r="A407" i="1"/>
  <c r="A404" i="1"/>
  <c r="A400" i="1"/>
  <c r="A403" i="1"/>
  <c r="A402" i="1"/>
  <c r="A406" i="1"/>
  <c r="A399" i="1"/>
  <c r="A405" i="1"/>
  <c r="A408" i="1"/>
  <c r="A409" i="1"/>
  <c r="E398" i="1"/>
  <c r="F398" i="1"/>
  <c r="G398" i="1"/>
  <c r="H398" i="1"/>
  <c r="J398" i="1"/>
  <c r="K398" i="1"/>
  <c r="L398" i="1"/>
  <c r="M398" i="1"/>
  <c r="O398" i="1"/>
  <c r="E391" i="1"/>
  <c r="F391" i="1"/>
  <c r="G391" i="1"/>
  <c r="H391" i="1"/>
  <c r="J391" i="1"/>
  <c r="K391" i="1"/>
  <c r="L391" i="1"/>
  <c r="M391" i="1"/>
  <c r="O391" i="1"/>
  <c r="E392" i="1"/>
  <c r="F392" i="1"/>
  <c r="G392" i="1"/>
  <c r="H392" i="1"/>
  <c r="J392" i="1"/>
  <c r="K392" i="1"/>
  <c r="L392" i="1"/>
  <c r="M392" i="1"/>
  <c r="O392" i="1"/>
  <c r="E393" i="1"/>
  <c r="F393" i="1"/>
  <c r="G393" i="1"/>
  <c r="H393" i="1"/>
  <c r="J393" i="1"/>
  <c r="K393" i="1"/>
  <c r="L393" i="1"/>
  <c r="M393" i="1"/>
  <c r="O393" i="1"/>
  <c r="E394" i="1"/>
  <c r="F394" i="1"/>
  <c r="G394" i="1"/>
  <c r="H394" i="1"/>
  <c r="J394" i="1"/>
  <c r="K394" i="1"/>
  <c r="L394" i="1"/>
  <c r="M394" i="1"/>
  <c r="O394" i="1"/>
  <c r="E395" i="1"/>
  <c r="F395" i="1"/>
  <c r="G395" i="1"/>
  <c r="H395" i="1"/>
  <c r="J395" i="1"/>
  <c r="K395" i="1"/>
  <c r="L395" i="1"/>
  <c r="M395" i="1"/>
  <c r="O395" i="1"/>
  <c r="E396" i="1"/>
  <c r="F396" i="1"/>
  <c r="G396" i="1"/>
  <c r="H396" i="1"/>
  <c r="J396" i="1"/>
  <c r="K396" i="1"/>
  <c r="L396" i="1"/>
  <c r="M396" i="1"/>
  <c r="O396" i="1"/>
  <c r="E397" i="1"/>
  <c r="F397" i="1"/>
  <c r="G397" i="1"/>
  <c r="H397" i="1"/>
  <c r="J397" i="1"/>
  <c r="K397" i="1"/>
  <c r="L397" i="1"/>
  <c r="M397" i="1"/>
  <c r="O397" i="1"/>
  <c r="A394" i="1" l="1"/>
  <c r="A398" i="1"/>
  <c r="A395" i="1"/>
  <c r="A391" i="1"/>
  <c r="A393" i="1"/>
  <c r="A396" i="1"/>
  <c r="A392" i="1"/>
  <c r="A397" i="1"/>
  <c r="E390" i="1"/>
  <c r="F390" i="1"/>
  <c r="G390" i="1"/>
  <c r="H390" i="1"/>
  <c r="J390" i="1"/>
  <c r="K390" i="1"/>
  <c r="L390" i="1"/>
  <c r="M390" i="1"/>
  <c r="O390" i="1"/>
  <c r="E383" i="1"/>
  <c r="F383" i="1"/>
  <c r="G383" i="1"/>
  <c r="H383" i="1"/>
  <c r="J383" i="1"/>
  <c r="K383" i="1"/>
  <c r="L383" i="1"/>
  <c r="M383" i="1"/>
  <c r="O383" i="1"/>
  <c r="E384" i="1"/>
  <c r="F384" i="1"/>
  <c r="G384" i="1"/>
  <c r="H384" i="1"/>
  <c r="J384" i="1"/>
  <c r="K384" i="1"/>
  <c r="L384" i="1"/>
  <c r="M384" i="1"/>
  <c r="O384" i="1"/>
  <c r="E385" i="1"/>
  <c r="F385" i="1"/>
  <c r="G385" i="1"/>
  <c r="H385" i="1"/>
  <c r="J385" i="1"/>
  <c r="K385" i="1"/>
  <c r="L385" i="1"/>
  <c r="M385" i="1"/>
  <c r="O385" i="1"/>
  <c r="E386" i="1"/>
  <c r="F386" i="1"/>
  <c r="G386" i="1"/>
  <c r="H386" i="1"/>
  <c r="J386" i="1"/>
  <c r="K386" i="1"/>
  <c r="L386" i="1"/>
  <c r="M386" i="1"/>
  <c r="O386" i="1"/>
  <c r="E387" i="1"/>
  <c r="F387" i="1"/>
  <c r="G387" i="1"/>
  <c r="H387" i="1"/>
  <c r="J387" i="1"/>
  <c r="K387" i="1"/>
  <c r="L387" i="1"/>
  <c r="M387" i="1"/>
  <c r="O387" i="1"/>
  <c r="E388" i="1"/>
  <c r="F388" i="1"/>
  <c r="G388" i="1"/>
  <c r="H388" i="1"/>
  <c r="J388" i="1"/>
  <c r="K388" i="1"/>
  <c r="L388" i="1"/>
  <c r="M388" i="1"/>
  <c r="O388" i="1"/>
  <c r="E389" i="1"/>
  <c r="F389" i="1"/>
  <c r="G389" i="1"/>
  <c r="H389" i="1"/>
  <c r="J389" i="1"/>
  <c r="K389" i="1"/>
  <c r="L389" i="1"/>
  <c r="M389" i="1"/>
  <c r="O389" i="1"/>
  <c r="A389" i="1" l="1"/>
  <c r="A385" i="1"/>
  <c r="A388" i="1"/>
  <c r="A384" i="1"/>
  <c r="A387" i="1"/>
  <c r="A383" i="1"/>
  <c r="A386" i="1"/>
  <c r="A390" i="1"/>
  <c r="E382" i="1"/>
  <c r="F382" i="1"/>
  <c r="G382" i="1"/>
  <c r="H382" i="1"/>
  <c r="J382" i="1"/>
  <c r="K382" i="1"/>
  <c r="L382" i="1"/>
  <c r="M382" i="1"/>
  <c r="O382" i="1"/>
  <c r="E381" i="1"/>
  <c r="F381" i="1"/>
  <c r="G381" i="1"/>
  <c r="H381" i="1"/>
  <c r="J381" i="1"/>
  <c r="K381" i="1"/>
  <c r="L381" i="1"/>
  <c r="M381" i="1"/>
  <c r="O381" i="1"/>
  <c r="E379" i="1"/>
  <c r="F379" i="1"/>
  <c r="G379" i="1"/>
  <c r="H379" i="1"/>
  <c r="J379" i="1"/>
  <c r="K379" i="1"/>
  <c r="L379" i="1"/>
  <c r="M379" i="1"/>
  <c r="O379" i="1"/>
  <c r="E380" i="1"/>
  <c r="F380" i="1"/>
  <c r="G380" i="1"/>
  <c r="H380" i="1"/>
  <c r="J380" i="1"/>
  <c r="K380" i="1"/>
  <c r="L380" i="1"/>
  <c r="M380" i="1"/>
  <c r="O380" i="1"/>
  <c r="E376" i="1"/>
  <c r="F376" i="1"/>
  <c r="G376" i="1"/>
  <c r="H376" i="1"/>
  <c r="J376" i="1"/>
  <c r="K376" i="1"/>
  <c r="L376" i="1"/>
  <c r="M376" i="1"/>
  <c r="O376" i="1"/>
  <c r="E377" i="1"/>
  <c r="F377" i="1"/>
  <c r="G377" i="1"/>
  <c r="H377" i="1"/>
  <c r="J377" i="1"/>
  <c r="K377" i="1"/>
  <c r="L377" i="1"/>
  <c r="M377" i="1"/>
  <c r="O377" i="1"/>
  <c r="E378" i="1"/>
  <c r="F378" i="1"/>
  <c r="G378" i="1"/>
  <c r="H378" i="1"/>
  <c r="J378" i="1"/>
  <c r="K378" i="1"/>
  <c r="L378" i="1"/>
  <c r="M378" i="1"/>
  <c r="O378" i="1"/>
  <c r="E369" i="1"/>
  <c r="F369" i="1"/>
  <c r="G369" i="1"/>
  <c r="H369" i="1"/>
  <c r="J369" i="1"/>
  <c r="K369" i="1"/>
  <c r="L369" i="1"/>
  <c r="M369" i="1"/>
  <c r="O369" i="1"/>
  <c r="E370" i="1"/>
  <c r="F370" i="1"/>
  <c r="G370" i="1"/>
  <c r="H370" i="1"/>
  <c r="J370" i="1"/>
  <c r="K370" i="1"/>
  <c r="L370" i="1"/>
  <c r="M370" i="1"/>
  <c r="O370" i="1"/>
  <c r="E371" i="1"/>
  <c r="F371" i="1"/>
  <c r="G371" i="1"/>
  <c r="H371" i="1"/>
  <c r="J371" i="1"/>
  <c r="K371" i="1"/>
  <c r="L371" i="1"/>
  <c r="M371" i="1"/>
  <c r="O371" i="1"/>
  <c r="E372" i="1"/>
  <c r="F372" i="1"/>
  <c r="G372" i="1"/>
  <c r="H372" i="1"/>
  <c r="J372" i="1"/>
  <c r="K372" i="1"/>
  <c r="L372" i="1"/>
  <c r="M372" i="1"/>
  <c r="O372" i="1"/>
  <c r="E373" i="1"/>
  <c r="F373" i="1"/>
  <c r="G373" i="1"/>
  <c r="H373" i="1"/>
  <c r="J373" i="1"/>
  <c r="K373" i="1"/>
  <c r="L373" i="1"/>
  <c r="M373" i="1"/>
  <c r="O373" i="1"/>
  <c r="E374" i="1"/>
  <c r="F374" i="1"/>
  <c r="G374" i="1"/>
  <c r="H374" i="1"/>
  <c r="J374" i="1"/>
  <c r="K374" i="1"/>
  <c r="L374" i="1"/>
  <c r="M374" i="1"/>
  <c r="O374" i="1"/>
  <c r="E375" i="1"/>
  <c r="F375" i="1"/>
  <c r="G375" i="1"/>
  <c r="H375" i="1"/>
  <c r="J375" i="1"/>
  <c r="K375" i="1"/>
  <c r="L375" i="1"/>
  <c r="M375" i="1"/>
  <c r="O375" i="1"/>
  <c r="A375" i="1" l="1"/>
  <c r="A371" i="1"/>
  <c r="A381" i="1"/>
  <c r="A374" i="1"/>
  <c r="A370" i="1"/>
  <c r="A376" i="1"/>
  <c r="A382" i="1"/>
  <c r="A373" i="1"/>
  <c r="A369" i="1"/>
  <c r="A372" i="1"/>
  <c r="A378" i="1"/>
  <c r="A379" i="1"/>
  <c r="A380" i="1"/>
  <c r="A377" i="1"/>
  <c r="E367" i="1"/>
  <c r="F367" i="1"/>
  <c r="G367" i="1"/>
  <c r="H367" i="1"/>
  <c r="J367" i="1"/>
  <c r="K367" i="1"/>
  <c r="L367" i="1"/>
  <c r="M367" i="1"/>
  <c r="O367" i="1"/>
  <c r="E368" i="1"/>
  <c r="F368" i="1"/>
  <c r="G368" i="1"/>
  <c r="H368" i="1"/>
  <c r="J368" i="1"/>
  <c r="K368" i="1"/>
  <c r="L368" i="1"/>
  <c r="M368" i="1"/>
  <c r="O368" i="1"/>
  <c r="E362" i="1"/>
  <c r="F362" i="1"/>
  <c r="G362" i="1"/>
  <c r="H362" i="1"/>
  <c r="J362" i="1"/>
  <c r="K362" i="1"/>
  <c r="L362" i="1"/>
  <c r="M362" i="1"/>
  <c r="O362" i="1"/>
  <c r="E363" i="1"/>
  <c r="F363" i="1"/>
  <c r="G363" i="1"/>
  <c r="H363" i="1"/>
  <c r="J363" i="1"/>
  <c r="K363" i="1"/>
  <c r="L363" i="1"/>
  <c r="M363" i="1"/>
  <c r="O363" i="1"/>
  <c r="E364" i="1"/>
  <c r="F364" i="1"/>
  <c r="G364" i="1"/>
  <c r="H364" i="1"/>
  <c r="J364" i="1"/>
  <c r="K364" i="1"/>
  <c r="L364" i="1"/>
  <c r="M364" i="1"/>
  <c r="O364" i="1"/>
  <c r="E365" i="1"/>
  <c r="F365" i="1"/>
  <c r="G365" i="1"/>
  <c r="H365" i="1"/>
  <c r="J365" i="1"/>
  <c r="K365" i="1"/>
  <c r="L365" i="1"/>
  <c r="M365" i="1"/>
  <c r="O365" i="1"/>
  <c r="E366" i="1"/>
  <c r="F366" i="1"/>
  <c r="G366" i="1"/>
  <c r="H366" i="1"/>
  <c r="J366" i="1"/>
  <c r="K366" i="1"/>
  <c r="L366" i="1"/>
  <c r="M366" i="1"/>
  <c r="O366" i="1"/>
  <c r="E357" i="1"/>
  <c r="F357" i="1"/>
  <c r="G357" i="1"/>
  <c r="H357" i="1"/>
  <c r="J357" i="1"/>
  <c r="K357" i="1"/>
  <c r="L357" i="1"/>
  <c r="M357" i="1"/>
  <c r="O357" i="1"/>
  <c r="E358" i="1"/>
  <c r="F358" i="1"/>
  <c r="G358" i="1"/>
  <c r="H358" i="1"/>
  <c r="J358" i="1"/>
  <c r="K358" i="1"/>
  <c r="L358" i="1"/>
  <c r="M358" i="1"/>
  <c r="O358" i="1"/>
  <c r="E359" i="1"/>
  <c r="F359" i="1"/>
  <c r="G359" i="1"/>
  <c r="H359" i="1"/>
  <c r="J359" i="1"/>
  <c r="K359" i="1"/>
  <c r="L359" i="1"/>
  <c r="M359" i="1"/>
  <c r="O359" i="1"/>
  <c r="E360" i="1"/>
  <c r="F360" i="1"/>
  <c r="G360" i="1"/>
  <c r="H360" i="1"/>
  <c r="J360" i="1"/>
  <c r="K360" i="1"/>
  <c r="L360" i="1"/>
  <c r="M360" i="1"/>
  <c r="O360" i="1"/>
  <c r="E361" i="1"/>
  <c r="F361" i="1"/>
  <c r="G361" i="1"/>
  <c r="H361" i="1"/>
  <c r="J361" i="1"/>
  <c r="K361" i="1"/>
  <c r="L361" i="1"/>
  <c r="M361" i="1"/>
  <c r="O361" i="1"/>
  <c r="E344" i="1"/>
  <c r="F344" i="1"/>
  <c r="G344" i="1"/>
  <c r="H344" i="1"/>
  <c r="J344" i="1"/>
  <c r="K344" i="1"/>
  <c r="L344" i="1"/>
  <c r="M344" i="1"/>
  <c r="O344" i="1"/>
  <c r="E345" i="1"/>
  <c r="F345" i="1"/>
  <c r="G345" i="1"/>
  <c r="H345" i="1"/>
  <c r="J345" i="1"/>
  <c r="K345" i="1"/>
  <c r="L345" i="1"/>
  <c r="M345" i="1"/>
  <c r="O345" i="1"/>
  <c r="E346" i="1"/>
  <c r="F346" i="1"/>
  <c r="G346" i="1"/>
  <c r="H346" i="1"/>
  <c r="J346" i="1"/>
  <c r="K346" i="1"/>
  <c r="L346" i="1"/>
  <c r="M346" i="1"/>
  <c r="O346" i="1"/>
  <c r="E347" i="1"/>
  <c r="F347" i="1"/>
  <c r="G347" i="1"/>
  <c r="H347" i="1"/>
  <c r="J347" i="1"/>
  <c r="K347" i="1"/>
  <c r="L347" i="1"/>
  <c r="M347" i="1"/>
  <c r="O347" i="1"/>
  <c r="E348" i="1"/>
  <c r="F348" i="1"/>
  <c r="G348" i="1"/>
  <c r="H348" i="1"/>
  <c r="J348" i="1"/>
  <c r="K348" i="1"/>
  <c r="L348" i="1"/>
  <c r="M348" i="1"/>
  <c r="O348" i="1"/>
  <c r="E349" i="1"/>
  <c r="F349" i="1"/>
  <c r="G349" i="1"/>
  <c r="H349" i="1"/>
  <c r="J349" i="1"/>
  <c r="K349" i="1"/>
  <c r="L349" i="1"/>
  <c r="M349" i="1"/>
  <c r="O349" i="1"/>
  <c r="E350" i="1"/>
  <c r="F350" i="1"/>
  <c r="G350" i="1"/>
  <c r="H350" i="1"/>
  <c r="J350" i="1"/>
  <c r="K350" i="1"/>
  <c r="L350" i="1"/>
  <c r="M350" i="1"/>
  <c r="O350" i="1"/>
  <c r="E351" i="1"/>
  <c r="F351" i="1"/>
  <c r="G351" i="1"/>
  <c r="H351" i="1"/>
  <c r="J351" i="1"/>
  <c r="K351" i="1"/>
  <c r="L351" i="1"/>
  <c r="M351" i="1"/>
  <c r="O351" i="1"/>
  <c r="E352" i="1"/>
  <c r="F352" i="1"/>
  <c r="G352" i="1"/>
  <c r="H352" i="1"/>
  <c r="J352" i="1"/>
  <c r="K352" i="1"/>
  <c r="L352" i="1"/>
  <c r="M352" i="1"/>
  <c r="O352" i="1"/>
  <c r="E353" i="1"/>
  <c r="F353" i="1"/>
  <c r="G353" i="1"/>
  <c r="H353" i="1"/>
  <c r="J353" i="1"/>
  <c r="K353" i="1"/>
  <c r="L353" i="1"/>
  <c r="M353" i="1"/>
  <c r="O353" i="1"/>
  <c r="E354" i="1"/>
  <c r="F354" i="1"/>
  <c r="G354" i="1"/>
  <c r="H354" i="1"/>
  <c r="J354" i="1"/>
  <c r="K354" i="1"/>
  <c r="L354" i="1"/>
  <c r="M354" i="1"/>
  <c r="O354" i="1"/>
  <c r="E355" i="1"/>
  <c r="F355" i="1"/>
  <c r="G355" i="1"/>
  <c r="H355" i="1"/>
  <c r="J355" i="1"/>
  <c r="K355" i="1"/>
  <c r="L355" i="1"/>
  <c r="M355" i="1"/>
  <c r="O355" i="1"/>
  <c r="E356" i="1"/>
  <c r="F356" i="1"/>
  <c r="G356" i="1"/>
  <c r="H356" i="1"/>
  <c r="J356" i="1"/>
  <c r="K356" i="1"/>
  <c r="L356" i="1"/>
  <c r="M356" i="1"/>
  <c r="O356" i="1"/>
  <c r="A352" i="1" l="1"/>
  <c r="A348" i="1"/>
  <c r="A363" i="1"/>
  <c r="A356" i="1"/>
  <c r="A358" i="1"/>
  <c r="A367" i="1"/>
  <c r="A355" i="1"/>
  <c r="A351" i="1"/>
  <c r="A347" i="1"/>
  <c r="A354" i="1"/>
  <c r="A350" i="1"/>
  <c r="A346" i="1"/>
  <c r="A360" i="1"/>
  <c r="A362" i="1"/>
  <c r="A353" i="1"/>
  <c r="A349" i="1"/>
  <c r="A345" i="1"/>
  <c r="A365" i="1"/>
  <c r="A368" i="1"/>
  <c r="A366" i="1"/>
  <c r="A364" i="1"/>
  <c r="A361" i="1"/>
  <c r="A359" i="1"/>
  <c r="A357" i="1"/>
  <c r="A344" i="1"/>
  <c r="E343" i="1"/>
  <c r="F343" i="1"/>
  <c r="G343" i="1"/>
  <c r="H343" i="1"/>
  <c r="J343" i="1"/>
  <c r="K343" i="1"/>
  <c r="L343" i="1"/>
  <c r="M343" i="1"/>
  <c r="O343" i="1"/>
  <c r="A343" i="1" l="1"/>
  <c r="E341" i="1"/>
  <c r="F341" i="1"/>
  <c r="G341" i="1"/>
  <c r="H341" i="1"/>
  <c r="J341" i="1"/>
  <c r="K341" i="1"/>
  <c r="L341" i="1"/>
  <c r="M341" i="1"/>
  <c r="O341" i="1"/>
  <c r="E342" i="1"/>
  <c r="F342" i="1"/>
  <c r="G342" i="1"/>
  <c r="H342" i="1"/>
  <c r="J342" i="1"/>
  <c r="K342" i="1"/>
  <c r="L342" i="1"/>
  <c r="M342" i="1"/>
  <c r="O342" i="1"/>
  <c r="A341" i="1" l="1"/>
  <c r="A342" i="1"/>
  <c r="E340" i="1"/>
  <c r="F340" i="1"/>
  <c r="G340" i="1"/>
  <c r="H340" i="1"/>
  <c r="J340" i="1"/>
  <c r="K340" i="1"/>
  <c r="L340" i="1"/>
  <c r="M340" i="1"/>
  <c r="O340" i="1"/>
  <c r="A340" i="1" l="1"/>
  <c r="E336" i="1"/>
  <c r="F336" i="1"/>
  <c r="G336" i="1"/>
  <c r="H336" i="1"/>
  <c r="J336" i="1"/>
  <c r="K336" i="1"/>
  <c r="L336" i="1"/>
  <c r="M336" i="1"/>
  <c r="O336" i="1"/>
  <c r="E337" i="1"/>
  <c r="F337" i="1"/>
  <c r="G337" i="1"/>
  <c r="H337" i="1"/>
  <c r="J337" i="1"/>
  <c r="K337" i="1"/>
  <c r="L337" i="1"/>
  <c r="M337" i="1"/>
  <c r="O337" i="1"/>
  <c r="E338" i="1"/>
  <c r="F338" i="1"/>
  <c r="G338" i="1"/>
  <c r="H338" i="1"/>
  <c r="J338" i="1"/>
  <c r="K338" i="1"/>
  <c r="L338" i="1"/>
  <c r="M338" i="1"/>
  <c r="O338" i="1"/>
  <c r="E339" i="1"/>
  <c r="F339" i="1"/>
  <c r="G339" i="1"/>
  <c r="H339" i="1"/>
  <c r="J339" i="1"/>
  <c r="K339" i="1"/>
  <c r="L339" i="1"/>
  <c r="M339" i="1"/>
  <c r="O339" i="1"/>
  <c r="E332" i="1"/>
  <c r="F332" i="1"/>
  <c r="G332" i="1"/>
  <c r="H332" i="1"/>
  <c r="J332" i="1"/>
  <c r="K332" i="1"/>
  <c r="L332" i="1"/>
  <c r="M332" i="1"/>
  <c r="O332" i="1"/>
  <c r="E333" i="1"/>
  <c r="F333" i="1"/>
  <c r="G333" i="1"/>
  <c r="H333" i="1"/>
  <c r="J333" i="1"/>
  <c r="K333" i="1"/>
  <c r="L333" i="1"/>
  <c r="M333" i="1"/>
  <c r="O333" i="1"/>
  <c r="E334" i="1"/>
  <c r="F334" i="1"/>
  <c r="G334" i="1"/>
  <c r="H334" i="1"/>
  <c r="J334" i="1"/>
  <c r="K334" i="1"/>
  <c r="L334" i="1"/>
  <c r="M334" i="1"/>
  <c r="O334" i="1"/>
  <c r="E335" i="1"/>
  <c r="F335" i="1"/>
  <c r="G335" i="1"/>
  <c r="H335" i="1"/>
  <c r="J335" i="1"/>
  <c r="K335" i="1"/>
  <c r="L335" i="1"/>
  <c r="M335" i="1"/>
  <c r="O335" i="1"/>
  <c r="A335" i="1" l="1"/>
  <c r="A332" i="1"/>
  <c r="A336" i="1"/>
  <c r="A334" i="1"/>
  <c r="A338" i="1"/>
  <c r="A337" i="1"/>
  <c r="A339" i="1"/>
  <c r="A333" i="1"/>
  <c r="E324" i="1"/>
  <c r="F324" i="1"/>
  <c r="G324" i="1"/>
  <c r="H324" i="1"/>
  <c r="J324" i="1"/>
  <c r="K324" i="1"/>
  <c r="L324" i="1"/>
  <c r="M324" i="1"/>
  <c r="O324" i="1"/>
  <c r="E325" i="1"/>
  <c r="F325" i="1"/>
  <c r="G325" i="1"/>
  <c r="H325" i="1"/>
  <c r="J325" i="1"/>
  <c r="K325" i="1"/>
  <c r="L325" i="1"/>
  <c r="M325" i="1"/>
  <c r="O325" i="1"/>
  <c r="E326" i="1"/>
  <c r="F326" i="1"/>
  <c r="G326" i="1"/>
  <c r="H326" i="1"/>
  <c r="J326" i="1"/>
  <c r="K326" i="1"/>
  <c r="L326" i="1"/>
  <c r="M326" i="1"/>
  <c r="O326" i="1"/>
  <c r="E327" i="1"/>
  <c r="F327" i="1"/>
  <c r="G327" i="1"/>
  <c r="H327" i="1"/>
  <c r="J327" i="1"/>
  <c r="K327" i="1"/>
  <c r="L327" i="1"/>
  <c r="M327" i="1"/>
  <c r="O327" i="1"/>
  <c r="E328" i="1"/>
  <c r="F328" i="1"/>
  <c r="G328" i="1"/>
  <c r="H328" i="1"/>
  <c r="J328" i="1"/>
  <c r="K328" i="1"/>
  <c r="L328" i="1"/>
  <c r="M328" i="1"/>
  <c r="O328" i="1"/>
  <c r="E329" i="1"/>
  <c r="F329" i="1"/>
  <c r="G329" i="1"/>
  <c r="H329" i="1"/>
  <c r="J329" i="1"/>
  <c r="K329" i="1"/>
  <c r="L329" i="1"/>
  <c r="M329" i="1"/>
  <c r="O329" i="1"/>
  <c r="E330" i="1"/>
  <c r="F330" i="1"/>
  <c r="G330" i="1"/>
  <c r="H330" i="1"/>
  <c r="J330" i="1"/>
  <c r="K330" i="1"/>
  <c r="L330" i="1"/>
  <c r="M330" i="1"/>
  <c r="O330" i="1"/>
  <c r="E331" i="1"/>
  <c r="F331" i="1"/>
  <c r="G331" i="1"/>
  <c r="H331" i="1"/>
  <c r="J331" i="1"/>
  <c r="K331" i="1"/>
  <c r="L331" i="1"/>
  <c r="M331" i="1"/>
  <c r="O331" i="1"/>
  <c r="A328" i="1" l="1"/>
  <c r="A324" i="1"/>
  <c r="A325" i="1"/>
  <c r="A331" i="1"/>
  <c r="A327" i="1"/>
  <c r="A330" i="1"/>
  <c r="A326" i="1"/>
  <c r="A329" i="1"/>
  <c r="E317" i="1"/>
  <c r="F317" i="1"/>
  <c r="G317" i="1"/>
  <c r="H317" i="1"/>
  <c r="J317" i="1"/>
  <c r="K317" i="1"/>
  <c r="L317" i="1"/>
  <c r="M317" i="1"/>
  <c r="O317" i="1"/>
  <c r="E318" i="1"/>
  <c r="F318" i="1"/>
  <c r="G318" i="1"/>
  <c r="H318" i="1"/>
  <c r="J318" i="1"/>
  <c r="K318" i="1"/>
  <c r="L318" i="1"/>
  <c r="M318" i="1"/>
  <c r="O318" i="1"/>
  <c r="E319" i="1"/>
  <c r="F319" i="1"/>
  <c r="G319" i="1"/>
  <c r="H319" i="1"/>
  <c r="J319" i="1"/>
  <c r="K319" i="1"/>
  <c r="L319" i="1"/>
  <c r="M319" i="1"/>
  <c r="O319" i="1"/>
  <c r="E320" i="1"/>
  <c r="F320" i="1"/>
  <c r="G320" i="1"/>
  <c r="H320" i="1"/>
  <c r="J320" i="1"/>
  <c r="K320" i="1"/>
  <c r="L320" i="1"/>
  <c r="M320" i="1"/>
  <c r="O320" i="1"/>
  <c r="E321" i="1"/>
  <c r="F321" i="1"/>
  <c r="G321" i="1"/>
  <c r="H321" i="1"/>
  <c r="J321" i="1"/>
  <c r="K321" i="1"/>
  <c r="L321" i="1"/>
  <c r="M321" i="1"/>
  <c r="O321" i="1"/>
  <c r="E322" i="1"/>
  <c r="F322" i="1"/>
  <c r="G322" i="1"/>
  <c r="H322" i="1"/>
  <c r="J322" i="1"/>
  <c r="K322" i="1"/>
  <c r="L322" i="1"/>
  <c r="M322" i="1"/>
  <c r="O322" i="1"/>
  <c r="E323" i="1"/>
  <c r="F323" i="1"/>
  <c r="G323" i="1"/>
  <c r="H323" i="1"/>
  <c r="J323" i="1"/>
  <c r="K323" i="1"/>
  <c r="L323" i="1"/>
  <c r="M323" i="1"/>
  <c r="O323" i="1"/>
  <c r="E301" i="1"/>
  <c r="F301" i="1"/>
  <c r="G301" i="1"/>
  <c r="H301" i="1"/>
  <c r="J301" i="1"/>
  <c r="K301" i="1"/>
  <c r="L301" i="1"/>
  <c r="M301" i="1"/>
  <c r="O301" i="1"/>
  <c r="E302" i="1"/>
  <c r="F302" i="1"/>
  <c r="G302" i="1"/>
  <c r="H302" i="1"/>
  <c r="J302" i="1"/>
  <c r="K302" i="1"/>
  <c r="L302" i="1"/>
  <c r="M302" i="1"/>
  <c r="O302" i="1"/>
  <c r="E303" i="1"/>
  <c r="F303" i="1"/>
  <c r="G303" i="1"/>
  <c r="H303" i="1"/>
  <c r="J303" i="1"/>
  <c r="K303" i="1"/>
  <c r="L303" i="1"/>
  <c r="M303" i="1"/>
  <c r="O303" i="1"/>
  <c r="E304" i="1"/>
  <c r="F304" i="1"/>
  <c r="G304" i="1"/>
  <c r="H304" i="1"/>
  <c r="J304" i="1"/>
  <c r="K304" i="1"/>
  <c r="L304" i="1"/>
  <c r="M304" i="1"/>
  <c r="O304" i="1"/>
  <c r="E305" i="1"/>
  <c r="F305" i="1"/>
  <c r="G305" i="1"/>
  <c r="H305" i="1"/>
  <c r="J305" i="1"/>
  <c r="K305" i="1"/>
  <c r="L305" i="1"/>
  <c r="M305" i="1"/>
  <c r="O305" i="1"/>
  <c r="E306" i="1"/>
  <c r="F306" i="1"/>
  <c r="G306" i="1"/>
  <c r="H306" i="1"/>
  <c r="J306" i="1"/>
  <c r="K306" i="1"/>
  <c r="L306" i="1"/>
  <c r="M306" i="1"/>
  <c r="O306" i="1"/>
  <c r="E307" i="1"/>
  <c r="F307" i="1"/>
  <c r="G307" i="1"/>
  <c r="H307" i="1"/>
  <c r="J307" i="1"/>
  <c r="K307" i="1"/>
  <c r="L307" i="1"/>
  <c r="M307" i="1"/>
  <c r="O307" i="1"/>
  <c r="E308" i="1"/>
  <c r="F308" i="1"/>
  <c r="G308" i="1"/>
  <c r="H308" i="1"/>
  <c r="J308" i="1"/>
  <c r="K308" i="1"/>
  <c r="L308" i="1"/>
  <c r="M308" i="1"/>
  <c r="O308" i="1"/>
  <c r="E309" i="1"/>
  <c r="F309" i="1"/>
  <c r="G309" i="1"/>
  <c r="H309" i="1"/>
  <c r="J309" i="1"/>
  <c r="K309" i="1"/>
  <c r="L309" i="1"/>
  <c r="M309" i="1"/>
  <c r="O309" i="1"/>
  <c r="E310" i="1"/>
  <c r="F310" i="1"/>
  <c r="G310" i="1"/>
  <c r="H310" i="1"/>
  <c r="J310" i="1"/>
  <c r="K310" i="1"/>
  <c r="L310" i="1"/>
  <c r="M310" i="1"/>
  <c r="O310" i="1"/>
  <c r="E311" i="1"/>
  <c r="F311" i="1"/>
  <c r="G311" i="1"/>
  <c r="H311" i="1"/>
  <c r="J311" i="1"/>
  <c r="K311" i="1"/>
  <c r="L311" i="1"/>
  <c r="M311" i="1"/>
  <c r="O311" i="1"/>
  <c r="E312" i="1"/>
  <c r="F312" i="1"/>
  <c r="G312" i="1"/>
  <c r="H312" i="1"/>
  <c r="J312" i="1"/>
  <c r="K312" i="1"/>
  <c r="L312" i="1"/>
  <c r="M312" i="1"/>
  <c r="O312" i="1"/>
  <c r="E313" i="1"/>
  <c r="F313" i="1"/>
  <c r="G313" i="1"/>
  <c r="H313" i="1"/>
  <c r="J313" i="1"/>
  <c r="K313" i="1"/>
  <c r="L313" i="1"/>
  <c r="M313" i="1"/>
  <c r="O313" i="1"/>
  <c r="E314" i="1"/>
  <c r="F314" i="1"/>
  <c r="G314" i="1"/>
  <c r="H314" i="1"/>
  <c r="J314" i="1"/>
  <c r="K314" i="1"/>
  <c r="L314" i="1"/>
  <c r="M314" i="1"/>
  <c r="O314" i="1"/>
  <c r="E315" i="1"/>
  <c r="F315" i="1"/>
  <c r="G315" i="1"/>
  <c r="H315" i="1"/>
  <c r="J315" i="1"/>
  <c r="K315" i="1"/>
  <c r="L315" i="1"/>
  <c r="M315" i="1"/>
  <c r="O315" i="1"/>
  <c r="E316" i="1"/>
  <c r="F316" i="1"/>
  <c r="G316" i="1"/>
  <c r="H316" i="1"/>
  <c r="J316" i="1"/>
  <c r="K316" i="1"/>
  <c r="L316" i="1"/>
  <c r="M316" i="1"/>
  <c r="O316" i="1"/>
  <c r="A315" i="1" l="1"/>
  <c r="A311" i="1"/>
  <c r="A307" i="1"/>
  <c r="A303" i="1"/>
  <c r="A322" i="1"/>
  <c r="A318" i="1"/>
  <c r="A313" i="1"/>
  <c r="A309" i="1"/>
  <c r="A305" i="1"/>
  <c r="A301" i="1"/>
  <c r="A320" i="1"/>
  <c r="A323" i="1"/>
  <c r="A321" i="1"/>
  <c r="A319" i="1"/>
  <c r="A317" i="1"/>
  <c r="A316" i="1"/>
  <c r="A314" i="1"/>
  <c r="A312" i="1"/>
  <c r="A310" i="1"/>
  <c r="A308" i="1"/>
  <c r="A306" i="1"/>
  <c r="A304" i="1"/>
  <c r="A302" i="1"/>
  <c r="E299" i="1"/>
  <c r="F299" i="1"/>
  <c r="G299" i="1"/>
  <c r="H299" i="1"/>
  <c r="J299" i="1"/>
  <c r="K299" i="1"/>
  <c r="L299" i="1"/>
  <c r="M299" i="1"/>
  <c r="O299" i="1"/>
  <c r="E300" i="1"/>
  <c r="F300" i="1"/>
  <c r="G300" i="1"/>
  <c r="H300" i="1"/>
  <c r="J300" i="1"/>
  <c r="K300" i="1"/>
  <c r="L300" i="1"/>
  <c r="M300" i="1"/>
  <c r="O300" i="1"/>
  <c r="A300" i="1" l="1"/>
  <c r="A299" i="1"/>
  <c r="E289" i="1"/>
  <c r="F289" i="1"/>
  <c r="G289" i="1"/>
  <c r="H289" i="1"/>
  <c r="J289" i="1"/>
  <c r="K289" i="1"/>
  <c r="L289" i="1"/>
  <c r="M289" i="1"/>
  <c r="O289" i="1"/>
  <c r="E290" i="1"/>
  <c r="F290" i="1"/>
  <c r="G290" i="1"/>
  <c r="H290" i="1"/>
  <c r="J290" i="1"/>
  <c r="K290" i="1"/>
  <c r="L290" i="1"/>
  <c r="M290" i="1"/>
  <c r="O290" i="1"/>
  <c r="E291" i="1"/>
  <c r="F291" i="1"/>
  <c r="G291" i="1"/>
  <c r="H291" i="1"/>
  <c r="J291" i="1"/>
  <c r="K291" i="1"/>
  <c r="L291" i="1"/>
  <c r="M291" i="1"/>
  <c r="O291" i="1"/>
  <c r="E292" i="1"/>
  <c r="F292" i="1"/>
  <c r="G292" i="1"/>
  <c r="H292" i="1"/>
  <c r="J292" i="1"/>
  <c r="K292" i="1"/>
  <c r="L292" i="1"/>
  <c r="M292" i="1"/>
  <c r="O292" i="1"/>
  <c r="E293" i="1"/>
  <c r="F293" i="1"/>
  <c r="G293" i="1"/>
  <c r="H293" i="1"/>
  <c r="J293" i="1"/>
  <c r="K293" i="1"/>
  <c r="L293" i="1"/>
  <c r="M293" i="1"/>
  <c r="O293" i="1"/>
  <c r="E294" i="1"/>
  <c r="F294" i="1"/>
  <c r="G294" i="1"/>
  <c r="H294" i="1"/>
  <c r="J294" i="1"/>
  <c r="K294" i="1"/>
  <c r="L294" i="1"/>
  <c r="M294" i="1"/>
  <c r="O294" i="1"/>
  <c r="E295" i="1"/>
  <c r="F295" i="1"/>
  <c r="G295" i="1"/>
  <c r="H295" i="1"/>
  <c r="J295" i="1"/>
  <c r="K295" i="1"/>
  <c r="L295" i="1"/>
  <c r="M295" i="1"/>
  <c r="O295" i="1"/>
  <c r="E296" i="1"/>
  <c r="F296" i="1"/>
  <c r="G296" i="1"/>
  <c r="H296" i="1"/>
  <c r="J296" i="1"/>
  <c r="K296" i="1"/>
  <c r="L296" i="1"/>
  <c r="M296" i="1"/>
  <c r="O296" i="1"/>
  <c r="E297" i="1"/>
  <c r="F297" i="1"/>
  <c r="G297" i="1"/>
  <c r="H297" i="1"/>
  <c r="J297" i="1"/>
  <c r="K297" i="1"/>
  <c r="L297" i="1"/>
  <c r="M297" i="1"/>
  <c r="O297" i="1"/>
  <c r="E298" i="1"/>
  <c r="F298" i="1"/>
  <c r="G298" i="1"/>
  <c r="H298" i="1"/>
  <c r="J298" i="1"/>
  <c r="K298" i="1"/>
  <c r="L298" i="1"/>
  <c r="M298" i="1"/>
  <c r="O298" i="1"/>
  <c r="A295" i="1" l="1"/>
  <c r="A297" i="1"/>
  <c r="A293" i="1"/>
  <c r="A289" i="1"/>
  <c r="A291" i="1"/>
  <c r="A298" i="1"/>
  <c r="A296" i="1"/>
  <c r="A294" i="1"/>
  <c r="A292" i="1"/>
  <c r="A290" i="1"/>
  <c r="E285" i="1"/>
  <c r="F285" i="1"/>
  <c r="G285" i="1"/>
  <c r="H285" i="1"/>
  <c r="J285" i="1"/>
  <c r="K285" i="1"/>
  <c r="L285" i="1"/>
  <c r="M285" i="1"/>
  <c r="O285" i="1"/>
  <c r="E286" i="1"/>
  <c r="F286" i="1"/>
  <c r="G286" i="1"/>
  <c r="H286" i="1"/>
  <c r="J286" i="1"/>
  <c r="K286" i="1"/>
  <c r="L286" i="1"/>
  <c r="M286" i="1"/>
  <c r="O286" i="1"/>
  <c r="E287" i="1"/>
  <c r="F287" i="1"/>
  <c r="G287" i="1"/>
  <c r="H287" i="1"/>
  <c r="J287" i="1"/>
  <c r="K287" i="1"/>
  <c r="L287" i="1"/>
  <c r="M287" i="1"/>
  <c r="O287" i="1"/>
  <c r="E288" i="1"/>
  <c r="F288" i="1"/>
  <c r="G288" i="1"/>
  <c r="H288" i="1"/>
  <c r="J288" i="1"/>
  <c r="K288" i="1"/>
  <c r="L288" i="1"/>
  <c r="M288" i="1"/>
  <c r="O288" i="1"/>
  <c r="A285" i="1" l="1"/>
  <c r="A286" i="1"/>
  <c r="A288" i="1"/>
  <c r="A287" i="1"/>
  <c r="E279" i="1"/>
  <c r="F279" i="1"/>
  <c r="G279" i="1"/>
  <c r="H279" i="1"/>
  <c r="J279" i="1"/>
  <c r="K279" i="1"/>
  <c r="L279" i="1"/>
  <c r="M279" i="1"/>
  <c r="O279" i="1"/>
  <c r="E280" i="1"/>
  <c r="F280" i="1"/>
  <c r="G280" i="1"/>
  <c r="H280" i="1"/>
  <c r="J280" i="1"/>
  <c r="K280" i="1"/>
  <c r="L280" i="1"/>
  <c r="M280" i="1"/>
  <c r="O280" i="1"/>
  <c r="E281" i="1"/>
  <c r="F281" i="1"/>
  <c r="G281" i="1"/>
  <c r="H281" i="1"/>
  <c r="J281" i="1"/>
  <c r="K281" i="1"/>
  <c r="L281" i="1"/>
  <c r="M281" i="1"/>
  <c r="O281" i="1"/>
  <c r="E282" i="1"/>
  <c r="F282" i="1"/>
  <c r="G282" i="1"/>
  <c r="H282" i="1"/>
  <c r="J282" i="1"/>
  <c r="K282" i="1"/>
  <c r="L282" i="1"/>
  <c r="M282" i="1"/>
  <c r="O282" i="1"/>
  <c r="E283" i="1"/>
  <c r="F283" i="1"/>
  <c r="G283" i="1"/>
  <c r="H283" i="1"/>
  <c r="J283" i="1"/>
  <c r="K283" i="1"/>
  <c r="L283" i="1"/>
  <c r="M283" i="1"/>
  <c r="O283" i="1"/>
  <c r="E284" i="1"/>
  <c r="F284" i="1"/>
  <c r="G284" i="1"/>
  <c r="H284" i="1"/>
  <c r="J284" i="1"/>
  <c r="K284" i="1"/>
  <c r="L284" i="1"/>
  <c r="M284" i="1"/>
  <c r="O284" i="1"/>
  <c r="A283" i="1" l="1"/>
  <c r="A279" i="1"/>
  <c r="A281" i="1"/>
  <c r="A284" i="1"/>
  <c r="A282" i="1"/>
  <c r="A280" i="1"/>
  <c r="E278" i="1"/>
  <c r="F278" i="1"/>
  <c r="G278" i="1"/>
  <c r="H278" i="1"/>
  <c r="J278" i="1"/>
  <c r="K278" i="1"/>
  <c r="L278" i="1"/>
  <c r="M278" i="1"/>
  <c r="O278" i="1"/>
  <c r="A278" i="1" l="1"/>
  <c r="E274" i="1"/>
  <c r="F274" i="1"/>
  <c r="G274" i="1"/>
  <c r="H274" i="1"/>
  <c r="J274" i="1"/>
  <c r="K274" i="1"/>
  <c r="L274" i="1"/>
  <c r="M274" i="1"/>
  <c r="O274" i="1"/>
  <c r="E275" i="1"/>
  <c r="F275" i="1"/>
  <c r="G275" i="1"/>
  <c r="H275" i="1"/>
  <c r="J275" i="1"/>
  <c r="K275" i="1"/>
  <c r="L275" i="1"/>
  <c r="M275" i="1"/>
  <c r="O275" i="1"/>
  <c r="E276" i="1"/>
  <c r="F276" i="1"/>
  <c r="G276" i="1"/>
  <c r="H276" i="1"/>
  <c r="J276" i="1"/>
  <c r="K276" i="1"/>
  <c r="L276" i="1"/>
  <c r="M276" i="1"/>
  <c r="O276" i="1"/>
  <c r="E277" i="1"/>
  <c r="F277" i="1"/>
  <c r="G277" i="1"/>
  <c r="H277" i="1"/>
  <c r="J277" i="1"/>
  <c r="K277" i="1"/>
  <c r="L277" i="1"/>
  <c r="M277" i="1"/>
  <c r="O277" i="1"/>
  <c r="A274" i="1" l="1"/>
  <c r="A275" i="1"/>
  <c r="A277" i="1"/>
  <c r="A276" i="1"/>
  <c r="E272" i="1"/>
  <c r="F272" i="1"/>
  <c r="G272" i="1"/>
  <c r="H272" i="1"/>
  <c r="J272" i="1"/>
  <c r="K272" i="1"/>
  <c r="L272" i="1"/>
  <c r="M272" i="1"/>
  <c r="O272" i="1"/>
  <c r="E273" i="1"/>
  <c r="F273" i="1"/>
  <c r="G273" i="1"/>
  <c r="H273" i="1"/>
  <c r="J273" i="1"/>
  <c r="K273" i="1"/>
  <c r="L273" i="1"/>
  <c r="M273" i="1"/>
  <c r="O273" i="1"/>
  <c r="A272" i="1" l="1"/>
  <c r="A273" i="1"/>
  <c r="E266" i="1"/>
  <c r="F266" i="1"/>
  <c r="G266" i="1"/>
  <c r="H266" i="1"/>
  <c r="J266" i="1"/>
  <c r="K266" i="1"/>
  <c r="L266" i="1"/>
  <c r="M266" i="1"/>
  <c r="O266" i="1"/>
  <c r="E267" i="1"/>
  <c r="F267" i="1"/>
  <c r="G267" i="1"/>
  <c r="H267" i="1"/>
  <c r="J267" i="1"/>
  <c r="K267" i="1"/>
  <c r="L267" i="1"/>
  <c r="M267" i="1"/>
  <c r="O267" i="1"/>
  <c r="E268" i="1"/>
  <c r="F268" i="1"/>
  <c r="G268" i="1"/>
  <c r="H268" i="1"/>
  <c r="J268" i="1"/>
  <c r="K268" i="1"/>
  <c r="L268" i="1"/>
  <c r="M268" i="1"/>
  <c r="O268" i="1"/>
  <c r="E269" i="1"/>
  <c r="F269" i="1"/>
  <c r="G269" i="1"/>
  <c r="H269" i="1"/>
  <c r="J269" i="1"/>
  <c r="K269" i="1"/>
  <c r="L269" i="1"/>
  <c r="M269" i="1"/>
  <c r="O269" i="1"/>
  <c r="E270" i="1"/>
  <c r="F270" i="1"/>
  <c r="G270" i="1"/>
  <c r="H270" i="1"/>
  <c r="J270" i="1"/>
  <c r="K270" i="1"/>
  <c r="L270" i="1"/>
  <c r="M270" i="1"/>
  <c r="O270" i="1"/>
  <c r="E271" i="1"/>
  <c r="F271" i="1"/>
  <c r="G271" i="1"/>
  <c r="H271" i="1"/>
  <c r="J271" i="1"/>
  <c r="K271" i="1"/>
  <c r="L271" i="1"/>
  <c r="M271" i="1"/>
  <c r="O271" i="1"/>
  <c r="A271" i="1" l="1"/>
  <c r="A270" i="1"/>
  <c r="A266" i="1"/>
  <c r="A268" i="1"/>
  <c r="A269" i="1"/>
  <c r="A267" i="1"/>
  <c r="E264" i="1"/>
  <c r="F264" i="1"/>
  <c r="G264" i="1"/>
  <c r="H264" i="1"/>
  <c r="J264" i="1"/>
  <c r="K264" i="1"/>
  <c r="L264" i="1"/>
  <c r="M264" i="1"/>
  <c r="O264" i="1"/>
  <c r="E265" i="1"/>
  <c r="F265" i="1"/>
  <c r="G265" i="1"/>
  <c r="H265" i="1"/>
  <c r="J265" i="1"/>
  <c r="K265" i="1"/>
  <c r="L265" i="1"/>
  <c r="M265" i="1"/>
  <c r="O265" i="1"/>
  <c r="A265" i="1" l="1"/>
  <c r="A264" i="1"/>
  <c r="E263" i="1"/>
  <c r="F263" i="1"/>
  <c r="G263" i="1"/>
  <c r="H263" i="1"/>
  <c r="J263" i="1"/>
  <c r="K263" i="1"/>
  <c r="L263" i="1"/>
  <c r="M263" i="1"/>
  <c r="O263" i="1"/>
  <c r="A263" i="1" l="1"/>
  <c r="E261" i="1"/>
  <c r="F261" i="1"/>
  <c r="G261" i="1"/>
  <c r="H261" i="1"/>
  <c r="J261" i="1"/>
  <c r="K261" i="1"/>
  <c r="L261" i="1"/>
  <c r="M261" i="1"/>
  <c r="O261" i="1"/>
  <c r="E262" i="1"/>
  <c r="F262" i="1"/>
  <c r="G262" i="1"/>
  <c r="H262" i="1"/>
  <c r="J262" i="1"/>
  <c r="K262" i="1"/>
  <c r="L262" i="1"/>
  <c r="M262" i="1"/>
  <c r="O262" i="1"/>
  <c r="A261" i="1" l="1"/>
  <c r="A262" i="1"/>
  <c r="E260" i="1"/>
  <c r="F260" i="1"/>
  <c r="G260" i="1"/>
  <c r="H260" i="1"/>
  <c r="J260" i="1"/>
  <c r="K260" i="1"/>
  <c r="L260" i="1"/>
  <c r="M260" i="1"/>
  <c r="O260" i="1"/>
  <c r="A260" i="1" l="1"/>
  <c r="E259" i="1"/>
  <c r="F259" i="1"/>
  <c r="G259" i="1"/>
  <c r="H259" i="1"/>
  <c r="J259" i="1"/>
  <c r="K259" i="1"/>
  <c r="L259" i="1"/>
  <c r="M259" i="1"/>
  <c r="O259" i="1"/>
  <c r="A259" i="1" l="1"/>
  <c r="E258" i="1"/>
  <c r="F258" i="1"/>
  <c r="G258" i="1"/>
  <c r="H258" i="1"/>
  <c r="J258" i="1"/>
  <c r="K258" i="1"/>
  <c r="L258" i="1"/>
  <c r="M258" i="1"/>
  <c r="O258" i="1"/>
  <c r="A258" i="1" l="1"/>
  <c r="E256" i="1"/>
  <c r="F256" i="1"/>
  <c r="G256" i="1"/>
  <c r="H256" i="1"/>
  <c r="J256" i="1"/>
  <c r="K256" i="1"/>
  <c r="L256" i="1"/>
  <c r="M256" i="1"/>
  <c r="O256" i="1"/>
  <c r="E257" i="1"/>
  <c r="F257" i="1"/>
  <c r="G257" i="1"/>
  <c r="H257" i="1"/>
  <c r="J257" i="1"/>
  <c r="K257" i="1"/>
  <c r="L257" i="1"/>
  <c r="M257" i="1"/>
  <c r="O257" i="1"/>
  <c r="A257" i="1" l="1"/>
  <c r="A256" i="1"/>
  <c r="E252" i="1"/>
  <c r="F252" i="1"/>
  <c r="G252" i="1"/>
  <c r="H252" i="1"/>
  <c r="J252" i="1"/>
  <c r="K252" i="1"/>
  <c r="L252" i="1"/>
  <c r="M252" i="1"/>
  <c r="O252" i="1"/>
  <c r="E253" i="1"/>
  <c r="F253" i="1"/>
  <c r="G253" i="1"/>
  <c r="H253" i="1"/>
  <c r="J253" i="1"/>
  <c r="K253" i="1"/>
  <c r="L253" i="1"/>
  <c r="M253" i="1"/>
  <c r="O253" i="1"/>
  <c r="E254" i="1"/>
  <c r="F254" i="1"/>
  <c r="G254" i="1"/>
  <c r="H254" i="1"/>
  <c r="J254" i="1"/>
  <c r="K254" i="1"/>
  <c r="L254" i="1"/>
  <c r="M254" i="1"/>
  <c r="O254" i="1"/>
  <c r="E255" i="1"/>
  <c r="F255" i="1"/>
  <c r="G255" i="1"/>
  <c r="H255" i="1"/>
  <c r="J255" i="1"/>
  <c r="K255" i="1"/>
  <c r="L255" i="1"/>
  <c r="M255" i="1"/>
  <c r="O255" i="1"/>
  <c r="A252" i="1" l="1"/>
  <c r="A255" i="1"/>
  <c r="A254" i="1"/>
  <c r="A253" i="1"/>
  <c r="E251" i="1"/>
  <c r="F251" i="1"/>
  <c r="G251" i="1"/>
  <c r="H251" i="1"/>
  <c r="J251" i="1"/>
  <c r="K251" i="1"/>
  <c r="L251" i="1"/>
  <c r="M251" i="1"/>
  <c r="O251" i="1"/>
  <c r="E246" i="1"/>
  <c r="F246" i="1"/>
  <c r="G246" i="1"/>
  <c r="H246" i="1"/>
  <c r="J246" i="1"/>
  <c r="K246" i="1"/>
  <c r="L246" i="1"/>
  <c r="M246" i="1"/>
  <c r="O246" i="1"/>
  <c r="E247" i="1"/>
  <c r="F247" i="1"/>
  <c r="G247" i="1"/>
  <c r="H247" i="1"/>
  <c r="J247" i="1"/>
  <c r="K247" i="1"/>
  <c r="L247" i="1"/>
  <c r="M247" i="1"/>
  <c r="O247" i="1"/>
  <c r="E248" i="1"/>
  <c r="F248" i="1"/>
  <c r="G248" i="1"/>
  <c r="H248" i="1"/>
  <c r="J248" i="1"/>
  <c r="K248" i="1"/>
  <c r="L248" i="1"/>
  <c r="M248" i="1"/>
  <c r="O248" i="1"/>
  <c r="E249" i="1"/>
  <c r="F249" i="1"/>
  <c r="G249" i="1"/>
  <c r="H249" i="1"/>
  <c r="J249" i="1"/>
  <c r="K249" i="1"/>
  <c r="L249" i="1"/>
  <c r="M249" i="1"/>
  <c r="O249" i="1"/>
  <c r="E250" i="1"/>
  <c r="F250" i="1"/>
  <c r="G250" i="1"/>
  <c r="H250" i="1"/>
  <c r="J250" i="1"/>
  <c r="K250" i="1"/>
  <c r="L250" i="1"/>
  <c r="M250" i="1"/>
  <c r="O250" i="1"/>
  <c r="A248" i="1" l="1"/>
  <c r="A247" i="1"/>
  <c r="A249" i="1"/>
  <c r="A251" i="1"/>
  <c r="A250" i="1"/>
  <c r="A246" i="1"/>
  <c r="E243" i="1"/>
  <c r="F243" i="1"/>
  <c r="G243" i="1"/>
  <c r="H243" i="1"/>
  <c r="J243" i="1"/>
  <c r="K243" i="1"/>
  <c r="L243" i="1"/>
  <c r="M243" i="1"/>
  <c r="O243" i="1"/>
  <c r="E244" i="1"/>
  <c r="F244" i="1"/>
  <c r="G244" i="1"/>
  <c r="H244" i="1"/>
  <c r="J244" i="1"/>
  <c r="K244" i="1"/>
  <c r="L244" i="1"/>
  <c r="M244" i="1"/>
  <c r="O244" i="1"/>
  <c r="E245" i="1"/>
  <c r="F245" i="1"/>
  <c r="G245" i="1"/>
  <c r="H245" i="1"/>
  <c r="J245" i="1"/>
  <c r="K245" i="1"/>
  <c r="L245" i="1"/>
  <c r="M245" i="1"/>
  <c r="O245" i="1"/>
  <c r="E238" i="1"/>
  <c r="F238" i="1"/>
  <c r="G238" i="1"/>
  <c r="H238" i="1"/>
  <c r="J238" i="1"/>
  <c r="K238" i="1"/>
  <c r="L238" i="1"/>
  <c r="M238" i="1"/>
  <c r="O238" i="1"/>
  <c r="E239" i="1"/>
  <c r="F239" i="1"/>
  <c r="G239" i="1"/>
  <c r="H239" i="1"/>
  <c r="J239" i="1"/>
  <c r="K239" i="1"/>
  <c r="L239" i="1"/>
  <c r="M239" i="1"/>
  <c r="O239" i="1"/>
  <c r="E240" i="1"/>
  <c r="F240" i="1"/>
  <c r="G240" i="1"/>
  <c r="H240" i="1"/>
  <c r="J240" i="1"/>
  <c r="K240" i="1"/>
  <c r="L240" i="1"/>
  <c r="M240" i="1"/>
  <c r="O240" i="1"/>
  <c r="E241" i="1"/>
  <c r="F241" i="1"/>
  <c r="G241" i="1"/>
  <c r="H241" i="1"/>
  <c r="J241" i="1"/>
  <c r="K241" i="1"/>
  <c r="L241" i="1"/>
  <c r="M241" i="1"/>
  <c r="O241" i="1"/>
  <c r="E242" i="1"/>
  <c r="F242" i="1"/>
  <c r="G242" i="1"/>
  <c r="H242" i="1"/>
  <c r="J242" i="1"/>
  <c r="K242" i="1"/>
  <c r="L242" i="1"/>
  <c r="M242" i="1"/>
  <c r="O242" i="1"/>
  <c r="A240" i="1" l="1"/>
  <c r="A243" i="1"/>
  <c r="A242" i="1"/>
  <c r="A238" i="1"/>
  <c r="A245" i="1"/>
  <c r="A244" i="1"/>
  <c r="A241" i="1"/>
  <c r="A239" i="1"/>
  <c r="E237" i="1"/>
  <c r="F237" i="1"/>
  <c r="G237" i="1"/>
  <c r="H237" i="1"/>
  <c r="J237" i="1"/>
  <c r="K237" i="1"/>
  <c r="L237" i="1"/>
  <c r="M237" i="1"/>
  <c r="O237" i="1"/>
  <c r="E235" i="1"/>
  <c r="F235" i="1"/>
  <c r="G235" i="1"/>
  <c r="H235" i="1"/>
  <c r="J235" i="1"/>
  <c r="K235" i="1"/>
  <c r="L235" i="1"/>
  <c r="M235" i="1"/>
  <c r="O235" i="1"/>
  <c r="E236" i="1"/>
  <c r="F236" i="1"/>
  <c r="G236" i="1"/>
  <c r="H236" i="1"/>
  <c r="J236" i="1"/>
  <c r="K236" i="1"/>
  <c r="L236" i="1"/>
  <c r="M236" i="1"/>
  <c r="O236" i="1"/>
  <c r="E230" i="1"/>
  <c r="F230" i="1"/>
  <c r="G230" i="1"/>
  <c r="H230" i="1"/>
  <c r="J230" i="1"/>
  <c r="K230" i="1"/>
  <c r="L230" i="1"/>
  <c r="M230" i="1"/>
  <c r="O230" i="1"/>
  <c r="E231" i="1"/>
  <c r="F231" i="1"/>
  <c r="G231" i="1"/>
  <c r="H231" i="1"/>
  <c r="J231" i="1"/>
  <c r="K231" i="1"/>
  <c r="L231" i="1"/>
  <c r="M231" i="1"/>
  <c r="O231" i="1"/>
  <c r="E232" i="1"/>
  <c r="F232" i="1"/>
  <c r="G232" i="1"/>
  <c r="H232" i="1"/>
  <c r="J232" i="1"/>
  <c r="K232" i="1"/>
  <c r="L232" i="1"/>
  <c r="M232" i="1"/>
  <c r="O232" i="1"/>
  <c r="E233" i="1"/>
  <c r="F233" i="1"/>
  <c r="G233" i="1"/>
  <c r="H233" i="1"/>
  <c r="J233" i="1"/>
  <c r="K233" i="1"/>
  <c r="L233" i="1"/>
  <c r="M233" i="1"/>
  <c r="O233" i="1"/>
  <c r="E234" i="1"/>
  <c r="F234" i="1"/>
  <c r="G234" i="1"/>
  <c r="H234" i="1"/>
  <c r="J234" i="1"/>
  <c r="K234" i="1"/>
  <c r="L234" i="1"/>
  <c r="M234" i="1"/>
  <c r="O234" i="1"/>
  <c r="A232" i="1" l="1"/>
  <c r="A235" i="1"/>
  <c r="A237" i="1"/>
  <c r="A234" i="1"/>
  <c r="A230" i="1"/>
  <c r="A236" i="1"/>
  <c r="A233" i="1"/>
  <c r="A231" i="1"/>
  <c r="E228" i="1"/>
  <c r="F228" i="1"/>
  <c r="G228" i="1"/>
  <c r="H228" i="1"/>
  <c r="J228" i="1"/>
  <c r="K228" i="1"/>
  <c r="L228" i="1"/>
  <c r="M228" i="1"/>
  <c r="O228" i="1"/>
  <c r="E229" i="1"/>
  <c r="F229" i="1"/>
  <c r="G229" i="1"/>
  <c r="H229" i="1"/>
  <c r="J229" i="1"/>
  <c r="K229" i="1"/>
  <c r="L229" i="1"/>
  <c r="M229" i="1"/>
  <c r="O229" i="1"/>
  <c r="A229" i="1" l="1"/>
  <c r="A228" i="1"/>
  <c r="E225" i="1"/>
  <c r="F225" i="1"/>
  <c r="G225" i="1"/>
  <c r="H225" i="1"/>
  <c r="J225" i="1"/>
  <c r="K225" i="1"/>
  <c r="L225" i="1"/>
  <c r="M225" i="1"/>
  <c r="O225" i="1"/>
  <c r="E226" i="1"/>
  <c r="F226" i="1"/>
  <c r="G226" i="1"/>
  <c r="H226" i="1"/>
  <c r="J226" i="1"/>
  <c r="K226" i="1"/>
  <c r="L226" i="1"/>
  <c r="M226" i="1"/>
  <c r="O226" i="1"/>
  <c r="E227" i="1"/>
  <c r="F227" i="1"/>
  <c r="G227" i="1"/>
  <c r="H227" i="1"/>
  <c r="J227" i="1"/>
  <c r="K227" i="1"/>
  <c r="L227" i="1"/>
  <c r="M227" i="1"/>
  <c r="O227" i="1"/>
  <c r="E222" i="1"/>
  <c r="F222" i="1"/>
  <c r="G222" i="1"/>
  <c r="H222" i="1"/>
  <c r="J222" i="1"/>
  <c r="K222" i="1"/>
  <c r="L222" i="1"/>
  <c r="M222" i="1"/>
  <c r="O222" i="1"/>
  <c r="E223" i="1"/>
  <c r="F223" i="1"/>
  <c r="G223" i="1"/>
  <c r="H223" i="1"/>
  <c r="J223" i="1"/>
  <c r="K223" i="1"/>
  <c r="L223" i="1"/>
  <c r="M223" i="1"/>
  <c r="O223" i="1"/>
  <c r="E224" i="1"/>
  <c r="F224" i="1"/>
  <c r="G224" i="1"/>
  <c r="H224" i="1"/>
  <c r="J224" i="1"/>
  <c r="K224" i="1"/>
  <c r="L224" i="1"/>
  <c r="M224" i="1"/>
  <c r="O224" i="1"/>
  <c r="E216" i="1"/>
  <c r="F216" i="1"/>
  <c r="G216" i="1"/>
  <c r="H216" i="1"/>
  <c r="J216" i="1"/>
  <c r="K216" i="1"/>
  <c r="L216" i="1"/>
  <c r="M216" i="1"/>
  <c r="O216" i="1"/>
  <c r="E217" i="1"/>
  <c r="F217" i="1"/>
  <c r="G217" i="1"/>
  <c r="H217" i="1"/>
  <c r="J217" i="1"/>
  <c r="K217" i="1"/>
  <c r="L217" i="1"/>
  <c r="M217" i="1"/>
  <c r="O217" i="1"/>
  <c r="E218" i="1"/>
  <c r="F218" i="1"/>
  <c r="G218" i="1"/>
  <c r="H218" i="1"/>
  <c r="J218" i="1"/>
  <c r="K218" i="1"/>
  <c r="L218" i="1"/>
  <c r="M218" i="1"/>
  <c r="O218" i="1"/>
  <c r="E219" i="1"/>
  <c r="F219" i="1"/>
  <c r="G219" i="1"/>
  <c r="H219" i="1"/>
  <c r="J219" i="1"/>
  <c r="K219" i="1"/>
  <c r="L219" i="1"/>
  <c r="M219" i="1"/>
  <c r="O219" i="1"/>
  <c r="E220" i="1"/>
  <c r="F220" i="1"/>
  <c r="G220" i="1"/>
  <c r="H220" i="1"/>
  <c r="J220" i="1"/>
  <c r="K220" i="1"/>
  <c r="L220" i="1"/>
  <c r="M220" i="1"/>
  <c r="O220" i="1"/>
  <c r="E221" i="1"/>
  <c r="F221" i="1"/>
  <c r="G221" i="1"/>
  <c r="H221" i="1"/>
  <c r="J221" i="1"/>
  <c r="K221" i="1"/>
  <c r="L221" i="1"/>
  <c r="M221" i="1"/>
  <c r="O221" i="1"/>
  <c r="A220" i="1" l="1"/>
  <c r="A216" i="1"/>
  <c r="A227" i="1"/>
  <c r="A219" i="1"/>
  <c r="A218" i="1"/>
  <c r="A225" i="1"/>
  <c r="A221" i="1"/>
  <c r="A222" i="1"/>
  <c r="A224" i="1"/>
  <c r="A226" i="1"/>
  <c r="A223" i="1"/>
  <c r="A217" i="1"/>
  <c r="E212" i="1"/>
  <c r="F212" i="1"/>
  <c r="G212" i="1"/>
  <c r="H212" i="1"/>
  <c r="J212" i="1"/>
  <c r="K212" i="1"/>
  <c r="L212" i="1"/>
  <c r="M212" i="1"/>
  <c r="O212" i="1"/>
  <c r="E213" i="1"/>
  <c r="F213" i="1"/>
  <c r="G213" i="1"/>
  <c r="H213" i="1"/>
  <c r="J213" i="1"/>
  <c r="K213" i="1"/>
  <c r="L213" i="1"/>
  <c r="M213" i="1"/>
  <c r="O213" i="1"/>
  <c r="E214" i="1"/>
  <c r="F214" i="1"/>
  <c r="G214" i="1"/>
  <c r="H214" i="1"/>
  <c r="J214" i="1"/>
  <c r="K214" i="1"/>
  <c r="L214" i="1"/>
  <c r="M214" i="1"/>
  <c r="O214" i="1"/>
  <c r="E215" i="1"/>
  <c r="F215" i="1"/>
  <c r="G215" i="1"/>
  <c r="H215" i="1"/>
  <c r="J215" i="1"/>
  <c r="K215" i="1"/>
  <c r="L215" i="1"/>
  <c r="M215" i="1"/>
  <c r="O215" i="1"/>
  <c r="A212" i="1" l="1"/>
  <c r="A214" i="1"/>
  <c r="A215" i="1"/>
  <c r="A213" i="1"/>
  <c r="E210" i="1"/>
  <c r="F210" i="1"/>
  <c r="G210" i="1"/>
  <c r="H210" i="1"/>
  <c r="J210" i="1"/>
  <c r="K210" i="1"/>
  <c r="L210" i="1"/>
  <c r="M210" i="1"/>
  <c r="O210" i="1"/>
  <c r="E211" i="1"/>
  <c r="F211" i="1"/>
  <c r="G211" i="1"/>
  <c r="H211" i="1"/>
  <c r="J211" i="1"/>
  <c r="K211" i="1"/>
  <c r="L211" i="1"/>
  <c r="M211" i="1"/>
  <c r="O211" i="1"/>
  <c r="E205" i="1"/>
  <c r="F205" i="1"/>
  <c r="G205" i="1"/>
  <c r="H205" i="1"/>
  <c r="J205" i="1"/>
  <c r="K205" i="1"/>
  <c r="L205" i="1"/>
  <c r="M205" i="1"/>
  <c r="O205" i="1"/>
  <c r="E206" i="1"/>
  <c r="F206" i="1"/>
  <c r="G206" i="1"/>
  <c r="H206" i="1"/>
  <c r="J206" i="1"/>
  <c r="K206" i="1"/>
  <c r="L206" i="1"/>
  <c r="M206" i="1"/>
  <c r="O206" i="1"/>
  <c r="E207" i="1"/>
  <c r="F207" i="1"/>
  <c r="G207" i="1"/>
  <c r="H207" i="1"/>
  <c r="J207" i="1"/>
  <c r="K207" i="1"/>
  <c r="L207" i="1"/>
  <c r="M207" i="1"/>
  <c r="O207" i="1"/>
  <c r="E208" i="1"/>
  <c r="F208" i="1"/>
  <c r="G208" i="1"/>
  <c r="H208" i="1"/>
  <c r="J208" i="1"/>
  <c r="K208" i="1"/>
  <c r="L208" i="1"/>
  <c r="M208" i="1"/>
  <c r="O208" i="1"/>
  <c r="E209" i="1"/>
  <c r="F209" i="1"/>
  <c r="G209" i="1"/>
  <c r="H209" i="1"/>
  <c r="J209" i="1"/>
  <c r="K209" i="1"/>
  <c r="L209" i="1"/>
  <c r="M209" i="1"/>
  <c r="O209" i="1"/>
  <c r="A207" i="1" l="1"/>
  <c r="A210" i="1"/>
  <c r="A209" i="1"/>
  <c r="A205" i="1"/>
  <c r="A211" i="1"/>
  <c r="A208" i="1"/>
  <c r="A206" i="1"/>
  <c r="E192" i="1"/>
  <c r="F192" i="1"/>
  <c r="G192" i="1"/>
  <c r="H192" i="1"/>
  <c r="J192" i="1"/>
  <c r="K192" i="1"/>
  <c r="L192" i="1"/>
  <c r="M192" i="1"/>
  <c r="O192" i="1"/>
  <c r="E193" i="1"/>
  <c r="F193" i="1"/>
  <c r="G193" i="1"/>
  <c r="H193" i="1"/>
  <c r="J193" i="1"/>
  <c r="K193" i="1"/>
  <c r="L193" i="1"/>
  <c r="M193" i="1"/>
  <c r="O193" i="1"/>
  <c r="E194" i="1"/>
  <c r="F194" i="1"/>
  <c r="G194" i="1"/>
  <c r="H194" i="1"/>
  <c r="J194" i="1"/>
  <c r="K194" i="1"/>
  <c r="L194" i="1"/>
  <c r="M194" i="1"/>
  <c r="O194" i="1"/>
  <c r="E195" i="1"/>
  <c r="F195" i="1"/>
  <c r="G195" i="1"/>
  <c r="H195" i="1"/>
  <c r="J195" i="1"/>
  <c r="K195" i="1"/>
  <c r="L195" i="1"/>
  <c r="M195" i="1"/>
  <c r="O195" i="1"/>
  <c r="E196" i="1"/>
  <c r="F196" i="1"/>
  <c r="G196" i="1"/>
  <c r="H196" i="1"/>
  <c r="J196" i="1"/>
  <c r="K196" i="1"/>
  <c r="L196" i="1"/>
  <c r="M196" i="1"/>
  <c r="O196" i="1"/>
  <c r="E197" i="1"/>
  <c r="F197" i="1"/>
  <c r="G197" i="1"/>
  <c r="H197" i="1"/>
  <c r="J197" i="1"/>
  <c r="K197" i="1"/>
  <c r="L197" i="1"/>
  <c r="M197" i="1"/>
  <c r="O197" i="1"/>
  <c r="E198" i="1"/>
  <c r="F198" i="1"/>
  <c r="G198" i="1"/>
  <c r="H198" i="1"/>
  <c r="J198" i="1"/>
  <c r="K198" i="1"/>
  <c r="L198" i="1"/>
  <c r="M198" i="1"/>
  <c r="O198" i="1"/>
  <c r="E199" i="1"/>
  <c r="F199" i="1"/>
  <c r="G199" i="1"/>
  <c r="H199" i="1"/>
  <c r="J199" i="1"/>
  <c r="K199" i="1"/>
  <c r="L199" i="1"/>
  <c r="M199" i="1"/>
  <c r="O199" i="1"/>
  <c r="E200" i="1"/>
  <c r="F200" i="1"/>
  <c r="G200" i="1"/>
  <c r="H200" i="1"/>
  <c r="J200" i="1"/>
  <c r="K200" i="1"/>
  <c r="L200" i="1"/>
  <c r="M200" i="1"/>
  <c r="O200" i="1"/>
  <c r="E201" i="1"/>
  <c r="F201" i="1"/>
  <c r="G201" i="1"/>
  <c r="H201" i="1"/>
  <c r="J201" i="1"/>
  <c r="K201" i="1"/>
  <c r="L201" i="1"/>
  <c r="M201" i="1"/>
  <c r="O201" i="1"/>
  <c r="E202" i="1"/>
  <c r="F202" i="1"/>
  <c r="G202" i="1"/>
  <c r="H202" i="1"/>
  <c r="J202" i="1"/>
  <c r="K202" i="1"/>
  <c r="L202" i="1"/>
  <c r="M202" i="1"/>
  <c r="O202" i="1"/>
  <c r="E203" i="1"/>
  <c r="F203" i="1"/>
  <c r="G203" i="1"/>
  <c r="H203" i="1"/>
  <c r="J203" i="1"/>
  <c r="K203" i="1"/>
  <c r="L203" i="1"/>
  <c r="M203" i="1"/>
  <c r="O203" i="1"/>
  <c r="E204" i="1"/>
  <c r="F204" i="1"/>
  <c r="G204" i="1"/>
  <c r="H204" i="1"/>
  <c r="J204" i="1"/>
  <c r="K204" i="1"/>
  <c r="L204" i="1"/>
  <c r="M204" i="1"/>
  <c r="O204" i="1"/>
  <c r="A201" i="1" l="1"/>
  <c r="A197" i="1"/>
  <c r="A193" i="1"/>
  <c r="A196" i="1"/>
  <c r="A192" i="1"/>
  <c r="A203" i="1"/>
  <c r="A199" i="1"/>
  <c r="A195" i="1"/>
  <c r="A198" i="1"/>
  <c r="A194" i="1"/>
  <c r="A202" i="1"/>
  <c r="A200" i="1"/>
  <c r="A204" i="1"/>
  <c r="E188" i="1"/>
  <c r="F188" i="1"/>
  <c r="G188" i="1"/>
  <c r="H188" i="1"/>
  <c r="J188" i="1"/>
  <c r="K188" i="1"/>
  <c r="L188" i="1"/>
  <c r="M188" i="1"/>
  <c r="O188" i="1"/>
  <c r="E189" i="1"/>
  <c r="F189" i="1"/>
  <c r="G189" i="1"/>
  <c r="H189" i="1"/>
  <c r="J189" i="1"/>
  <c r="K189" i="1"/>
  <c r="L189" i="1"/>
  <c r="M189" i="1"/>
  <c r="O189" i="1"/>
  <c r="E190" i="1"/>
  <c r="F190" i="1"/>
  <c r="G190" i="1"/>
  <c r="H190" i="1"/>
  <c r="J190" i="1"/>
  <c r="K190" i="1"/>
  <c r="L190" i="1"/>
  <c r="M190" i="1"/>
  <c r="O190" i="1"/>
  <c r="E191" i="1"/>
  <c r="F191" i="1"/>
  <c r="G191" i="1"/>
  <c r="H191" i="1"/>
  <c r="J191" i="1"/>
  <c r="K191" i="1"/>
  <c r="L191" i="1"/>
  <c r="M191" i="1"/>
  <c r="O191" i="1"/>
  <c r="A190" i="1" l="1"/>
  <c r="A188" i="1"/>
  <c r="A191" i="1"/>
  <c r="A189" i="1"/>
  <c r="E187" i="1"/>
  <c r="F187" i="1"/>
  <c r="G187" i="1"/>
  <c r="H187" i="1"/>
  <c r="J187" i="1"/>
  <c r="K187" i="1"/>
  <c r="L187" i="1"/>
  <c r="M187" i="1"/>
  <c r="O187" i="1"/>
  <c r="A187" i="1" l="1"/>
  <c r="E180" i="1"/>
  <c r="F180" i="1"/>
  <c r="G180" i="1"/>
  <c r="H180" i="1"/>
  <c r="J180" i="1"/>
  <c r="K180" i="1"/>
  <c r="L180" i="1"/>
  <c r="M180" i="1"/>
  <c r="O180" i="1"/>
  <c r="E181" i="1"/>
  <c r="F181" i="1"/>
  <c r="G181" i="1"/>
  <c r="H181" i="1"/>
  <c r="J181" i="1"/>
  <c r="K181" i="1"/>
  <c r="L181" i="1"/>
  <c r="M181" i="1"/>
  <c r="O181" i="1"/>
  <c r="E182" i="1"/>
  <c r="F182" i="1"/>
  <c r="G182" i="1"/>
  <c r="H182" i="1"/>
  <c r="J182" i="1"/>
  <c r="K182" i="1"/>
  <c r="L182" i="1"/>
  <c r="M182" i="1"/>
  <c r="O182" i="1"/>
  <c r="E183" i="1"/>
  <c r="F183" i="1"/>
  <c r="G183" i="1"/>
  <c r="H183" i="1"/>
  <c r="J183" i="1"/>
  <c r="K183" i="1"/>
  <c r="L183" i="1"/>
  <c r="M183" i="1"/>
  <c r="O183" i="1"/>
  <c r="E184" i="1"/>
  <c r="F184" i="1"/>
  <c r="G184" i="1"/>
  <c r="H184" i="1"/>
  <c r="J184" i="1"/>
  <c r="K184" i="1"/>
  <c r="L184" i="1"/>
  <c r="M184" i="1"/>
  <c r="O184" i="1"/>
  <c r="E185" i="1"/>
  <c r="F185" i="1"/>
  <c r="G185" i="1"/>
  <c r="H185" i="1"/>
  <c r="J185" i="1"/>
  <c r="K185" i="1"/>
  <c r="L185" i="1"/>
  <c r="M185" i="1"/>
  <c r="O185" i="1"/>
  <c r="E186" i="1"/>
  <c r="F186" i="1"/>
  <c r="G186" i="1"/>
  <c r="H186" i="1"/>
  <c r="J186" i="1"/>
  <c r="K186" i="1"/>
  <c r="L186" i="1"/>
  <c r="M186" i="1"/>
  <c r="O186" i="1"/>
  <c r="E167" i="1"/>
  <c r="F167" i="1"/>
  <c r="G167" i="1"/>
  <c r="H167" i="1"/>
  <c r="J167" i="1"/>
  <c r="K167" i="1"/>
  <c r="L167" i="1"/>
  <c r="M167" i="1"/>
  <c r="O167" i="1"/>
  <c r="E168" i="1"/>
  <c r="F168" i="1"/>
  <c r="G168" i="1"/>
  <c r="H168" i="1"/>
  <c r="J168" i="1"/>
  <c r="K168" i="1"/>
  <c r="L168" i="1"/>
  <c r="M168" i="1"/>
  <c r="O168" i="1"/>
  <c r="E169" i="1"/>
  <c r="F169" i="1"/>
  <c r="G169" i="1"/>
  <c r="H169" i="1"/>
  <c r="J169" i="1"/>
  <c r="K169" i="1"/>
  <c r="L169" i="1"/>
  <c r="M169" i="1"/>
  <c r="O169" i="1"/>
  <c r="E170" i="1"/>
  <c r="F170" i="1"/>
  <c r="G170" i="1"/>
  <c r="H170" i="1"/>
  <c r="J170" i="1"/>
  <c r="K170" i="1"/>
  <c r="L170" i="1"/>
  <c r="M170" i="1"/>
  <c r="O170" i="1"/>
  <c r="E171" i="1"/>
  <c r="F171" i="1"/>
  <c r="G171" i="1"/>
  <c r="H171" i="1"/>
  <c r="J171" i="1"/>
  <c r="K171" i="1"/>
  <c r="L171" i="1"/>
  <c r="M171" i="1"/>
  <c r="O171" i="1"/>
  <c r="E172" i="1"/>
  <c r="F172" i="1"/>
  <c r="G172" i="1"/>
  <c r="H172" i="1"/>
  <c r="J172" i="1"/>
  <c r="K172" i="1"/>
  <c r="L172" i="1"/>
  <c r="M172" i="1"/>
  <c r="O172" i="1"/>
  <c r="E173" i="1"/>
  <c r="F173" i="1"/>
  <c r="G173" i="1"/>
  <c r="H173" i="1"/>
  <c r="J173" i="1"/>
  <c r="K173" i="1"/>
  <c r="L173" i="1"/>
  <c r="M173" i="1"/>
  <c r="O173" i="1"/>
  <c r="E174" i="1"/>
  <c r="F174" i="1"/>
  <c r="G174" i="1"/>
  <c r="H174" i="1"/>
  <c r="J174" i="1"/>
  <c r="K174" i="1"/>
  <c r="L174" i="1"/>
  <c r="M174" i="1"/>
  <c r="O174" i="1"/>
  <c r="E175" i="1"/>
  <c r="F175" i="1"/>
  <c r="G175" i="1"/>
  <c r="H175" i="1"/>
  <c r="J175" i="1"/>
  <c r="K175" i="1"/>
  <c r="L175" i="1"/>
  <c r="M175" i="1"/>
  <c r="O175" i="1"/>
  <c r="E176" i="1"/>
  <c r="F176" i="1"/>
  <c r="G176" i="1"/>
  <c r="H176" i="1"/>
  <c r="J176" i="1"/>
  <c r="K176" i="1"/>
  <c r="L176" i="1"/>
  <c r="M176" i="1"/>
  <c r="O176" i="1"/>
  <c r="E177" i="1"/>
  <c r="F177" i="1"/>
  <c r="G177" i="1"/>
  <c r="H177" i="1"/>
  <c r="J177" i="1"/>
  <c r="K177" i="1"/>
  <c r="L177" i="1"/>
  <c r="M177" i="1"/>
  <c r="O177" i="1"/>
  <c r="E178" i="1"/>
  <c r="F178" i="1"/>
  <c r="G178" i="1"/>
  <c r="H178" i="1"/>
  <c r="J178" i="1"/>
  <c r="K178" i="1"/>
  <c r="L178" i="1"/>
  <c r="M178" i="1"/>
  <c r="O178" i="1"/>
  <c r="E179" i="1"/>
  <c r="F179" i="1"/>
  <c r="G179" i="1"/>
  <c r="H179" i="1"/>
  <c r="J179" i="1"/>
  <c r="K179" i="1"/>
  <c r="L179" i="1"/>
  <c r="M179" i="1"/>
  <c r="O179" i="1"/>
  <c r="E160" i="1"/>
  <c r="F160" i="1"/>
  <c r="G160" i="1"/>
  <c r="H160" i="1"/>
  <c r="J160" i="1"/>
  <c r="K160" i="1"/>
  <c r="L160" i="1"/>
  <c r="M160" i="1"/>
  <c r="O160" i="1"/>
  <c r="E161" i="1"/>
  <c r="F161" i="1"/>
  <c r="G161" i="1"/>
  <c r="H161" i="1"/>
  <c r="J161" i="1"/>
  <c r="K161" i="1"/>
  <c r="L161" i="1"/>
  <c r="M161" i="1"/>
  <c r="O161" i="1"/>
  <c r="E162" i="1"/>
  <c r="F162" i="1"/>
  <c r="G162" i="1"/>
  <c r="H162" i="1"/>
  <c r="J162" i="1"/>
  <c r="K162" i="1"/>
  <c r="L162" i="1"/>
  <c r="M162" i="1"/>
  <c r="O162" i="1"/>
  <c r="E163" i="1"/>
  <c r="F163" i="1"/>
  <c r="G163" i="1"/>
  <c r="H163" i="1"/>
  <c r="J163" i="1"/>
  <c r="K163" i="1"/>
  <c r="L163" i="1"/>
  <c r="M163" i="1"/>
  <c r="O163" i="1"/>
  <c r="E164" i="1"/>
  <c r="F164" i="1"/>
  <c r="G164" i="1"/>
  <c r="H164" i="1"/>
  <c r="J164" i="1"/>
  <c r="K164" i="1"/>
  <c r="L164" i="1"/>
  <c r="M164" i="1"/>
  <c r="O164" i="1"/>
  <c r="E165" i="1"/>
  <c r="F165" i="1"/>
  <c r="G165" i="1"/>
  <c r="H165" i="1"/>
  <c r="J165" i="1"/>
  <c r="K165" i="1"/>
  <c r="L165" i="1"/>
  <c r="M165" i="1"/>
  <c r="O165" i="1"/>
  <c r="E166" i="1"/>
  <c r="F166" i="1"/>
  <c r="G166" i="1"/>
  <c r="H166" i="1"/>
  <c r="J166" i="1"/>
  <c r="K166" i="1"/>
  <c r="L166" i="1"/>
  <c r="M166" i="1"/>
  <c r="O166" i="1"/>
  <c r="A164" i="1" l="1"/>
  <c r="A160" i="1"/>
  <c r="A172" i="1"/>
  <c r="A168" i="1"/>
  <c r="A184" i="1"/>
  <c r="A180" i="1"/>
  <c r="A166" i="1"/>
  <c r="A162" i="1"/>
  <c r="A174" i="1"/>
  <c r="A170" i="1"/>
  <c r="A182" i="1"/>
  <c r="A165" i="1"/>
  <c r="A161" i="1"/>
  <c r="A177" i="1"/>
  <c r="A173" i="1"/>
  <c r="A169" i="1"/>
  <c r="A185" i="1"/>
  <c r="A181" i="1"/>
  <c r="A163" i="1"/>
  <c r="A179" i="1"/>
  <c r="A175" i="1"/>
  <c r="A171" i="1"/>
  <c r="A167" i="1"/>
  <c r="A186" i="1"/>
  <c r="A183" i="1"/>
  <c r="A178" i="1"/>
  <c r="A176" i="1"/>
  <c r="E152" i="1" l="1"/>
  <c r="F152" i="1"/>
  <c r="G152" i="1"/>
  <c r="H152" i="1"/>
  <c r="J152" i="1"/>
  <c r="K152" i="1"/>
  <c r="L152" i="1"/>
  <c r="M152" i="1"/>
  <c r="O152" i="1"/>
  <c r="E153" i="1"/>
  <c r="F153" i="1"/>
  <c r="G153" i="1"/>
  <c r="H153" i="1"/>
  <c r="J153" i="1"/>
  <c r="K153" i="1"/>
  <c r="L153" i="1"/>
  <c r="M153" i="1"/>
  <c r="O153" i="1"/>
  <c r="E154" i="1"/>
  <c r="F154" i="1"/>
  <c r="G154" i="1"/>
  <c r="H154" i="1"/>
  <c r="J154" i="1"/>
  <c r="K154" i="1"/>
  <c r="L154" i="1"/>
  <c r="M154" i="1"/>
  <c r="O154" i="1"/>
  <c r="E155" i="1"/>
  <c r="F155" i="1"/>
  <c r="G155" i="1"/>
  <c r="H155" i="1"/>
  <c r="J155" i="1"/>
  <c r="K155" i="1"/>
  <c r="L155" i="1"/>
  <c r="M155" i="1"/>
  <c r="O155" i="1"/>
  <c r="E156" i="1"/>
  <c r="F156" i="1"/>
  <c r="G156" i="1"/>
  <c r="H156" i="1"/>
  <c r="J156" i="1"/>
  <c r="K156" i="1"/>
  <c r="L156" i="1"/>
  <c r="M156" i="1"/>
  <c r="O156" i="1"/>
  <c r="E157" i="1"/>
  <c r="F157" i="1"/>
  <c r="G157" i="1"/>
  <c r="H157" i="1"/>
  <c r="J157" i="1"/>
  <c r="K157" i="1"/>
  <c r="L157" i="1"/>
  <c r="M157" i="1"/>
  <c r="O157" i="1"/>
  <c r="E158" i="1"/>
  <c r="F158" i="1"/>
  <c r="G158" i="1"/>
  <c r="H158" i="1"/>
  <c r="J158" i="1"/>
  <c r="K158" i="1"/>
  <c r="L158" i="1"/>
  <c r="M158" i="1"/>
  <c r="O158" i="1"/>
  <c r="E159" i="1"/>
  <c r="F159" i="1"/>
  <c r="G159" i="1"/>
  <c r="H159" i="1"/>
  <c r="J159" i="1"/>
  <c r="K159" i="1"/>
  <c r="L159" i="1"/>
  <c r="M159" i="1"/>
  <c r="O159" i="1"/>
  <c r="A157" i="1" l="1"/>
  <c r="A153" i="1"/>
  <c r="A159" i="1"/>
  <c r="A155" i="1"/>
  <c r="A158" i="1"/>
  <c r="A156" i="1"/>
  <c r="A154" i="1"/>
  <c r="A152" i="1"/>
  <c r="E143" i="1"/>
  <c r="F143" i="1"/>
  <c r="G143" i="1"/>
  <c r="H143" i="1"/>
  <c r="J143" i="1"/>
  <c r="K143" i="1"/>
  <c r="L143" i="1"/>
  <c r="M143" i="1"/>
  <c r="O143" i="1"/>
  <c r="E144" i="1"/>
  <c r="F144" i="1"/>
  <c r="G144" i="1"/>
  <c r="H144" i="1"/>
  <c r="J144" i="1"/>
  <c r="K144" i="1"/>
  <c r="L144" i="1"/>
  <c r="M144" i="1"/>
  <c r="O144" i="1"/>
  <c r="E145" i="1"/>
  <c r="F145" i="1"/>
  <c r="G145" i="1"/>
  <c r="H145" i="1"/>
  <c r="J145" i="1"/>
  <c r="K145" i="1"/>
  <c r="L145" i="1"/>
  <c r="M145" i="1"/>
  <c r="O145" i="1"/>
  <c r="E146" i="1"/>
  <c r="F146" i="1"/>
  <c r="G146" i="1"/>
  <c r="H146" i="1"/>
  <c r="J146" i="1"/>
  <c r="K146" i="1"/>
  <c r="L146" i="1"/>
  <c r="M146" i="1"/>
  <c r="O146" i="1"/>
  <c r="E147" i="1"/>
  <c r="F147" i="1"/>
  <c r="G147" i="1"/>
  <c r="H147" i="1"/>
  <c r="J147" i="1"/>
  <c r="K147" i="1"/>
  <c r="L147" i="1"/>
  <c r="M147" i="1"/>
  <c r="O147" i="1"/>
  <c r="E148" i="1"/>
  <c r="F148" i="1"/>
  <c r="G148" i="1"/>
  <c r="H148" i="1"/>
  <c r="J148" i="1"/>
  <c r="K148" i="1"/>
  <c r="L148" i="1"/>
  <c r="M148" i="1"/>
  <c r="O148" i="1"/>
  <c r="E149" i="1"/>
  <c r="F149" i="1"/>
  <c r="G149" i="1"/>
  <c r="H149" i="1"/>
  <c r="J149" i="1"/>
  <c r="K149" i="1"/>
  <c r="L149" i="1"/>
  <c r="M149" i="1"/>
  <c r="O149" i="1"/>
  <c r="E150" i="1"/>
  <c r="F150" i="1"/>
  <c r="G150" i="1"/>
  <c r="H150" i="1"/>
  <c r="J150" i="1"/>
  <c r="K150" i="1"/>
  <c r="L150" i="1"/>
  <c r="M150" i="1"/>
  <c r="O150" i="1"/>
  <c r="E151" i="1"/>
  <c r="F151" i="1"/>
  <c r="G151" i="1"/>
  <c r="H151" i="1"/>
  <c r="J151" i="1"/>
  <c r="K151" i="1"/>
  <c r="L151" i="1"/>
  <c r="M151" i="1"/>
  <c r="O151" i="1"/>
  <c r="A151" i="1" l="1"/>
  <c r="A147" i="1"/>
  <c r="A143" i="1"/>
  <c r="A148" i="1"/>
  <c r="A144" i="1"/>
  <c r="A150" i="1"/>
  <c r="A146" i="1"/>
  <c r="A149" i="1"/>
  <c r="A145" i="1"/>
  <c r="E142" i="1"/>
  <c r="F142" i="1"/>
  <c r="G142" i="1"/>
  <c r="H142" i="1"/>
  <c r="J142" i="1"/>
  <c r="K142" i="1"/>
  <c r="L142" i="1"/>
  <c r="M142" i="1"/>
  <c r="O142" i="1"/>
  <c r="A142" i="1" l="1"/>
  <c r="E141" i="1"/>
  <c r="F141" i="1"/>
  <c r="G141" i="1"/>
  <c r="H141" i="1"/>
  <c r="J141" i="1"/>
  <c r="K141" i="1"/>
  <c r="L141" i="1"/>
  <c r="M141" i="1"/>
  <c r="O141" i="1"/>
  <c r="E137" i="1"/>
  <c r="F137" i="1"/>
  <c r="G137" i="1"/>
  <c r="H137" i="1"/>
  <c r="J137" i="1"/>
  <c r="K137" i="1"/>
  <c r="L137" i="1"/>
  <c r="M137" i="1"/>
  <c r="O137" i="1"/>
  <c r="E138" i="1"/>
  <c r="F138" i="1"/>
  <c r="G138" i="1"/>
  <c r="H138" i="1"/>
  <c r="J138" i="1"/>
  <c r="K138" i="1"/>
  <c r="L138" i="1"/>
  <c r="M138" i="1"/>
  <c r="O138" i="1"/>
  <c r="E139" i="1"/>
  <c r="F139" i="1"/>
  <c r="G139" i="1"/>
  <c r="H139" i="1"/>
  <c r="J139" i="1"/>
  <c r="K139" i="1"/>
  <c r="L139" i="1"/>
  <c r="M139" i="1"/>
  <c r="O139" i="1"/>
  <c r="E140" i="1"/>
  <c r="F140" i="1"/>
  <c r="G140" i="1"/>
  <c r="H140" i="1"/>
  <c r="J140" i="1"/>
  <c r="K140" i="1"/>
  <c r="L140" i="1"/>
  <c r="M140" i="1"/>
  <c r="O140" i="1"/>
  <c r="A138" i="1" l="1"/>
  <c r="A139" i="1"/>
  <c r="A137" i="1"/>
  <c r="A141" i="1"/>
  <c r="A140" i="1"/>
  <c r="E135" i="1"/>
  <c r="F135" i="1"/>
  <c r="G135" i="1"/>
  <c r="H135" i="1"/>
  <c r="J135" i="1"/>
  <c r="K135" i="1"/>
  <c r="L135" i="1"/>
  <c r="M135" i="1"/>
  <c r="O135" i="1"/>
  <c r="E136" i="1"/>
  <c r="F136" i="1"/>
  <c r="G136" i="1"/>
  <c r="H136" i="1"/>
  <c r="J136" i="1"/>
  <c r="K136" i="1"/>
  <c r="L136" i="1"/>
  <c r="M136" i="1"/>
  <c r="O136" i="1"/>
  <c r="E130" i="1"/>
  <c r="F130" i="1"/>
  <c r="G130" i="1"/>
  <c r="H130" i="1"/>
  <c r="J130" i="1"/>
  <c r="K130" i="1"/>
  <c r="L130" i="1"/>
  <c r="M130" i="1"/>
  <c r="O130" i="1"/>
  <c r="E131" i="1"/>
  <c r="F131" i="1"/>
  <c r="G131" i="1"/>
  <c r="H131" i="1"/>
  <c r="J131" i="1"/>
  <c r="K131" i="1"/>
  <c r="L131" i="1"/>
  <c r="M131" i="1"/>
  <c r="O131" i="1"/>
  <c r="E132" i="1"/>
  <c r="F132" i="1"/>
  <c r="G132" i="1"/>
  <c r="H132" i="1"/>
  <c r="J132" i="1"/>
  <c r="K132" i="1"/>
  <c r="L132" i="1"/>
  <c r="M132" i="1"/>
  <c r="O132" i="1"/>
  <c r="E133" i="1"/>
  <c r="F133" i="1"/>
  <c r="G133" i="1"/>
  <c r="H133" i="1"/>
  <c r="J133" i="1"/>
  <c r="K133" i="1"/>
  <c r="L133" i="1"/>
  <c r="M133" i="1"/>
  <c r="O133" i="1"/>
  <c r="E134" i="1"/>
  <c r="F134" i="1"/>
  <c r="G134" i="1"/>
  <c r="H134" i="1"/>
  <c r="J134" i="1"/>
  <c r="K134" i="1"/>
  <c r="L134" i="1"/>
  <c r="M134" i="1"/>
  <c r="O134" i="1"/>
  <c r="A133" i="1" l="1"/>
  <c r="A132" i="1"/>
  <c r="A135" i="1"/>
  <c r="A131" i="1"/>
  <c r="A134" i="1"/>
  <c r="A130" i="1"/>
  <c r="A136" i="1"/>
  <c r="E129" i="1"/>
  <c r="F129" i="1"/>
  <c r="G129" i="1"/>
  <c r="H129" i="1"/>
  <c r="J129" i="1"/>
  <c r="K129" i="1"/>
  <c r="L129" i="1"/>
  <c r="M129" i="1"/>
  <c r="O129" i="1"/>
  <c r="A129" i="1" l="1"/>
  <c r="E128" i="1"/>
  <c r="F128" i="1"/>
  <c r="G128" i="1"/>
  <c r="H128" i="1"/>
  <c r="J128" i="1"/>
  <c r="K128" i="1"/>
  <c r="L128" i="1"/>
  <c r="M128" i="1"/>
  <c r="O128" i="1"/>
  <c r="E111" i="1"/>
  <c r="F111" i="1"/>
  <c r="G111" i="1"/>
  <c r="H111" i="1"/>
  <c r="J111" i="1"/>
  <c r="K111" i="1"/>
  <c r="L111" i="1"/>
  <c r="M111" i="1"/>
  <c r="O111" i="1"/>
  <c r="E112" i="1"/>
  <c r="F112" i="1"/>
  <c r="G112" i="1"/>
  <c r="H112" i="1"/>
  <c r="J112" i="1"/>
  <c r="K112" i="1"/>
  <c r="L112" i="1"/>
  <c r="M112" i="1"/>
  <c r="O112" i="1"/>
  <c r="E113" i="1"/>
  <c r="F113" i="1"/>
  <c r="G113" i="1"/>
  <c r="H113" i="1"/>
  <c r="J113" i="1"/>
  <c r="K113" i="1"/>
  <c r="L113" i="1"/>
  <c r="M113" i="1"/>
  <c r="O113" i="1"/>
  <c r="E114" i="1"/>
  <c r="F114" i="1"/>
  <c r="G114" i="1"/>
  <c r="H114" i="1"/>
  <c r="J114" i="1"/>
  <c r="K114" i="1"/>
  <c r="L114" i="1"/>
  <c r="M114" i="1"/>
  <c r="O114" i="1"/>
  <c r="E115" i="1"/>
  <c r="F115" i="1"/>
  <c r="G115" i="1"/>
  <c r="H115" i="1"/>
  <c r="J115" i="1"/>
  <c r="K115" i="1"/>
  <c r="L115" i="1"/>
  <c r="M115" i="1"/>
  <c r="O115" i="1"/>
  <c r="E116" i="1"/>
  <c r="F116" i="1"/>
  <c r="G116" i="1"/>
  <c r="H116" i="1"/>
  <c r="J116" i="1"/>
  <c r="K116" i="1"/>
  <c r="L116" i="1"/>
  <c r="M116" i="1"/>
  <c r="O116" i="1"/>
  <c r="E117" i="1"/>
  <c r="F117" i="1"/>
  <c r="G117" i="1"/>
  <c r="H117" i="1"/>
  <c r="J117" i="1"/>
  <c r="K117" i="1"/>
  <c r="L117" i="1"/>
  <c r="M117" i="1"/>
  <c r="O117" i="1"/>
  <c r="E118" i="1"/>
  <c r="F118" i="1"/>
  <c r="G118" i="1"/>
  <c r="H118" i="1"/>
  <c r="J118" i="1"/>
  <c r="K118" i="1"/>
  <c r="L118" i="1"/>
  <c r="M118" i="1"/>
  <c r="O118" i="1"/>
  <c r="E119" i="1"/>
  <c r="F119" i="1"/>
  <c r="G119" i="1"/>
  <c r="H119" i="1"/>
  <c r="J119" i="1"/>
  <c r="K119" i="1"/>
  <c r="L119" i="1"/>
  <c r="M119" i="1"/>
  <c r="O119" i="1"/>
  <c r="E120" i="1"/>
  <c r="F120" i="1"/>
  <c r="G120" i="1"/>
  <c r="H120" i="1"/>
  <c r="J120" i="1"/>
  <c r="K120" i="1"/>
  <c r="L120" i="1"/>
  <c r="M120" i="1"/>
  <c r="O120" i="1"/>
  <c r="E121" i="1"/>
  <c r="F121" i="1"/>
  <c r="G121" i="1"/>
  <c r="H121" i="1"/>
  <c r="J121" i="1"/>
  <c r="K121" i="1"/>
  <c r="L121" i="1"/>
  <c r="M121" i="1"/>
  <c r="O121" i="1"/>
  <c r="E122" i="1"/>
  <c r="F122" i="1"/>
  <c r="G122" i="1"/>
  <c r="H122" i="1"/>
  <c r="J122" i="1"/>
  <c r="K122" i="1"/>
  <c r="L122" i="1"/>
  <c r="M122" i="1"/>
  <c r="O122" i="1"/>
  <c r="E123" i="1"/>
  <c r="F123" i="1"/>
  <c r="G123" i="1"/>
  <c r="H123" i="1"/>
  <c r="J123" i="1"/>
  <c r="K123" i="1"/>
  <c r="L123" i="1"/>
  <c r="M123" i="1"/>
  <c r="O123" i="1"/>
  <c r="E124" i="1"/>
  <c r="F124" i="1"/>
  <c r="G124" i="1"/>
  <c r="H124" i="1"/>
  <c r="J124" i="1"/>
  <c r="K124" i="1"/>
  <c r="L124" i="1"/>
  <c r="M124" i="1"/>
  <c r="O124" i="1"/>
  <c r="E125" i="1"/>
  <c r="F125" i="1"/>
  <c r="G125" i="1"/>
  <c r="H125" i="1"/>
  <c r="J125" i="1"/>
  <c r="K125" i="1"/>
  <c r="L125" i="1"/>
  <c r="M125" i="1"/>
  <c r="O125" i="1"/>
  <c r="E126" i="1"/>
  <c r="F126" i="1"/>
  <c r="G126" i="1"/>
  <c r="H126" i="1"/>
  <c r="J126" i="1"/>
  <c r="K126" i="1"/>
  <c r="L126" i="1"/>
  <c r="M126" i="1"/>
  <c r="O126" i="1"/>
  <c r="E127" i="1"/>
  <c r="F127" i="1"/>
  <c r="G127" i="1"/>
  <c r="H127" i="1"/>
  <c r="J127" i="1"/>
  <c r="K127" i="1"/>
  <c r="L127" i="1"/>
  <c r="M127" i="1"/>
  <c r="O127" i="1"/>
  <c r="A125" i="1" l="1"/>
  <c r="A121" i="1"/>
  <c r="A117" i="1"/>
  <c r="A113" i="1"/>
  <c r="A127" i="1"/>
  <c r="A123" i="1"/>
  <c r="A119" i="1"/>
  <c r="A115" i="1"/>
  <c r="A111" i="1"/>
  <c r="A128" i="1"/>
  <c r="A126" i="1"/>
  <c r="A124" i="1"/>
  <c r="A122" i="1"/>
  <c r="A120" i="1"/>
  <c r="A118" i="1"/>
  <c r="A116" i="1"/>
  <c r="A114" i="1"/>
  <c r="A112" i="1"/>
  <c r="E109" i="1"/>
  <c r="F109" i="1"/>
  <c r="G109" i="1"/>
  <c r="H109" i="1"/>
  <c r="J109" i="1"/>
  <c r="K109" i="1"/>
  <c r="L109" i="1"/>
  <c r="M109" i="1"/>
  <c r="O109" i="1"/>
  <c r="E110" i="1"/>
  <c r="F110" i="1"/>
  <c r="G110" i="1"/>
  <c r="H110" i="1"/>
  <c r="J110" i="1"/>
  <c r="K110" i="1"/>
  <c r="L110" i="1"/>
  <c r="M110" i="1"/>
  <c r="O110" i="1"/>
  <c r="A109" i="1" l="1"/>
  <c r="A110" i="1"/>
  <c r="E107" i="1"/>
  <c r="F107" i="1"/>
  <c r="G107" i="1"/>
  <c r="H107" i="1"/>
  <c r="J107" i="1"/>
  <c r="K107" i="1"/>
  <c r="L107" i="1"/>
  <c r="M107" i="1"/>
  <c r="O107" i="1"/>
  <c r="E108" i="1"/>
  <c r="F108" i="1"/>
  <c r="G108" i="1"/>
  <c r="H108" i="1"/>
  <c r="J108" i="1"/>
  <c r="K108" i="1"/>
  <c r="L108" i="1"/>
  <c r="M108" i="1"/>
  <c r="O108" i="1"/>
  <c r="A108" i="1" l="1"/>
  <c r="A107" i="1"/>
  <c r="E105" i="1"/>
  <c r="F105" i="1"/>
  <c r="G105" i="1"/>
  <c r="H105" i="1"/>
  <c r="J105" i="1"/>
  <c r="K105" i="1"/>
  <c r="L105" i="1"/>
  <c r="M105" i="1"/>
  <c r="O105" i="1"/>
  <c r="E106" i="1"/>
  <c r="F106" i="1"/>
  <c r="G106" i="1"/>
  <c r="H106" i="1"/>
  <c r="J106" i="1"/>
  <c r="K106" i="1"/>
  <c r="L106" i="1"/>
  <c r="M106" i="1"/>
  <c r="O106" i="1"/>
  <c r="A105" i="1" l="1"/>
  <c r="A106" i="1"/>
  <c r="E104" i="1"/>
  <c r="F104" i="1"/>
  <c r="G104" i="1"/>
  <c r="H104" i="1"/>
  <c r="J104" i="1"/>
  <c r="K104" i="1"/>
  <c r="L104" i="1"/>
  <c r="M104" i="1"/>
  <c r="O104" i="1"/>
  <c r="A104" i="1" l="1"/>
  <c r="A80" i="3"/>
  <c r="E103" i="1"/>
  <c r="F103" i="1"/>
  <c r="G103" i="1"/>
  <c r="H103" i="1"/>
  <c r="J103" i="1"/>
  <c r="K103" i="1"/>
  <c r="L103" i="1"/>
  <c r="M103" i="1"/>
  <c r="O103" i="1"/>
  <c r="A103" i="1" l="1"/>
  <c r="E100" i="1"/>
  <c r="F100" i="1"/>
  <c r="G100" i="1"/>
  <c r="H100" i="1"/>
  <c r="J100" i="1"/>
  <c r="K100" i="1"/>
  <c r="L100" i="1"/>
  <c r="M100" i="1"/>
  <c r="O100" i="1"/>
  <c r="E101" i="1"/>
  <c r="F101" i="1"/>
  <c r="G101" i="1"/>
  <c r="H101" i="1"/>
  <c r="J101" i="1"/>
  <c r="K101" i="1"/>
  <c r="L101" i="1"/>
  <c r="M101" i="1"/>
  <c r="O101" i="1"/>
  <c r="E102" i="1"/>
  <c r="F102" i="1"/>
  <c r="G102" i="1"/>
  <c r="H102" i="1"/>
  <c r="J102" i="1"/>
  <c r="K102" i="1"/>
  <c r="L102" i="1"/>
  <c r="M102" i="1"/>
  <c r="O102" i="1"/>
  <c r="A102" i="1" l="1"/>
  <c r="A100" i="1"/>
  <c r="A101" i="1"/>
  <c r="E98" i="1"/>
  <c r="F98" i="1"/>
  <c r="G98" i="1"/>
  <c r="H98" i="1"/>
  <c r="J98" i="1"/>
  <c r="K98" i="1"/>
  <c r="L98" i="1"/>
  <c r="M98" i="1"/>
  <c r="O98" i="1"/>
  <c r="E99" i="1"/>
  <c r="F99" i="1"/>
  <c r="G99" i="1"/>
  <c r="H99" i="1"/>
  <c r="J99" i="1"/>
  <c r="K99" i="1"/>
  <c r="L99" i="1"/>
  <c r="M99" i="1"/>
  <c r="O99" i="1"/>
  <c r="A99" i="1" l="1"/>
  <c r="A98" i="1"/>
  <c r="E97" i="1"/>
  <c r="F97" i="1"/>
  <c r="G97" i="1"/>
  <c r="H97" i="1"/>
  <c r="J97" i="1"/>
  <c r="K97" i="1"/>
  <c r="L97" i="1"/>
  <c r="M97" i="1"/>
  <c r="O97" i="1"/>
  <c r="E93" i="1"/>
  <c r="F93" i="1"/>
  <c r="G93" i="1"/>
  <c r="H93" i="1"/>
  <c r="J93" i="1"/>
  <c r="K93" i="1"/>
  <c r="L93" i="1"/>
  <c r="M93" i="1"/>
  <c r="O93" i="1"/>
  <c r="E94" i="1"/>
  <c r="F94" i="1"/>
  <c r="G94" i="1"/>
  <c r="H94" i="1"/>
  <c r="J94" i="1"/>
  <c r="K94" i="1"/>
  <c r="L94" i="1"/>
  <c r="M94" i="1"/>
  <c r="O94" i="1"/>
  <c r="E95" i="1"/>
  <c r="F95" i="1"/>
  <c r="G95" i="1"/>
  <c r="H95" i="1"/>
  <c r="J95" i="1"/>
  <c r="K95" i="1"/>
  <c r="L95" i="1"/>
  <c r="M95" i="1"/>
  <c r="O95" i="1"/>
  <c r="E96" i="1"/>
  <c r="F96" i="1"/>
  <c r="G96" i="1"/>
  <c r="H96" i="1"/>
  <c r="J96" i="1"/>
  <c r="K96" i="1"/>
  <c r="L96" i="1"/>
  <c r="M96" i="1"/>
  <c r="O96" i="1"/>
  <c r="A95" i="1" l="1"/>
  <c r="A93" i="1"/>
  <c r="A97" i="1"/>
  <c r="A96" i="1"/>
  <c r="A94" i="1"/>
  <c r="E90" i="1"/>
  <c r="F90" i="1"/>
  <c r="G90" i="1"/>
  <c r="H90" i="1"/>
  <c r="J90" i="1"/>
  <c r="K90" i="1"/>
  <c r="L90" i="1"/>
  <c r="M90" i="1"/>
  <c r="O90" i="1"/>
  <c r="E91" i="1"/>
  <c r="F91" i="1"/>
  <c r="G91" i="1"/>
  <c r="H91" i="1"/>
  <c r="J91" i="1"/>
  <c r="K91" i="1"/>
  <c r="L91" i="1"/>
  <c r="M91" i="1"/>
  <c r="O91" i="1"/>
  <c r="E92" i="1"/>
  <c r="F92" i="1"/>
  <c r="G92" i="1"/>
  <c r="H92" i="1"/>
  <c r="J92" i="1"/>
  <c r="K92" i="1"/>
  <c r="L92" i="1"/>
  <c r="M92" i="1"/>
  <c r="O92" i="1"/>
  <c r="A92" i="1" l="1"/>
  <c r="A90" i="1"/>
  <c r="A91" i="1"/>
  <c r="E89" i="1"/>
  <c r="F89" i="1"/>
  <c r="G89" i="1"/>
  <c r="H89" i="1"/>
  <c r="J89" i="1"/>
  <c r="K89" i="1"/>
  <c r="L89" i="1"/>
  <c r="M89" i="1"/>
  <c r="O89" i="1"/>
  <c r="E83" i="1"/>
  <c r="F83" i="1"/>
  <c r="G83" i="1"/>
  <c r="H83" i="1"/>
  <c r="J83" i="1"/>
  <c r="K83" i="1"/>
  <c r="L83" i="1"/>
  <c r="M83" i="1"/>
  <c r="O83" i="1"/>
  <c r="E84" i="1"/>
  <c r="F84" i="1"/>
  <c r="G84" i="1"/>
  <c r="H84" i="1"/>
  <c r="J84" i="1"/>
  <c r="K84" i="1"/>
  <c r="L84" i="1"/>
  <c r="M84" i="1"/>
  <c r="O84" i="1"/>
  <c r="E85" i="1"/>
  <c r="F85" i="1"/>
  <c r="G85" i="1"/>
  <c r="H85" i="1"/>
  <c r="J85" i="1"/>
  <c r="K85" i="1"/>
  <c r="L85" i="1"/>
  <c r="M85" i="1"/>
  <c r="O85" i="1"/>
  <c r="E86" i="1"/>
  <c r="F86" i="1"/>
  <c r="G86" i="1"/>
  <c r="H86" i="1"/>
  <c r="J86" i="1"/>
  <c r="K86" i="1"/>
  <c r="L86" i="1"/>
  <c r="M86" i="1"/>
  <c r="O86" i="1"/>
  <c r="E87" i="1"/>
  <c r="F87" i="1"/>
  <c r="G87" i="1"/>
  <c r="H87" i="1"/>
  <c r="J87" i="1"/>
  <c r="K87" i="1"/>
  <c r="L87" i="1"/>
  <c r="M87" i="1"/>
  <c r="O87" i="1"/>
  <c r="E88" i="1"/>
  <c r="F88" i="1"/>
  <c r="G88" i="1"/>
  <c r="H88" i="1"/>
  <c r="J88" i="1"/>
  <c r="K88" i="1"/>
  <c r="L88" i="1"/>
  <c r="M88" i="1"/>
  <c r="O88" i="1"/>
  <c r="A87" i="1" l="1"/>
  <c r="A83" i="1"/>
  <c r="A85" i="1"/>
  <c r="A89" i="1"/>
  <c r="A88" i="1"/>
  <c r="A86" i="1"/>
  <c r="A84" i="1"/>
  <c r="E75" i="1"/>
  <c r="F75" i="1"/>
  <c r="G75" i="1"/>
  <c r="H75" i="1"/>
  <c r="J75" i="1"/>
  <c r="K75" i="1"/>
  <c r="L75" i="1"/>
  <c r="M75" i="1"/>
  <c r="O75" i="1"/>
  <c r="E76" i="1"/>
  <c r="F76" i="1"/>
  <c r="G76" i="1"/>
  <c r="H76" i="1"/>
  <c r="J76" i="1"/>
  <c r="K76" i="1"/>
  <c r="L76" i="1"/>
  <c r="M76" i="1"/>
  <c r="O76" i="1"/>
  <c r="E77" i="1"/>
  <c r="F77" i="1"/>
  <c r="G77" i="1"/>
  <c r="H77" i="1"/>
  <c r="J77" i="1"/>
  <c r="K77" i="1"/>
  <c r="L77" i="1"/>
  <c r="M77" i="1"/>
  <c r="O77" i="1"/>
  <c r="E78" i="1"/>
  <c r="F78" i="1"/>
  <c r="G78" i="1"/>
  <c r="H78" i="1"/>
  <c r="J78" i="1"/>
  <c r="K78" i="1"/>
  <c r="L78" i="1"/>
  <c r="M78" i="1"/>
  <c r="O78" i="1"/>
  <c r="E79" i="1"/>
  <c r="F79" i="1"/>
  <c r="G79" i="1"/>
  <c r="H79" i="1"/>
  <c r="J79" i="1"/>
  <c r="K79" i="1"/>
  <c r="L79" i="1"/>
  <c r="M79" i="1"/>
  <c r="O79" i="1"/>
  <c r="E80" i="1"/>
  <c r="F80" i="1"/>
  <c r="G80" i="1"/>
  <c r="H80" i="1"/>
  <c r="J80" i="1"/>
  <c r="K80" i="1"/>
  <c r="L80" i="1"/>
  <c r="M80" i="1"/>
  <c r="O80" i="1"/>
  <c r="E81" i="1"/>
  <c r="F81" i="1"/>
  <c r="G81" i="1"/>
  <c r="H81" i="1"/>
  <c r="J81" i="1"/>
  <c r="K81" i="1"/>
  <c r="L81" i="1"/>
  <c r="M81" i="1"/>
  <c r="O81" i="1"/>
  <c r="E82" i="1"/>
  <c r="F82" i="1"/>
  <c r="G82" i="1"/>
  <c r="H82" i="1"/>
  <c r="J82" i="1"/>
  <c r="K82" i="1"/>
  <c r="L82" i="1"/>
  <c r="M82" i="1"/>
  <c r="O82" i="1"/>
  <c r="A75" i="1" l="1"/>
  <c r="A80" i="1"/>
  <c r="A76" i="1"/>
  <c r="A82" i="1"/>
  <c r="A78" i="1"/>
  <c r="A81" i="1"/>
  <c r="A79" i="1"/>
  <c r="A77" i="1"/>
  <c r="E74" i="1"/>
  <c r="F74" i="1"/>
  <c r="G74" i="1"/>
  <c r="H74" i="1"/>
  <c r="J74" i="1"/>
  <c r="K74" i="1"/>
  <c r="L74" i="1"/>
  <c r="M74" i="1"/>
  <c r="O74" i="1"/>
  <c r="E67" i="1"/>
  <c r="F67" i="1"/>
  <c r="G67" i="1"/>
  <c r="H67" i="1"/>
  <c r="J67" i="1"/>
  <c r="K67" i="1"/>
  <c r="L67" i="1"/>
  <c r="M67" i="1"/>
  <c r="O67" i="1"/>
  <c r="E68" i="1"/>
  <c r="F68" i="1"/>
  <c r="G68" i="1"/>
  <c r="H68" i="1"/>
  <c r="J68" i="1"/>
  <c r="K68" i="1"/>
  <c r="L68" i="1"/>
  <c r="M68" i="1"/>
  <c r="O68" i="1"/>
  <c r="E69" i="1"/>
  <c r="F69" i="1"/>
  <c r="G69" i="1"/>
  <c r="H69" i="1"/>
  <c r="J69" i="1"/>
  <c r="K69" i="1"/>
  <c r="L69" i="1"/>
  <c r="M69" i="1"/>
  <c r="O69" i="1"/>
  <c r="E70" i="1"/>
  <c r="F70" i="1"/>
  <c r="G70" i="1"/>
  <c r="H70" i="1"/>
  <c r="J70" i="1"/>
  <c r="K70" i="1"/>
  <c r="L70" i="1"/>
  <c r="M70" i="1"/>
  <c r="O70" i="1"/>
  <c r="E71" i="1"/>
  <c r="F71" i="1"/>
  <c r="G71" i="1"/>
  <c r="H71" i="1"/>
  <c r="J71" i="1"/>
  <c r="K71" i="1"/>
  <c r="L71" i="1"/>
  <c r="M71" i="1"/>
  <c r="O71" i="1"/>
  <c r="E72" i="1"/>
  <c r="F72" i="1"/>
  <c r="G72" i="1"/>
  <c r="H72" i="1"/>
  <c r="J72" i="1"/>
  <c r="K72" i="1"/>
  <c r="L72" i="1"/>
  <c r="M72" i="1"/>
  <c r="O72" i="1"/>
  <c r="E73" i="1"/>
  <c r="F73" i="1"/>
  <c r="G73" i="1"/>
  <c r="H73" i="1"/>
  <c r="J73" i="1"/>
  <c r="K73" i="1"/>
  <c r="L73" i="1"/>
  <c r="M73" i="1"/>
  <c r="O73" i="1"/>
  <c r="A71" i="1" l="1"/>
  <c r="A67" i="1"/>
  <c r="A70" i="1"/>
  <c r="A74" i="1"/>
  <c r="A73" i="1"/>
  <c r="A69" i="1"/>
  <c r="A72" i="1"/>
  <c r="A68" i="1"/>
  <c r="E65" i="1"/>
  <c r="F65" i="1"/>
  <c r="G65" i="1"/>
  <c r="H65" i="1"/>
  <c r="J65" i="1"/>
  <c r="K65" i="1"/>
  <c r="L65" i="1"/>
  <c r="M65" i="1"/>
  <c r="O65" i="1"/>
  <c r="E66" i="1"/>
  <c r="F66" i="1"/>
  <c r="G66" i="1"/>
  <c r="H66" i="1"/>
  <c r="J66" i="1"/>
  <c r="K66" i="1"/>
  <c r="L66" i="1"/>
  <c r="M66" i="1"/>
  <c r="O66" i="1"/>
  <c r="A66" i="1" l="1"/>
  <c r="A65" i="1"/>
  <c r="E64" i="1"/>
  <c r="F64" i="1"/>
  <c r="G64" i="1"/>
  <c r="H64" i="1"/>
  <c r="J64" i="1"/>
  <c r="K64" i="1"/>
  <c r="L64" i="1"/>
  <c r="M64" i="1"/>
  <c r="O64" i="1"/>
  <c r="E51" i="1"/>
  <c r="F51" i="1"/>
  <c r="G51" i="1"/>
  <c r="H51" i="1"/>
  <c r="J51" i="1"/>
  <c r="K51" i="1"/>
  <c r="L51" i="1"/>
  <c r="M51" i="1"/>
  <c r="O51" i="1"/>
  <c r="E52" i="1"/>
  <c r="F52" i="1"/>
  <c r="G52" i="1"/>
  <c r="H52" i="1"/>
  <c r="J52" i="1"/>
  <c r="K52" i="1"/>
  <c r="L52" i="1"/>
  <c r="M52" i="1"/>
  <c r="O52" i="1"/>
  <c r="E53" i="1"/>
  <c r="F53" i="1"/>
  <c r="G53" i="1"/>
  <c r="H53" i="1"/>
  <c r="J53" i="1"/>
  <c r="K53" i="1"/>
  <c r="L53" i="1"/>
  <c r="M53" i="1"/>
  <c r="O53" i="1"/>
  <c r="E54" i="1"/>
  <c r="F54" i="1"/>
  <c r="G54" i="1"/>
  <c r="H54" i="1"/>
  <c r="J54" i="1"/>
  <c r="K54" i="1"/>
  <c r="L54" i="1"/>
  <c r="M54" i="1"/>
  <c r="O54" i="1"/>
  <c r="E55" i="1"/>
  <c r="F55" i="1"/>
  <c r="G55" i="1"/>
  <c r="H55" i="1"/>
  <c r="J55" i="1"/>
  <c r="K55" i="1"/>
  <c r="L55" i="1"/>
  <c r="M55" i="1"/>
  <c r="O55" i="1"/>
  <c r="E56" i="1"/>
  <c r="F56" i="1"/>
  <c r="G56" i="1"/>
  <c r="H56" i="1"/>
  <c r="J56" i="1"/>
  <c r="K56" i="1"/>
  <c r="L56" i="1"/>
  <c r="M56" i="1"/>
  <c r="O56" i="1"/>
  <c r="E57" i="1"/>
  <c r="F57" i="1"/>
  <c r="G57" i="1"/>
  <c r="H57" i="1"/>
  <c r="J57" i="1"/>
  <c r="K57" i="1"/>
  <c r="L57" i="1"/>
  <c r="M57" i="1"/>
  <c r="O57" i="1"/>
  <c r="E58" i="1"/>
  <c r="F58" i="1"/>
  <c r="G58" i="1"/>
  <c r="H58" i="1"/>
  <c r="J58" i="1"/>
  <c r="K58" i="1"/>
  <c r="L58" i="1"/>
  <c r="M58" i="1"/>
  <c r="O58" i="1"/>
  <c r="E59" i="1"/>
  <c r="F59" i="1"/>
  <c r="G59" i="1"/>
  <c r="H59" i="1"/>
  <c r="J59" i="1"/>
  <c r="K59" i="1"/>
  <c r="L59" i="1"/>
  <c r="M59" i="1"/>
  <c r="O59" i="1"/>
  <c r="E60" i="1"/>
  <c r="F60" i="1"/>
  <c r="G60" i="1"/>
  <c r="H60" i="1"/>
  <c r="J60" i="1"/>
  <c r="K60" i="1"/>
  <c r="L60" i="1"/>
  <c r="M60" i="1"/>
  <c r="O60" i="1"/>
  <c r="E61" i="1"/>
  <c r="F61" i="1"/>
  <c r="G61" i="1"/>
  <c r="H61" i="1"/>
  <c r="J61" i="1"/>
  <c r="K61" i="1"/>
  <c r="L61" i="1"/>
  <c r="M61" i="1"/>
  <c r="O61" i="1"/>
  <c r="E62" i="1"/>
  <c r="F62" i="1"/>
  <c r="G62" i="1"/>
  <c r="H62" i="1"/>
  <c r="J62" i="1"/>
  <c r="K62" i="1"/>
  <c r="L62" i="1"/>
  <c r="M62" i="1"/>
  <c r="O62" i="1"/>
  <c r="E63" i="1"/>
  <c r="F63" i="1"/>
  <c r="G63" i="1"/>
  <c r="H63" i="1"/>
  <c r="J63" i="1"/>
  <c r="K63" i="1"/>
  <c r="L63" i="1"/>
  <c r="M63" i="1"/>
  <c r="O63" i="1"/>
  <c r="A51" i="1" l="1"/>
  <c r="A54" i="1"/>
  <c r="A64" i="1"/>
  <c r="A62" i="1"/>
  <c r="A58" i="1"/>
  <c r="A60" i="1"/>
  <c r="A56" i="1"/>
  <c r="A52" i="1"/>
  <c r="A63" i="1"/>
  <c r="A55" i="1"/>
  <c r="A61" i="1"/>
  <c r="A57" i="1"/>
  <c r="A53" i="1"/>
  <c r="A59" i="1"/>
  <c r="E42" i="1"/>
  <c r="F42" i="1"/>
  <c r="G42" i="1"/>
  <c r="H42" i="1"/>
  <c r="J42" i="1"/>
  <c r="K42" i="1"/>
  <c r="L42" i="1"/>
  <c r="M42" i="1"/>
  <c r="O42" i="1"/>
  <c r="E43" i="1"/>
  <c r="F43" i="1"/>
  <c r="G43" i="1"/>
  <c r="H43" i="1"/>
  <c r="J43" i="1"/>
  <c r="K43" i="1"/>
  <c r="L43" i="1"/>
  <c r="M43" i="1"/>
  <c r="O43" i="1"/>
  <c r="E44" i="1"/>
  <c r="F44" i="1"/>
  <c r="G44" i="1"/>
  <c r="H44" i="1"/>
  <c r="J44" i="1"/>
  <c r="K44" i="1"/>
  <c r="L44" i="1"/>
  <c r="M44" i="1"/>
  <c r="O44" i="1"/>
  <c r="E45" i="1"/>
  <c r="F45" i="1"/>
  <c r="G45" i="1"/>
  <c r="H45" i="1"/>
  <c r="J45" i="1"/>
  <c r="K45" i="1"/>
  <c r="L45" i="1"/>
  <c r="M45" i="1"/>
  <c r="O45" i="1"/>
  <c r="E46" i="1"/>
  <c r="F46" i="1"/>
  <c r="G46" i="1"/>
  <c r="H46" i="1"/>
  <c r="J46" i="1"/>
  <c r="K46" i="1"/>
  <c r="L46" i="1"/>
  <c r="M46" i="1"/>
  <c r="O46" i="1"/>
  <c r="E47" i="1"/>
  <c r="F47" i="1"/>
  <c r="G47" i="1"/>
  <c r="H47" i="1"/>
  <c r="J47" i="1"/>
  <c r="K47" i="1"/>
  <c r="L47" i="1"/>
  <c r="M47" i="1"/>
  <c r="O47" i="1"/>
  <c r="E48" i="1"/>
  <c r="F48" i="1"/>
  <c r="G48" i="1"/>
  <c r="H48" i="1"/>
  <c r="J48" i="1"/>
  <c r="K48" i="1"/>
  <c r="L48" i="1"/>
  <c r="M48" i="1"/>
  <c r="O48" i="1"/>
  <c r="E49" i="1"/>
  <c r="F49" i="1"/>
  <c r="G49" i="1"/>
  <c r="H49" i="1"/>
  <c r="J49" i="1"/>
  <c r="K49" i="1"/>
  <c r="L49" i="1"/>
  <c r="M49" i="1"/>
  <c r="O49" i="1"/>
  <c r="E50" i="1"/>
  <c r="F50" i="1"/>
  <c r="G50" i="1"/>
  <c r="H50" i="1"/>
  <c r="J50" i="1"/>
  <c r="K50" i="1"/>
  <c r="L50" i="1"/>
  <c r="M50" i="1"/>
  <c r="O50" i="1"/>
  <c r="A50" i="1" l="1"/>
  <c r="A46" i="1"/>
  <c r="A42" i="1"/>
  <c r="A49" i="1"/>
  <c r="A45" i="1"/>
  <c r="A48" i="1"/>
  <c r="A44" i="1"/>
  <c r="A43" i="1"/>
  <c r="A47" i="1"/>
  <c r="E41" i="1"/>
  <c r="F41" i="1"/>
  <c r="G41" i="1"/>
  <c r="H41" i="1"/>
  <c r="J41" i="1"/>
  <c r="K41" i="1"/>
  <c r="L41" i="1"/>
  <c r="M41" i="1"/>
  <c r="O41" i="1"/>
  <c r="E31" i="1"/>
  <c r="F31" i="1"/>
  <c r="G31" i="1"/>
  <c r="H31" i="1"/>
  <c r="J31" i="1"/>
  <c r="K31" i="1"/>
  <c r="L31" i="1"/>
  <c r="M31" i="1"/>
  <c r="O31" i="1"/>
  <c r="E32" i="1"/>
  <c r="F32" i="1"/>
  <c r="G32" i="1"/>
  <c r="H32" i="1"/>
  <c r="J32" i="1"/>
  <c r="K32" i="1"/>
  <c r="L32" i="1"/>
  <c r="M32" i="1"/>
  <c r="O32" i="1"/>
  <c r="E33" i="1"/>
  <c r="F33" i="1"/>
  <c r="G33" i="1"/>
  <c r="H33" i="1"/>
  <c r="J33" i="1"/>
  <c r="K33" i="1"/>
  <c r="L33" i="1"/>
  <c r="M33" i="1"/>
  <c r="O33" i="1"/>
  <c r="E34" i="1"/>
  <c r="F34" i="1"/>
  <c r="G34" i="1"/>
  <c r="H34" i="1"/>
  <c r="J34" i="1"/>
  <c r="K34" i="1"/>
  <c r="L34" i="1"/>
  <c r="M34" i="1"/>
  <c r="O34" i="1"/>
  <c r="E35" i="1"/>
  <c r="F35" i="1"/>
  <c r="G35" i="1"/>
  <c r="H35" i="1"/>
  <c r="J35" i="1"/>
  <c r="K35" i="1"/>
  <c r="L35" i="1"/>
  <c r="M35" i="1"/>
  <c r="O35" i="1"/>
  <c r="E36" i="1"/>
  <c r="F36" i="1"/>
  <c r="G36" i="1"/>
  <c r="H36" i="1"/>
  <c r="J36" i="1"/>
  <c r="K36" i="1"/>
  <c r="L36" i="1"/>
  <c r="M36" i="1"/>
  <c r="O36" i="1"/>
  <c r="E37" i="1"/>
  <c r="F37" i="1"/>
  <c r="G37" i="1"/>
  <c r="H37" i="1"/>
  <c r="J37" i="1"/>
  <c r="K37" i="1"/>
  <c r="L37" i="1"/>
  <c r="M37" i="1"/>
  <c r="O37" i="1"/>
  <c r="E38" i="1"/>
  <c r="F38" i="1"/>
  <c r="G38" i="1"/>
  <c r="H38" i="1"/>
  <c r="J38" i="1"/>
  <c r="K38" i="1"/>
  <c r="L38" i="1"/>
  <c r="M38" i="1"/>
  <c r="O38" i="1"/>
  <c r="E39" i="1"/>
  <c r="F39" i="1"/>
  <c r="G39" i="1"/>
  <c r="H39" i="1"/>
  <c r="J39" i="1"/>
  <c r="K39" i="1"/>
  <c r="L39" i="1"/>
  <c r="M39" i="1"/>
  <c r="O39" i="1"/>
  <c r="E40" i="1"/>
  <c r="F40" i="1"/>
  <c r="G40" i="1"/>
  <c r="H40" i="1"/>
  <c r="J40" i="1"/>
  <c r="K40" i="1"/>
  <c r="L40" i="1"/>
  <c r="M40" i="1"/>
  <c r="O40" i="1"/>
  <c r="A39" i="1" l="1"/>
  <c r="A35" i="1"/>
  <c r="A31" i="1"/>
  <c r="A38" i="1"/>
  <c r="A34" i="1"/>
  <c r="A41" i="1"/>
  <c r="A37" i="1"/>
  <c r="A40" i="1"/>
  <c r="A36" i="1"/>
  <c r="A32" i="1"/>
  <c r="A33" i="1"/>
  <c r="E30" i="1"/>
  <c r="F30" i="1"/>
  <c r="G30" i="1"/>
  <c r="H30" i="1"/>
  <c r="J30" i="1"/>
  <c r="K30" i="1"/>
  <c r="L30" i="1"/>
  <c r="M30" i="1"/>
  <c r="O30" i="1"/>
  <c r="A30" i="1" l="1"/>
  <c r="E23" i="1"/>
  <c r="F23" i="1"/>
  <c r="G23" i="1"/>
  <c r="H23" i="1"/>
  <c r="J23" i="1"/>
  <c r="K23" i="1"/>
  <c r="L23" i="1"/>
  <c r="M23" i="1"/>
  <c r="O23" i="1"/>
  <c r="E24" i="1"/>
  <c r="F24" i="1"/>
  <c r="G24" i="1"/>
  <c r="H24" i="1"/>
  <c r="J24" i="1"/>
  <c r="K24" i="1"/>
  <c r="L24" i="1"/>
  <c r="M24" i="1"/>
  <c r="O24" i="1"/>
  <c r="E25" i="1"/>
  <c r="F25" i="1"/>
  <c r="G25" i="1"/>
  <c r="H25" i="1"/>
  <c r="J25" i="1"/>
  <c r="K25" i="1"/>
  <c r="L25" i="1"/>
  <c r="M25" i="1"/>
  <c r="O25" i="1"/>
  <c r="E26" i="1"/>
  <c r="F26" i="1"/>
  <c r="G26" i="1"/>
  <c r="H26" i="1"/>
  <c r="J26" i="1"/>
  <c r="K26" i="1"/>
  <c r="L26" i="1"/>
  <c r="M26" i="1"/>
  <c r="O26" i="1"/>
  <c r="E27" i="1"/>
  <c r="F27" i="1"/>
  <c r="G27" i="1"/>
  <c r="H27" i="1"/>
  <c r="J27" i="1"/>
  <c r="K27" i="1"/>
  <c r="L27" i="1"/>
  <c r="M27" i="1"/>
  <c r="O27" i="1"/>
  <c r="E28" i="1"/>
  <c r="F28" i="1"/>
  <c r="G28" i="1"/>
  <c r="H28" i="1"/>
  <c r="J28" i="1"/>
  <c r="K28" i="1"/>
  <c r="L28" i="1"/>
  <c r="M28" i="1"/>
  <c r="O28" i="1"/>
  <c r="E29" i="1"/>
  <c r="F29" i="1"/>
  <c r="G29" i="1"/>
  <c r="H29" i="1"/>
  <c r="J29" i="1"/>
  <c r="K29" i="1"/>
  <c r="L29" i="1"/>
  <c r="M29" i="1"/>
  <c r="O29" i="1"/>
  <c r="A29" i="1" l="1"/>
  <c r="A25" i="1"/>
  <c r="A27" i="1"/>
  <c r="A23" i="1"/>
  <c r="A28" i="1"/>
  <c r="A26" i="1"/>
  <c r="A24" i="1"/>
  <c r="E18" i="1"/>
  <c r="F18" i="1"/>
  <c r="G18" i="1"/>
  <c r="H18" i="1"/>
  <c r="J18" i="1"/>
  <c r="K18" i="1"/>
  <c r="L18" i="1"/>
  <c r="M18" i="1"/>
  <c r="O18" i="1"/>
  <c r="E19" i="1"/>
  <c r="F19" i="1"/>
  <c r="G19" i="1"/>
  <c r="H19" i="1"/>
  <c r="J19" i="1"/>
  <c r="K19" i="1"/>
  <c r="L19" i="1"/>
  <c r="M19" i="1"/>
  <c r="O19" i="1"/>
  <c r="E20" i="1"/>
  <c r="F20" i="1"/>
  <c r="G20" i="1"/>
  <c r="H20" i="1"/>
  <c r="J20" i="1"/>
  <c r="K20" i="1"/>
  <c r="L20" i="1"/>
  <c r="M20" i="1"/>
  <c r="O20" i="1"/>
  <c r="E21" i="1"/>
  <c r="F21" i="1"/>
  <c r="G21" i="1"/>
  <c r="H21" i="1"/>
  <c r="J21" i="1"/>
  <c r="K21" i="1"/>
  <c r="L21" i="1"/>
  <c r="M21" i="1"/>
  <c r="O21" i="1"/>
  <c r="E22" i="1"/>
  <c r="F22" i="1"/>
  <c r="G22" i="1"/>
  <c r="H22" i="1"/>
  <c r="J22" i="1"/>
  <c r="K22" i="1"/>
  <c r="L22" i="1"/>
  <c r="M22" i="1"/>
  <c r="O22" i="1"/>
  <c r="A21" i="1" l="1"/>
  <c r="A19" i="1"/>
  <c r="A18" i="1"/>
  <c r="A22" i="1"/>
  <c r="A20" i="1"/>
  <c r="E16" i="1"/>
  <c r="F16" i="1"/>
  <c r="G16" i="1"/>
  <c r="H16" i="1"/>
  <c r="J16" i="1"/>
  <c r="K16" i="1"/>
  <c r="L16" i="1"/>
  <c r="M16" i="1"/>
  <c r="O16" i="1"/>
  <c r="E17" i="1"/>
  <c r="F17" i="1"/>
  <c r="G17" i="1"/>
  <c r="H17" i="1"/>
  <c r="J17" i="1"/>
  <c r="K17" i="1"/>
  <c r="L17" i="1"/>
  <c r="M17" i="1"/>
  <c r="O17" i="1"/>
  <c r="E8" i="1"/>
  <c r="F8" i="1"/>
  <c r="G8" i="1"/>
  <c r="H8" i="1"/>
  <c r="J8" i="1"/>
  <c r="K8" i="1"/>
  <c r="L8" i="1"/>
  <c r="M8" i="1"/>
  <c r="O8" i="1"/>
  <c r="E9" i="1"/>
  <c r="F9" i="1"/>
  <c r="G9" i="1"/>
  <c r="H9" i="1"/>
  <c r="J9" i="1"/>
  <c r="K9" i="1"/>
  <c r="L9" i="1"/>
  <c r="M9" i="1"/>
  <c r="O9" i="1"/>
  <c r="E10" i="1"/>
  <c r="F10" i="1"/>
  <c r="G10" i="1"/>
  <c r="H10" i="1"/>
  <c r="J10" i="1"/>
  <c r="K10" i="1"/>
  <c r="L10" i="1"/>
  <c r="M10" i="1"/>
  <c r="O10" i="1"/>
  <c r="E11" i="1"/>
  <c r="F11" i="1"/>
  <c r="G11" i="1"/>
  <c r="H11" i="1"/>
  <c r="J11" i="1"/>
  <c r="K11" i="1"/>
  <c r="L11" i="1"/>
  <c r="M11" i="1"/>
  <c r="O11" i="1"/>
  <c r="E12" i="1"/>
  <c r="F12" i="1"/>
  <c r="G12" i="1"/>
  <c r="H12" i="1"/>
  <c r="J12" i="1"/>
  <c r="K12" i="1"/>
  <c r="L12" i="1"/>
  <c r="M12" i="1"/>
  <c r="O12" i="1"/>
  <c r="E13" i="1"/>
  <c r="F13" i="1"/>
  <c r="G13" i="1"/>
  <c r="H13" i="1"/>
  <c r="J13" i="1"/>
  <c r="K13" i="1"/>
  <c r="L13" i="1"/>
  <c r="M13" i="1"/>
  <c r="O13" i="1"/>
  <c r="E14" i="1"/>
  <c r="F14" i="1"/>
  <c r="G14" i="1"/>
  <c r="H14" i="1"/>
  <c r="J14" i="1"/>
  <c r="K14" i="1"/>
  <c r="L14" i="1"/>
  <c r="M14" i="1"/>
  <c r="O14" i="1"/>
  <c r="E15" i="1"/>
  <c r="F15" i="1"/>
  <c r="G15" i="1"/>
  <c r="H15" i="1"/>
  <c r="J15" i="1"/>
  <c r="K15" i="1"/>
  <c r="L15" i="1"/>
  <c r="M15" i="1"/>
  <c r="O15" i="1"/>
  <c r="A12" i="1" l="1"/>
  <c r="A8" i="1"/>
  <c r="A15" i="1"/>
  <c r="A17" i="1"/>
  <c r="A14" i="1"/>
  <c r="A10" i="1"/>
  <c r="A13" i="1"/>
  <c r="A9" i="1"/>
  <c r="A16" i="1"/>
  <c r="A11" i="1"/>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A502" i="3"/>
  <c r="A503" i="3"/>
  <c r="A504" i="3"/>
  <c r="A505" i="3"/>
  <c r="A506" i="3"/>
  <c r="A507" i="3"/>
  <c r="A508" i="3"/>
  <c r="A509" i="3"/>
  <c r="A510" i="3"/>
  <c r="A511" i="3"/>
  <c r="A512" i="3"/>
  <c r="A513" i="3"/>
  <c r="A514" i="3"/>
  <c r="A515" i="3"/>
  <c r="A516" i="3"/>
  <c r="A517" i="3"/>
  <c r="A518" i="3"/>
  <c r="A519" i="3"/>
  <c r="A520" i="3"/>
  <c r="A521" i="3"/>
  <c r="A522" i="3"/>
  <c r="A523" i="3"/>
  <c r="A524" i="3"/>
  <c r="A525" i="3"/>
  <c r="A526" i="3"/>
  <c r="A527" i="3"/>
  <c r="A528" i="3"/>
  <c r="A529" i="3"/>
  <c r="A530" i="3"/>
  <c r="A531" i="3"/>
  <c r="A532" i="3"/>
  <c r="A533" i="3"/>
  <c r="A534" i="3"/>
  <c r="A535" i="3"/>
  <c r="A536" i="3"/>
  <c r="A537" i="3"/>
  <c r="A538" i="3"/>
  <c r="A539" i="3"/>
  <c r="A540" i="3"/>
  <c r="A541" i="3"/>
  <c r="A542" i="3"/>
  <c r="A543" i="3"/>
  <c r="A544" i="3"/>
  <c r="A545" i="3"/>
  <c r="A546" i="3"/>
  <c r="A547" i="3"/>
  <c r="A548" i="3"/>
  <c r="A549" i="3"/>
  <c r="A550" i="3"/>
  <c r="A551" i="3"/>
  <c r="A552" i="3"/>
  <c r="A553" i="3"/>
  <c r="A554" i="3"/>
  <c r="A555" i="3"/>
  <c r="A556" i="3"/>
  <c r="A557" i="3"/>
  <c r="A558" i="3"/>
  <c r="A559" i="3"/>
  <c r="A560" i="3"/>
  <c r="A561" i="3"/>
  <c r="A562" i="3"/>
  <c r="A563" i="3"/>
  <c r="A564" i="3"/>
  <c r="A565" i="3"/>
  <c r="A566" i="3"/>
  <c r="A567" i="3"/>
  <c r="A568" i="3"/>
  <c r="A569" i="3"/>
  <c r="A570" i="3"/>
  <c r="A571" i="3"/>
  <c r="A572" i="3"/>
  <c r="A573" i="3"/>
  <c r="A574" i="3"/>
  <c r="A575" i="3"/>
  <c r="A576" i="3"/>
  <c r="A577" i="3"/>
  <c r="A578" i="3"/>
  <c r="A579" i="3"/>
  <c r="A580" i="3"/>
  <c r="A581" i="3"/>
  <c r="A582" i="3"/>
  <c r="A583" i="3"/>
  <c r="A584" i="3"/>
  <c r="A585" i="3"/>
  <c r="A586" i="3"/>
  <c r="A587" i="3"/>
  <c r="A588" i="3"/>
  <c r="A589" i="3"/>
  <c r="A590" i="3"/>
  <c r="A591" i="3"/>
  <c r="A592" i="3"/>
  <c r="A593" i="3"/>
  <c r="A594" i="3"/>
  <c r="A595" i="3"/>
  <c r="A596" i="3"/>
  <c r="A597" i="3"/>
  <c r="A598" i="3"/>
  <c r="A599" i="3"/>
  <c r="A600" i="3"/>
  <c r="A601" i="3"/>
  <c r="A602" i="3"/>
  <c r="A603" i="3"/>
  <c r="A604" i="3"/>
  <c r="A605" i="3"/>
  <c r="A606" i="3"/>
  <c r="A607" i="3"/>
  <c r="A608" i="3"/>
  <c r="A609" i="3"/>
  <c r="A610" i="3"/>
  <c r="A611" i="3"/>
  <c r="A612" i="3"/>
  <c r="A613" i="3"/>
  <c r="A614" i="3"/>
  <c r="A615" i="3"/>
  <c r="A616" i="3"/>
  <c r="A617" i="3"/>
  <c r="A618" i="3"/>
  <c r="A619" i="3"/>
  <c r="A620" i="3"/>
  <c r="A621" i="3"/>
  <c r="A622" i="3"/>
  <c r="A623" i="3"/>
  <c r="A624" i="3"/>
  <c r="A625" i="3"/>
  <c r="A626" i="3"/>
  <c r="A627" i="3"/>
  <c r="A628" i="3"/>
  <c r="A629" i="3"/>
  <c r="A630" i="3"/>
  <c r="A631" i="3"/>
  <c r="A632" i="3"/>
  <c r="A633" i="3"/>
  <c r="A634" i="3"/>
  <c r="A635" i="3"/>
  <c r="A636" i="3"/>
  <c r="A637" i="3"/>
  <c r="A638" i="3"/>
  <c r="A639" i="3"/>
  <c r="A640" i="3"/>
  <c r="A641" i="3"/>
  <c r="A642" i="3"/>
  <c r="A643" i="3"/>
  <c r="A644" i="3"/>
  <c r="A645" i="3"/>
  <c r="A646" i="3"/>
  <c r="A647" i="3"/>
  <c r="A648" i="3"/>
  <c r="A649" i="3"/>
  <c r="A650" i="3"/>
  <c r="A651" i="3"/>
  <c r="A652" i="3"/>
  <c r="A653" i="3"/>
  <c r="A654" i="3"/>
  <c r="A655" i="3"/>
  <c r="A656" i="3"/>
  <c r="A657" i="3"/>
  <c r="A658" i="3"/>
  <c r="A659" i="3"/>
  <c r="A660" i="3"/>
  <c r="A661" i="3"/>
  <c r="A662" i="3"/>
  <c r="A663" i="3"/>
  <c r="A664" i="3"/>
  <c r="A665" i="3"/>
  <c r="A666" i="3"/>
  <c r="A667" i="3"/>
  <c r="A668" i="3"/>
  <c r="A669" i="3"/>
  <c r="A670" i="3"/>
  <c r="A671" i="3"/>
  <c r="A672" i="3"/>
  <c r="A673" i="3"/>
  <c r="A674" i="3"/>
  <c r="A675" i="3"/>
  <c r="A676" i="3"/>
  <c r="A677" i="3"/>
  <c r="A678" i="3"/>
  <c r="A679" i="3"/>
  <c r="A680" i="3"/>
  <c r="A681" i="3"/>
  <c r="A682" i="3"/>
  <c r="A683" i="3"/>
  <c r="A684" i="3"/>
  <c r="A685" i="3"/>
  <c r="A686" i="3"/>
  <c r="A687" i="3"/>
  <c r="A688" i="3"/>
  <c r="A689" i="3"/>
  <c r="A690" i="3"/>
  <c r="A691" i="3"/>
  <c r="A692" i="3"/>
  <c r="A693" i="3"/>
  <c r="A694" i="3"/>
  <c r="A695" i="3"/>
  <c r="A696" i="3"/>
  <c r="A697" i="3"/>
  <c r="A698" i="3"/>
  <c r="A699" i="3"/>
  <c r="A700" i="3"/>
  <c r="A701" i="3"/>
  <c r="A702" i="3"/>
  <c r="A703" i="3"/>
  <c r="A704" i="3"/>
  <c r="A705" i="3"/>
  <c r="A706" i="3"/>
  <c r="A707" i="3"/>
  <c r="A708" i="3"/>
  <c r="A709" i="3"/>
  <c r="A710" i="3"/>
  <c r="A711" i="3"/>
  <c r="A712" i="3"/>
  <c r="A713" i="3"/>
  <c r="A714" i="3"/>
  <c r="A715" i="3"/>
  <c r="A716" i="3"/>
  <c r="A717" i="3"/>
  <c r="A718" i="3"/>
  <c r="A719" i="3"/>
  <c r="A720" i="3"/>
  <c r="A721" i="3"/>
  <c r="A722" i="3"/>
  <c r="A723" i="3"/>
  <c r="A724" i="3"/>
  <c r="A725" i="3"/>
  <c r="A726" i="3"/>
  <c r="A727" i="3"/>
  <c r="A728" i="3"/>
  <c r="A729" i="3"/>
  <c r="A730" i="3"/>
  <c r="A731" i="3"/>
  <c r="A732" i="3"/>
  <c r="A733" i="3"/>
  <c r="A734" i="3"/>
  <c r="A735" i="3"/>
  <c r="A736" i="3"/>
  <c r="A737" i="3"/>
  <c r="A738" i="3"/>
  <c r="A739" i="3"/>
  <c r="A740" i="3"/>
  <c r="A741" i="3"/>
  <c r="A742" i="3"/>
  <c r="A743" i="3"/>
  <c r="A744" i="3"/>
  <c r="A745" i="3"/>
  <c r="A746" i="3"/>
  <c r="A747" i="3"/>
  <c r="A748" i="3"/>
  <c r="A749" i="3"/>
  <c r="A750" i="3"/>
  <c r="A751" i="3"/>
  <c r="A752" i="3"/>
  <c r="A753" i="3"/>
  <c r="A754" i="3"/>
  <c r="A755" i="3"/>
  <c r="A756" i="3"/>
  <c r="A757" i="3"/>
  <c r="A758" i="3"/>
  <c r="A759" i="3"/>
  <c r="A760" i="3"/>
  <c r="A761" i="3"/>
  <c r="A762" i="3"/>
  <c r="A763" i="3"/>
  <c r="A764" i="3"/>
  <c r="A765" i="3"/>
  <c r="A766" i="3"/>
  <c r="A767" i="3"/>
  <c r="A768" i="3"/>
  <c r="A769" i="3"/>
  <c r="A770" i="3"/>
  <c r="A771" i="3"/>
  <c r="A772" i="3"/>
  <c r="A773" i="3"/>
  <c r="A774" i="3"/>
  <c r="A775" i="3"/>
  <c r="A776" i="3"/>
  <c r="A777" i="3"/>
  <c r="A778" i="3"/>
  <c r="A779" i="3"/>
  <c r="A780" i="3"/>
  <c r="A781" i="3"/>
  <c r="A782" i="3"/>
  <c r="A783" i="3"/>
  <c r="A784" i="3"/>
  <c r="A785" i="3"/>
  <c r="A786" i="3"/>
  <c r="A787" i="3"/>
  <c r="A788" i="3"/>
  <c r="A789" i="3"/>
  <c r="A790" i="3"/>
  <c r="A791" i="3"/>
  <c r="A792" i="3"/>
  <c r="A793" i="3"/>
  <c r="A794" i="3"/>
  <c r="A795" i="3"/>
  <c r="A796" i="3"/>
  <c r="A797" i="3"/>
  <c r="A798" i="3"/>
  <c r="A799" i="3"/>
  <c r="A800" i="3"/>
  <c r="A801" i="3"/>
  <c r="A802" i="3"/>
  <c r="A803" i="3"/>
  <c r="A804" i="3"/>
  <c r="A805" i="3"/>
  <c r="A806" i="3"/>
  <c r="A807" i="3"/>
  <c r="A808" i="3"/>
  <c r="A809" i="3"/>
  <c r="A810" i="3"/>
  <c r="A811" i="3"/>
  <c r="A812" i="3"/>
  <c r="A813" i="3"/>
  <c r="A814" i="3"/>
  <c r="A815" i="3"/>
  <c r="A816" i="3"/>
  <c r="A817" i="3"/>
  <c r="A818" i="3"/>
  <c r="A819" i="3"/>
  <c r="A820" i="3"/>
  <c r="A821" i="3"/>
  <c r="A822" i="3"/>
  <c r="A823" i="3"/>
  <c r="A824" i="3"/>
  <c r="A825" i="3"/>
  <c r="A826" i="3"/>
  <c r="A827" i="3"/>
  <c r="A828" i="3"/>
  <c r="A829" i="3"/>
  <c r="A830" i="3"/>
  <c r="A831" i="3"/>
  <c r="A832" i="3"/>
  <c r="A833" i="3"/>
  <c r="A834" i="3"/>
  <c r="A835" i="3"/>
  <c r="A836" i="3"/>
  <c r="A837" i="3"/>
  <c r="A838" i="3"/>
  <c r="A839" i="3"/>
  <c r="A840" i="3"/>
  <c r="A841" i="3"/>
  <c r="A842" i="3"/>
  <c r="A843" i="3"/>
  <c r="A844" i="3"/>
  <c r="A845" i="3"/>
  <c r="A846" i="3"/>
  <c r="A847" i="3"/>
  <c r="A848" i="3"/>
  <c r="A849" i="3"/>
  <c r="A850" i="3"/>
  <c r="A851" i="3"/>
  <c r="A852" i="3"/>
  <c r="A853" i="3"/>
  <c r="A854" i="3"/>
  <c r="A855" i="3"/>
  <c r="A856" i="3"/>
  <c r="A857" i="3"/>
  <c r="A858" i="3"/>
  <c r="A859" i="3"/>
  <c r="A860" i="3"/>
  <c r="A861" i="3"/>
  <c r="A862" i="3"/>
  <c r="A863" i="3"/>
  <c r="A864" i="3"/>
  <c r="A865" i="3"/>
  <c r="A866" i="3"/>
  <c r="A867" i="3"/>
  <c r="A868" i="3"/>
  <c r="A869" i="3"/>
  <c r="A870" i="3"/>
  <c r="A871" i="3"/>
  <c r="A872" i="3"/>
  <c r="A873" i="3"/>
  <c r="A874" i="3"/>
  <c r="A875" i="3"/>
  <c r="A876" i="3"/>
  <c r="A877" i="3"/>
  <c r="A878" i="3"/>
  <c r="A879" i="3"/>
  <c r="A880" i="3"/>
  <c r="A881" i="3"/>
  <c r="A882" i="3"/>
  <c r="A883" i="3"/>
  <c r="A884" i="3"/>
  <c r="A885" i="3"/>
  <c r="A886" i="3"/>
  <c r="A887" i="3"/>
  <c r="A888" i="3"/>
  <c r="A889" i="3"/>
  <c r="A890" i="3"/>
  <c r="A891" i="3"/>
  <c r="A892" i="3"/>
  <c r="A893" i="3"/>
  <c r="A894" i="3"/>
  <c r="A895" i="3"/>
  <c r="A896" i="3"/>
  <c r="A897" i="3"/>
  <c r="A898" i="3"/>
  <c r="A899" i="3"/>
  <c r="A900" i="3"/>
  <c r="A901" i="3"/>
  <c r="A902" i="3"/>
  <c r="A903" i="3"/>
  <c r="A904" i="3"/>
  <c r="A905" i="3"/>
  <c r="A906" i="3"/>
  <c r="A907" i="3"/>
  <c r="A908" i="3"/>
  <c r="A909" i="3"/>
  <c r="A910" i="3"/>
  <c r="A911" i="3"/>
  <c r="A912" i="3"/>
  <c r="A913" i="3"/>
  <c r="A914" i="3"/>
  <c r="A915" i="3"/>
  <c r="A916" i="3"/>
  <c r="A917" i="3"/>
  <c r="A918" i="3"/>
  <c r="A919" i="3"/>
  <c r="A920" i="3"/>
  <c r="A921" i="3"/>
  <c r="A922" i="3"/>
  <c r="A923" i="3"/>
  <c r="A924" i="3"/>
  <c r="A925" i="3"/>
  <c r="A926" i="3"/>
  <c r="A927" i="3"/>
  <c r="A928" i="3"/>
  <c r="A929" i="3"/>
  <c r="A930" i="3"/>
  <c r="A931" i="3"/>
  <c r="A932" i="3"/>
  <c r="A933" i="3"/>
  <c r="A934" i="3"/>
  <c r="A935" i="3"/>
  <c r="A936" i="3"/>
  <c r="A937" i="3"/>
  <c r="A938" i="3"/>
  <c r="A939" i="3"/>
  <c r="A940" i="3"/>
  <c r="A941" i="3"/>
  <c r="A942" i="3"/>
  <c r="A943" i="3"/>
  <c r="A944" i="3"/>
  <c r="A945" i="3"/>
  <c r="A946" i="3"/>
  <c r="A947" i="3"/>
  <c r="A948" i="3"/>
  <c r="A949" i="3"/>
  <c r="A950" i="3"/>
  <c r="A951" i="3"/>
  <c r="A952" i="3"/>
  <c r="A953" i="3"/>
  <c r="A954" i="3"/>
  <c r="A955" i="3"/>
  <c r="A956" i="3"/>
  <c r="A957" i="3"/>
  <c r="A958" i="3"/>
  <c r="A959" i="3"/>
  <c r="A960" i="3"/>
  <c r="A961" i="3"/>
  <c r="A962" i="3"/>
  <c r="A963" i="3"/>
  <c r="A964" i="3"/>
  <c r="A965" i="3"/>
  <c r="A966" i="3"/>
  <c r="A967" i="3"/>
  <c r="A968" i="3"/>
  <c r="A969" i="3"/>
  <c r="A970" i="3"/>
  <c r="A971" i="3"/>
  <c r="A972" i="3"/>
  <c r="A973" i="3"/>
  <c r="A974" i="3"/>
  <c r="A975" i="3"/>
  <c r="A976" i="3"/>
  <c r="A977" i="3"/>
  <c r="A978" i="3"/>
  <c r="A979" i="3"/>
  <c r="A980" i="3"/>
  <c r="A981" i="3"/>
  <c r="A982" i="3"/>
  <c r="A983" i="3"/>
  <c r="A984" i="3"/>
  <c r="A985" i="3"/>
  <c r="A986" i="3"/>
  <c r="A987" i="3"/>
  <c r="A988" i="3"/>
  <c r="A989" i="3"/>
  <c r="A990" i="3"/>
  <c r="A991" i="3"/>
  <c r="A992" i="3"/>
  <c r="A993" i="3"/>
  <c r="A994" i="3"/>
  <c r="A995" i="3"/>
  <c r="A996" i="3"/>
  <c r="A997" i="3"/>
  <c r="A998" i="3"/>
  <c r="A999" i="3"/>
  <c r="A1000" i="3"/>
  <c r="A1001" i="3"/>
  <c r="A1002" i="3"/>
  <c r="A1003" i="3"/>
  <c r="A1004" i="3"/>
  <c r="A1005" i="3"/>
  <c r="A1006" i="3"/>
  <c r="A1007" i="3"/>
  <c r="A1008" i="3"/>
  <c r="A1009" i="3"/>
  <c r="A1010" i="3"/>
  <c r="A1011" i="3"/>
  <c r="A1012" i="3"/>
  <c r="A1013" i="3"/>
  <c r="A1014" i="3"/>
  <c r="A1015" i="3"/>
  <c r="A1016" i="3"/>
  <c r="A1017" i="3"/>
  <c r="A1018" i="3"/>
  <c r="A1019" i="3"/>
  <c r="A1020" i="3"/>
  <c r="A1021" i="3"/>
  <c r="A1022" i="3"/>
  <c r="A1023" i="3"/>
  <c r="A1024" i="3"/>
  <c r="A1025" i="3"/>
  <c r="A1026" i="3"/>
  <c r="A1027" i="3"/>
  <c r="A1028" i="3"/>
  <c r="A1029" i="3"/>
  <c r="A1030" i="3"/>
  <c r="A1031" i="3"/>
  <c r="A1032" i="3"/>
  <c r="A1033" i="3"/>
  <c r="A1034" i="3"/>
  <c r="A1035" i="3"/>
  <c r="A1036" i="3"/>
  <c r="A1037" i="3"/>
  <c r="A1038" i="3"/>
  <c r="A1039" i="3"/>
  <c r="A1040" i="3"/>
  <c r="A1041" i="3"/>
  <c r="A1042" i="3"/>
  <c r="A1043" i="3"/>
  <c r="A1044" i="3"/>
  <c r="A1045" i="3"/>
  <c r="A1046" i="3"/>
  <c r="A1047" i="3"/>
  <c r="A1048" i="3"/>
  <c r="A1049" i="3"/>
  <c r="A1050" i="3"/>
  <c r="A1051" i="3"/>
  <c r="A1052" i="3"/>
  <c r="A1053" i="3"/>
  <c r="A1054" i="3"/>
  <c r="A1055" i="3"/>
  <c r="A1056" i="3"/>
  <c r="A1057" i="3"/>
  <c r="A1058" i="3"/>
  <c r="A1059" i="3"/>
  <c r="A1060" i="3"/>
  <c r="A1061" i="3"/>
  <c r="A1062" i="3"/>
  <c r="A1063" i="3"/>
  <c r="A1064" i="3"/>
  <c r="A1065" i="3"/>
  <c r="A1066" i="3"/>
  <c r="A1067" i="3"/>
  <c r="A1068" i="3"/>
  <c r="A1069" i="3"/>
  <c r="A1070" i="3"/>
  <c r="A1071" i="3"/>
  <c r="A1072" i="3"/>
  <c r="A1073" i="3"/>
  <c r="A1074" i="3"/>
  <c r="A1075" i="3"/>
  <c r="A1076" i="3"/>
  <c r="A1077" i="3"/>
  <c r="A1078" i="3"/>
  <c r="A1079" i="3"/>
  <c r="A1080" i="3"/>
  <c r="A1081" i="3"/>
  <c r="A1082" i="3"/>
  <c r="A1083" i="3"/>
  <c r="A1084" i="3"/>
  <c r="A1085" i="3"/>
  <c r="A1086" i="3"/>
  <c r="A1087" i="3"/>
  <c r="A1088" i="3"/>
  <c r="A1089" i="3"/>
  <c r="A1090" i="3"/>
  <c r="A1091" i="3"/>
  <c r="A1092" i="3"/>
  <c r="A1093" i="3"/>
  <c r="A1094" i="3"/>
  <c r="A1095" i="3"/>
  <c r="A1096" i="3"/>
  <c r="A1097" i="3"/>
  <c r="A1098" i="3"/>
  <c r="A1099" i="3"/>
  <c r="A1100" i="3"/>
  <c r="A1101" i="3"/>
  <c r="A1102" i="3"/>
  <c r="A1103" i="3"/>
  <c r="A1104" i="3"/>
  <c r="A1105" i="3"/>
  <c r="A1106" i="3"/>
  <c r="A1107" i="3"/>
  <c r="A1108" i="3"/>
  <c r="A1109" i="3"/>
  <c r="A1110" i="3"/>
  <c r="A1111" i="3"/>
  <c r="A1112" i="3"/>
  <c r="A1113" i="3"/>
  <c r="A1114" i="3"/>
  <c r="A1115" i="3"/>
  <c r="A1116" i="3"/>
  <c r="A1117" i="3"/>
  <c r="A1118" i="3"/>
  <c r="A1119" i="3"/>
  <c r="A1120" i="3"/>
  <c r="A1121" i="3"/>
  <c r="A1122" i="3"/>
  <c r="A1123" i="3"/>
  <c r="A1124" i="3"/>
  <c r="A1125" i="3"/>
  <c r="A1126" i="3"/>
  <c r="A1127" i="3"/>
  <c r="A1128" i="3"/>
  <c r="A1129" i="3"/>
  <c r="A1130" i="3"/>
  <c r="A1131" i="3"/>
  <c r="A1132" i="3"/>
  <c r="A1133" i="3"/>
  <c r="A1134" i="3"/>
  <c r="A1135" i="3"/>
  <c r="A1136" i="3"/>
  <c r="A1137" i="3"/>
  <c r="A1138" i="3"/>
  <c r="A1139" i="3"/>
  <c r="A1140" i="3"/>
  <c r="A1141" i="3"/>
  <c r="A1142" i="3"/>
  <c r="A1143" i="3"/>
  <c r="A1144" i="3"/>
  <c r="A1145" i="3"/>
  <c r="A1146" i="3"/>
  <c r="A1147" i="3"/>
  <c r="A1148" i="3"/>
  <c r="A1149" i="3"/>
  <c r="A1150" i="3"/>
  <c r="A1151" i="3"/>
  <c r="A1152" i="3"/>
  <c r="A1153" i="3"/>
  <c r="A1154" i="3"/>
  <c r="A1155" i="3"/>
  <c r="A1156" i="3"/>
  <c r="A1157" i="3"/>
  <c r="A1158" i="3"/>
  <c r="A1159" i="3"/>
  <c r="A1160" i="3"/>
  <c r="A1161" i="3"/>
  <c r="A1162" i="3"/>
  <c r="A1163" i="3"/>
  <c r="A1164" i="3"/>
  <c r="A1165" i="3"/>
  <c r="A1166" i="3"/>
  <c r="A1167" i="3"/>
  <c r="A1168" i="3"/>
  <c r="A1169" i="3"/>
  <c r="A1170" i="3"/>
  <c r="A1171" i="3"/>
  <c r="A1172" i="3"/>
  <c r="A1173" i="3"/>
  <c r="A1174" i="3"/>
  <c r="A1175" i="3"/>
  <c r="A1176" i="3"/>
  <c r="A1177" i="3"/>
  <c r="A1178" i="3"/>
  <c r="A1179" i="3"/>
  <c r="A1180" i="3"/>
  <c r="A1181" i="3"/>
  <c r="A1182" i="3"/>
  <c r="A1183" i="3"/>
  <c r="A1184" i="3"/>
  <c r="A1185" i="3"/>
  <c r="A1186" i="3"/>
  <c r="A1187" i="3"/>
  <c r="A1188" i="3"/>
  <c r="A1189" i="3"/>
  <c r="A1190" i="3"/>
  <c r="A1191" i="3"/>
  <c r="A1192" i="3"/>
  <c r="A1193" i="3"/>
  <c r="A1194" i="3"/>
  <c r="A1195" i="3"/>
  <c r="A1196" i="3"/>
  <c r="A1197" i="3"/>
  <c r="A1198" i="3"/>
  <c r="A1199" i="3"/>
  <c r="A1200" i="3"/>
  <c r="A1201" i="3"/>
  <c r="A1202" i="3"/>
  <c r="A1203" i="3"/>
  <c r="A1204" i="3"/>
  <c r="A1205" i="3"/>
  <c r="A1206" i="3"/>
  <c r="A1207" i="3"/>
  <c r="A1208" i="3"/>
  <c r="A1209" i="3"/>
  <c r="A1210" i="3"/>
  <c r="A1211" i="3"/>
  <c r="A1212" i="3"/>
  <c r="A1213" i="3"/>
  <c r="A1214" i="3"/>
  <c r="A1215" i="3"/>
  <c r="A1216" i="3"/>
  <c r="A1217" i="3"/>
  <c r="A1218" i="3"/>
  <c r="A1219" i="3"/>
  <c r="A1220" i="3"/>
  <c r="A1221" i="3"/>
  <c r="A1222" i="3"/>
  <c r="A1223" i="3"/>
  <c r="A1224" i="3"/>
  <c r="A1225" i="3"/>
  <c r="A1226" i="3"/>
  <c r="A1227" i="3"/>
  <c r="A1228" i="3"/>
  <c r="A1229" i="3"/>
  <c r="A1230" i="3"/>
  <c r="A1231" i="3"/>
  <c r="A1232" i="3"/>
  <c r="A1233" i="3"/>
  <c r="A1234" i="3"/>
  <c r="A1235" i="3"/>
  <c r="A1236" i="3"/>
  <c r="A1237" i="3"/>
  <c r="A1238" i="3"/>
  <c r="A1239" i="3"/>
  <c r="A1240" i="3"/>
  <c r="A1241" i="3"/>
  <c r="A1242" i="3"/>
  <c r="A1243" i="3"/>
  <c r="A1244" i="3"/>
  <c r="A1245" i="3"/>
  <c r="A1246" i="3"/>
  <c r="A1247" i="3"/>
  <c r="A1248" i="3"/>
  <c r="A1249" i="3"/>
  <c r="A1250" i="3"/>
  <c r="A1251" i="3"/>
  <c r="A1252" i="3"/>
  <c r="A1253" i="3"/>
  <c r="A1254" i="3"/>
  <c r="A1255" i="3"/>
  <c r="A1256" i="3"/>
  <c r="A1257" i="3"/>
  <c r="A1258" i="3"/>
  <c r="A1259" i="3"/>
  <c r="A1260" i="3"/>
  <c r="A1261" i="3"/>
  <c r="A2" i="3"/>
  <c r="E5" i="1"/>
  <c r="F5" i="1"/>
  <c r="G5" i="1"/>
  <c r="H5" i="1"/>
  <c r="J5" i="1"/>
  <c r="K5" i="1"/>
  <c r="L5" i="1"/>
  <c r="M5" i="1"/>
  <c r="O5" i="1"/>
  <c r="E6" i="1"/>
  <c r="F6" i="1"/>
  <c r="G6" i="1"/>
  <c r="H6" i="1"/>
  <c r="J6" i="1"/>
  <c r="K6" i="1"/>
  <c r="L6" i="1"/>
  <c r="M6" i="1"/>
  <c r="O6" i="1"/>
  <c r="E7" i="1"/>
  <c r="F7" i="1"/>
  <c r="G7" i="1"/>
  <c r="H7" i="1"/>
  <c r="J7" i="1"/>
  <c r="K7" i="1"/>
  <c r="L7" i="1"/>
  <c r="M7" i="1"/>
  <c r="O7" i="1"/>
  <c r="O4" i="1"/>
  <c r="M4" i="1"/>
  <c r="L4" i="1"/>
  <c r="K4" i="1"/>
  <c r="J4" i="1"/>
  <c r="H4" i="1"/>
  <c r="G4" i="1"/>
  <c r="F4" i="1"/>
  <c r="E4" i="1"/>
  <c r="A6" i="1" l="1"/>
  <c r="A7" i="1"/>
  <c r="A5" i="1"/>
  <c r="A281" i="2" l="1"/>
  <c r="A265" i="2" l="1"/>
  <c r="A266" i="2"/>
  <c r="A267" i="2"/>
  <c r="A268" i="2"/>
  <c r="A269" i="2"/>
  <c r="A270" i="2"/>
  <c r="A271" i="2"/>
  <c r="A272" i="2"/>
  <c r="A273" i="2"/>
  <c r="A274" i="2"/>
  <c r="A275" i="2"/>
  <c r="A276" i="2"/>
  <c r="A277" i="2"/>
  <c r="A278" i="2"/>
  <c r="A279" i="2"/>
  <c r="A280"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1001" i="2"/>
  <c r="A1002" i="2"/>
  <c r="A1003" i="2"/>
  <c r="A1004" i="2"/>
  <c r="A1005" i="2"/>
  <c r="A1006" i="2"/>
  <c r="A1007" i="2"/>
  <c r="A1008" i="2"/>
  <c r="A1009" i="2"/>
  <c r="A1010" i="2"/>
  <c r="A1011" i="2"/>
  <c r="A1012" i="2"/>
  <c r="A1013" i="2"/>
  <c r="A1014" i="2"/>
  <c r="A1015" i="2"/>
  <c r="A1016" i="2"/>
  <c r="A1017" i="2"/>
  <c r="A1018" i="2"/>
  <c r="A1019" i="2"/>
  <c r="A1020" i="2"/>
  <c r="A1021" i="2"/>
  <c r="A1022" i="2"/>
  <c r="A1023" i="2"/>
  <c r="A1024" i="2"/>
  <c r="A1025" i="2"/>
  <c r="A1026" i="2"/>
  <c r="A1027" i="2"/>
  <c r="A1028" i="2"/>
  <c r="A1029" i="2"/>
  <c r="A1030" i="2"/>
  <c r="A1031" i="2"/>
  <c r="A1032" i="2"/>
  <c r="A1033" i="2"/>
  <c r="A1034" i="2"/>
  <c r="A1035" i="2"/>
  <c r="A1036" i="2"/>
  <c r="A1037" i="2"/>
  <c r="A1038" i="2"/>
  <c r="A1039" i="2"/>
  <c r="A1040" i="2"/>
  <c r="A1041" i="2"/>
  <c r="A1042" i="2"/>
  <c r="A1043" i="2"/>
  <c r="A1044" i="2"/>
  <c r="A1045" i="2"/>
  <c r="A1046" i="2"/>
  <c r="A1047" i="2"/>
  <c r="A1048" i="2"/>
  <c r="A1049" i="2"/>
  <c r="A1050" i="2"/>
  <c r="A1051" i="2"/>
  <c r="A1052" i="2"/>
  <c r="A1053" i="2"/>
  <c r="A1054" i="2"/>
  <c r="A1055" i="2"/>
  <c r="A1056" i="2"/>
  <c r="A1057" i="2"/>
  <c r="A1058" i="2"/>
  <c r="A1059" i="2"/>
  <c r="A1060" i="2"/>
  <c r="A1061" i="2"/>
  <c r="A1062" i="2"/>
  <c r="A1063" i="2"/>
  <c r="A1064" i="2"/>
  <c r="A1065" i="2"/>
  <c r="A1066" i="2"/>
  <c r="A1067" i="2"/>
  <c r="A1068" i="2"/>
  <c r="A1069" i="2"/>
  <c r="A1070" i="2"/>
  <c r="A1071" i="2"/>
  <c r="A1072" i="2"/>
  <c r="A1073" i="2"/>
  <c r="A1074" i="2"/>
  <c r="A1075" i="2"/>
  <c r="A1076" i="2"/>
  <c r="A1077" i="2"/>
  <c r="A1078" i="2"/>
  <c r="A1079" i="2"/>
  <c r="A1080" i="2"/>
  <c r="A1081" i="2"/>
  <c r="A1082" i="2"/>
  <c r="A1083" i="2"/>
  <c r="A1084" i="2"/>
  <c r="A1085" i="2"/>
  <c r="A1086" i="2"/>
  <c r="A1087" i="2"/>
  <c r="A1088" i="2"/>
  <c r="A1089" i="2"/>
  <c r="A1090" i="2"/>
  <c r="A1091" i="2"/>
  <c r="A1092" i="2"/>
  <c r="A1093" i="2"/>
  <c r="A1094" i="2"/>
  <c r="A1095" i="2"/>
  <c r="A1096" i="2"/>
  <c r="A1097" i="2"/>
  <c r="A1098" i="2"/>
  <c r="A1099" i="2"/>
  <c r="A1100" i="2"/>
  <c r="A1101" i="2"/>
  <c r="A1102" i="2"/>
  <c r="A1103" i="2"/>
  <c r="A1104" i="2"/>
  <c r="A1105" i="2"/>
  <c r="A1106" i="2"/>
  <c r="A1107" i="2"/>
  <c r="A1108" i="2"/>
  <c r="A1109" i="2"/>
  <c r="A1110" i="2"/>
  <c r="A1111" i="2"/>
  <c r="A1112" i="2"/>
  <c r="A1113" i="2"/>
  <c r="A1114" i="2"/>
  <c r="A1115" i="2"/>
  <c r="A1116" i="2"/>
  <c r="A1117" i="2"/>
  <c r="A1118" i="2"/>
  <c r="A1119" i="2"/>
  <c r="A1120" i="2"/>
  <c r="A1121" i="2"/>
  <c r="A1122" i="2"/>
  <c r="A1123" i="2"/>
  <c r="A1124" i="2"/>
  <c r="A1125" i="2"/>
  <c r="A1126" i="2"/>
  <c r="A1127" i="2"/>
  <c r="A1128" i="2"/>
  <c r="A1129" i="2"/>
  <c r="A1130" i="2"/>
  <c r="A1131" i="2"/>
  <c r="A1132" i="2"/>
  <c r="A1133" i="2"/>
  <c r="A1134" i="2"/>
  <c r="A1135" i="2"/>
  <c r="A1136" i="2"/>
  <c r="A1137" i="2"/>
  <c r="A1138" i="2"/>
  <c r="A1139" i="2"/>
  <c r="A1140" i="2"/>
  <c r="A1141" i="2"/>
  <c r="A1142" i="2"/>
  <c r="A1143" i="2"/>
  <c r="A1144" i="2"/>
  <c r="A1145" i="2"/>
  <c r="A1146" i="2"/>
  <c r="A1147" i="2"/>
  <c r="A1148" i="2"/>
  <c r="A1149" i="2"/>
  <c r="A1150" i="2"/>
  <c r="A1151" i="2"/>
  <c r="A1152" i="2"/>
  <c r="A1153" i="2"/>
  <c r="A1154" i="2"/>
  <c r="A1155" i="2"/>
  <c r="A1156" i="2"/>
  <c r="A1157" i="2"/>
  <c r="A1158" i="2"/>
  <c r="A1159" i="2"/>
  <c r="A1160" i="2"/>
  <c r="A1161" i="2"/>
  <c r="A1162" i="2"/>
  <c r="A1163" i="2"/>
  <c r="A1164" i="2"/>
  <c r="A1165" i="2"/>
  <c r="A1166" i="2"/>
  <c r="A1167" i="2"/>
  <c r="A1168" i="2"/>
  <c r="A1169" i="2"/>
  <c r="A1170" i="2"/>
  <c r="A1171" i="2"/>
  <c r="A1172" i="2"/>
  <c r="A1173" i="2"/>
  <c r="A1174" i="2"/>
  <c r="A1175" i="2"/>
  <c r="A1176" i="2"/>
  <c r="A1177" i="2"/>
  <c r="A1178" i="2"/>
  <c r="A1179" i="2"/>
  <c r="A1180" i="2"/>
  <c r="A1181" i="2"/>
  <c r="A1182" i="2"/>
  <c r="A1183" i="2"/>
  <c r="A1184" i="2"/>
  <c r="A1185" i="2"/>
  <c r="A1186" i="2"/>
  <c r="A1187" i="2"/>
  <c r="A1188" i="2"/>
  <c r="A1189" i="2"/>
  <c r="A1190" i="2"/>
  <c r="A1191" i="2"/>
  <c r="A1192" i="2"/>
  <c r="A1193" i="2"/>
  <c r="A1194" i="2"/>
  <c r="A1195" i="2"/>
  <c r="A1196" i="2"/>
  <c r="A1197" i="2"/>
  <c r="A1198" i="2"/>
  <c r="A1199" i="2"/>
  <c r="A1200" i="2"/>
  <c r="A1201" i="2"/>
  <c r="A1202" i="2"/>
  <c r="A1203" i="2"/>
  <c r="A1204" i="2"/>
  <c r="A1205" i="2"/>
  <c r="A1206" i="2"/>
  <c r="A1207" i="2"/>
  <c r="A1208" i="2"/>
  <c r="A1209" i="2"/>
  <c r="A1210" i="2"/>
  <c r="A1211" i="2"/>
  <c r="A1212" i="2"/>
  <c r="A1213" i="2"/>
  <c r="A1214" i="2"/>
  <c r="A1215" i="2"/>
  <c r="A1216" i="2"/>
  <c r="A1217" i="2"/>
  <c r="A1218" i="2"/>
  <c r="A1219" i="2"/>
  <c r="A1220" i="2"/>
  <c r="A1221" i="2"/>
  <c r="A1222" i="2"/>
  <c r="A1223" i="2"/>
  <c r="A1224" i="2"/>
  <c r="A1225" i="2"/>
  <c r="A1226" i="2"/>
  <c r="A1227" i="2"/>
  <c r="A1228" i="2"/>
  <c r="A1229" i="2"/>
  <c r="A1230" i="2"/>
  <c r="A1231" i="2"/>
  <c r="A1232" i="2"/>
  <c r="A1233" i="2"/>
  <c r="A1234" i="2"/>
  <c r="A1235" i="2"/>
  <c r="A1236" i="2"/>
  <c r="A1237" i="2"/>
  <c r="A1238" i="2"/>
  <c r="A1239" i="2"/>
  <c r="A1240" i="2"/>
  <c r="A1241" i="2"/>
  <c r="A1242" i="2"/>
  <c r="A1243" i="2"/>
  <c r="A1244" i="2"/>
  <c r="A1245" i="2"/>
  <c r="A1246" i="2"/>
  <c r="A1247" i="2"/>
  <c r="A1248" i="2"/>
  <c r="A1249" i="2"/>
  <c r="A1250" i="2"/>
  <c r="A1251" i="2"/>
  <c r="A1252" i="2"/>
  <c r="A1253" i="2"/>
  <c r="A1254" i="2"/>
  <c r="A1255" i="2"/>
  <c r="A1256" i="2"/>
  <c r="A1257" i="2"/>
  <c r="A1258" i="2"/>
  <c r="A1259" i="2"/>
  <c r="A1260" i="2"/>
  <c r="A1261" i="2"/>
  <c r="A1262" i="2"/>
  <c r="A1263" i="2"/>
  <c r="A1264" i="2"/>
  <c r="A1265" i="2"/>
  <c r="A1266" i="2"/>
  <c r="A1267" i="2"/>
  <c r="A1268" i="2"/>
  <c r="A1269" i="2"/>
  <c r="A1270" i="2"/>
  <c r="A1271" i="2"/>
  <c r="A1272" i="2"/>
  <c r="A1273" i="2"/>
  <c r="A1274" i="2"/>
  <c r="A1275" i="2"/>
  <c r="A1276" i="2"/>
  <c r="A1277" i="2"/>
  <c r="A1278" i="2"/>
  <c r="A1279" i="2"/>
  <c r="A1280" i="2"/>
  <c r="A1281" i="2"/>
  <c r="A1282" i="2"/>
  <c r="A1283" i="2"/>
  <c r="A1284" i="2"/>
  <c r="A1285" i="2"/>
  <c r="A1286" i="2"/>
  <c r="A1287" i="2"/>
  <c r="A1288" i="2"/>
  <c r="A1289" i="2"/>
  <c r="A1290" i="2"/>
  <c r="A1291" i="2"/>
  <c r="A1292" i="2"/>
  <c r="A1293" i="2"/>
  <c r="A1294" i="2"/>
  <c r="A1295" i="2"/>
  <c r="A1296" i="2"/>
  <c r="A1297" i="2"/>
  <c r="A1298" i="2"/>
  <c r="A1299" i="2"/>
  <c r="A1300" i="2"/>
  <c r="A1301" i="2"/>
  <c r="A1302" i="2"/>
  <c r="A1303" i="2"/>
  <c r="A1304" i="2"/>
  <c r="A1305" i="2"/>
  <c r="A1306" i="2"/>
  <c r="A1307" i="2"/>
  <c r="A1308" i="2"/>
  <c r="A1309" i="2"/>
  <c r="A1310" i="2"/>
  <c r="A1311" i="2"/>
  <c r="A1312" i="2"/>
  <c r="A1313" i="2"/>
  <c r="A1314" i="2"/>
  <c r="A1315" i="2"/>
  <c r="A1316" i="2"/>
  <c r="A1317" i="2"/>
  <c r="A1318" i="2"/>
  <c r="A1319" i="2"/>
  <c r="A1320" i="2"/>
  <c r="A1321" i="2"/>
  <c r="A1322" i="2"/>
  <c r="A1323" i="2"/>
  <c r="A1324" i="2"/>
  <c r="A1325" i="2"/>
  <c r="A1326" i="2"/>
  <c r="A1327" i="2"/>
  <c r="A1328" i="2"/>
  <c r="A1329" i="2"/>
  <c r="A1330" i="2"/>
  <c r="A1331" i="2"/>
  <c r="A1332" i="2"/>
  <c r="A1333" i="2"/>
  <c r="A1334" i="2"/>
  <c r="A1335" i="2"/>
  <c r="A1336" i="2"/>
  <c r="A1337" i="2"/>
  <c r="A1338" i="2"/>
  <c r="A1339" i="2"/>
  <c r="A1340" i="2"/>
  <c r="A1341" i="2"/>
  <c r="A1342" i="2"/>
  <c r="A1343" i="2"/>
  <c r="A1344" i="2"/>
  <c r="A1345" i="2"/>
  <c r="A1346" i="2"/>
  <c r="A1347" i="2"/>
  <c r="A1348" i="2"/>
  <c r="A1349" i="2"/>
  <c r="A1350" i="2"/>
  <c r="A1351" i="2"/>
  <c r="A1352" i="2"/>
  <c r="A1353" i="2"/>
  <c r="A1354" i="2"/>
  <c r="A1355" i="2"/>
  <c r="A1356" i="2"/>
  <c r="A1357" i="2"/>
  <c r="A1358" i="2"/>
  <c r="A1359" i="2"/>
  <c r="A1360" i="2"/>
  <c r="A1361" i="2"/>
  <c r="A1362" i="2"/>
  <c r="A1363" i="2"/>
  <c r="A1364" i="2"/>
  <c r="A1365" i="2"/>
  <c r="A1366" i="2"/>
  <c r="A1367" i="2"/>
  <c r="A1368" i="2"/>
  <c r="A1369" i="2"/>
  <c r="A1370" i="2"/>
  <c r="A1371" i="2"/>
  <c r="A1372" i="2"/>
  <c r="A1373" i="2"/>
  <c r="A1374" i="2"/>
  <c r="A1375" i="2"/>
  <c r="A1376" i="2"/>
  <c r="A1377" i="2"/>
  <c r="A1378" i="2"/>
  <c r="A1379" i="2"/>
  <c r="A1380" i="2"/>
  <c r="A1381" i="2"/>
  <c r="A1382" i="2"/>
  <c r="A1383" i="2"/>
  <c r="A1384" i="2"/>
  <c r="A1385" i="2"/>
  <c r="A1386" i="2"/>
  <c r="A1387" i="2"/>
  <c r="A1388" i="2"/>
  <c r="A1389" i="2"/>
  <c r="A1390" i="2"/>
  <c r="A1391" i="2"/>
  <c r="A1392" i="2"/>
  <c r="A1393" i="2"/>
  <c r="A1394" i="2"/>
  <c r="A1395" i="2"/>
  <c r="A1396" i="2"/>
  <c r="A1397" i="2"/>
  <c r="A1398" i="2"/>
  <c r="A1399" i="2"/>
  <c r="A1400" i="2"/>
  <c r="A1401" i="2"/>
  <c r="A1402" i="2"/>
  <c r="A1403" i="2"/>
  <c r="A1404" i="2"/>
  <c r="A1405" i="2"/>
  <c r="A1406" i="2"/>
  <c r="A1407" i="2"/>
  <c r="A1408" i="2"/>
  <c r="A1409" i="2"/>
  <c r="A1410" i="2"/>
  <c r="A1411" i="2"/>
  <c r="A1412" i="2"/>
  <c r="A1413" i="2"/>
  <c r="A1414" i="2"/>
  <c r="A1415" i="2"/>
  <c r="A1416" i="2"/>
  <c r="A1417" i="2"/>
  <c r="A1418" i="2"/>
  <c r="A1419" i="2"/>
  <c r="A1420" i="2"/>
  <c r="A1421" i="2"/>
  <c r="A1422" i="2"/>
  <c r="A1423" i="2"/>
  <c r="A1424" i="2"/>
  <c r="A1425" i="2"/>
  <c r="A1426" i="2"/>
  <c r="A1427" i="2"/>
  <c r="A1428" i="2"/>
  <c r="A1429" i="2"/>
  <c r="A1430" i="2"/>
  <c r="A1431" i="2"/>
  <c r="A1432" i="2"/>
  <c r="A1433" i="2"/>
  <c r="A1434" i="2"/>
  <c r="A1435" i="2"/>
  <c r="A1436" i="2"/>
  <c r="A1437" i="2"/>
  <c r="A1438" i="2"/>
  <c r="A1439" i="2"/>
  <c r="A1440" i="2"/>
  <c r="A1441" i="2"/>
  <c r="A1442" i="2"/>
  <c r="A1443" i="2"/>
  <c r="A1444" i="2"/>
  <c r="A1445" i="2"/>
  <c r="A1446" i="2"/>
  <c r="A1447" i="2"/>
  <c r="A1448" i="2"/>
  <c r="A1449" i="2"/>
  <c r="A1450" i="2"/>
  <c r="A1451" i="2"/>
  <c r="A1452" i="2"/>
  <c r="A1453" i="2"/>
  <c r="A1454" i="2"/>
  <c r="A1455" i="2"/>
  <c r="A1456" i="2"/>
  <c r="A1457" i="2"/>
  <c r="A1458" i="2"/>
  <c r="A1459" i="2"/>
  <c r="A1460" i="2"/>
  <c r="A1461" i="2"/>
  <c r="A1462" i="2"/>
  <c r="A1463" i="2"/>
  <c r="A1464" i="2"/>
  <c r="A1465" i="2"/>
  <c r="A1466" i="2"/>
  <c r="A1467" i="2"/>
  <c r="A1468" i="2"/>
  <c r="A1469" i="2"/>
  <c r="A1470" i="2"/>
  <c r="A1471" i="2"/>
  <c r="A1472" i="2"/>
  <c r="A1473" i="2"/>
  <c r="A1474" i="2"/>
  <c r="A1475" i="2"/>
  <c r="A1476" i="2"/>
  <c r="A1477" i="2"/>
  <c r="A1478" i="2"/>
  <c r="A1479" i="2"/>
  <c r="A1480" i="2"/>
  <c r="A1481" i="2"/>
  <c r="A1482" i="2"/>
  <c r="A1483" i="2"/>
  <c r="A1484" i="2"/>
  <c r="A1485" i="2"/>
  <c r="A1486" i="2"/>
  <c r="A1487" i="2"/>
  <c r="A1488" i="2"/>
  <c r="A1489" i="2"/>
  <c r="A1490" i="2"/>
  <c r="A1491" i="2"/>
  <c r="A1492" i="2"/>
  <c r="A1493" i="2"/>
  <c r="A1494" i="2"/>
  <c r="A1495" i="2"/>
  <c r="A1496" i="2"/>
  <c r="A1497" i="2"/>
  <c r="A1498" i="2"/>
  <c r="A1499" i="2"/>
  <c r="A1500" i="2"/>
  <c r="A1501" i="2"/>
  <c r="A1502" i="2"/>
  <c r="A1503" i="2"/>
  <c r="A1504" i="2"/>
  <c r="A1505" i="2"/>
  <c r="A1506" i="2"/>
  <c r="A1507" i="2"/>
  <c r="A1508" i="2"/>
  <c r="A1509" i="2"/>
  <c r="A1510" i="2"/>
  <c r="A1511" i="2"/>
  <c r="A1512" i="2"/>
  <c r="A1513" i="2"/>
  <c r="A1514" i="2"/>
  <c r="A1515" i="2"/>
  <c r="A1516" i="2"/>
  <c r="A1517" i="2"/>
  <c r="A1518" i="2"/>
  <c r="A1519" i="2"/>
  <c r="A1520" i="2"/>
  <c r="A1521" i="2"/>
  <c r="A1522" i="2"/>
  <c r="A1523" i="2"/>
  <c r="A1524" i="2"/>
  <c r="A1525" i="2"/>
  <c r="A1526" i="2"/>
  <c r="A1527" i="2"/>
  <c r="A1528" i="2"/>
  <c r="A1529" i="2"/>
  <c r="A1530" i="2"/>
  <c r="A1531" i="2"/>
  <c r="A1532" i="2"/>
  <c r="A1533" i="2"/>
  <c r="A1534" i="2"/>
  <c r="A1535" i="2"/>
  <c r="A1536" i="2"/>
  <c r="A1537" i="2"/>
  <c r="A1538" i="2"/>
  <c r="A1539" i="2"/>
  <c r="A1540" i="2"/>
  <c r="A1541" i="2"/>
  <c r="A1542" i="2"/>
  <c r="A1543" i="2"/>
  <c r="A1544" i="2"/>
  <c r="A1545" i="2"/>
  <c r="A1546" i="2"/>
  <c r="A1547" i="2"/>
  <c r="A1548" i="2"/>
  <c r="A1549" i="2"/>
  <c r="A1550" i="2"/>
  <c r="A1551" i="2"/>
  <c r="A1552" i="2"/>
  <c r="A1553" i="2"/>
  <c r="A1554" i="2"/>
  <c r="A1555" i="2"/>
  <c r="A1556" i="2"/>
  <c r="A1557" i="2"/>
  <c r="A1558" i="2"/>
  <c r="A1559" i="2"/>
  <c r="A1560" i="2"/>
  <c r="A1561" i="2"/>
  <c r="A1562" i="2"/>
  <c r="A1563" i="2"/>
  <c r="A1564" i="2"/>
  <c r="A1565" i="2"/>
  <c r="A1566" i="2"/>
  <c r="A1567" i="2"/>
  <c r="A1568" i="2"/>
  <c r="A1569" i="2"/>
  <c r="A1570" i="2"/>
  <c r="A1571" i="2"/>
  <c r="A1572" i="2"/>
  <c r="A1573" i="2"/>
  <c r="A1574" i="2"/>
  <c r="A1575" i="2"/>
  <c r="A1576" i="2"/>
  <c r="A1577" i="2"/>
  <c r="A1578" i="2"/>
  <c r="A1579" i="2"/>
  <c r="A1580" i="2"/>
  <c r="A1581" i="2"/>
  <c r="A1582" i="2"/>
  <c r="A1583" i="2"/>
  <c r="A1584" i="2"/>
  <c r="A1585" i="2"/>
  <c r="A1586" i="2"/>
  <c r="A1587" i="2"/>
  <c r="A1588" i="2"/>
  <c r="A1589" i="2"/>
  <c r="A1590" i="2"/>
  <c r="A1591" i="2"/>
  <c r="A1592" i="2"/>
  <c r="A1593" i="2"/>
  <c r="A1594" i="2"/>
  <c r="A1595" i="2"/>
  <c r="A1596" i="2"/>
  <c r="A1597" i="2"/>
  <c r="A1598" i="2"/>
  <c r="A1599" i="2"/>
  <c r="A1600" i="2"/>
  <c r="A1601" i="2"/>
  <c r="A1602" i="2"/>
  <c r="A1603" i="2"/>
  <c r="A1604" i="2"/>
  <c r="A1605" i="2"/>
  <c r="A1606" i="2"/>
  <c r="A1607" i="2"/>
  <c r="A1608" i="2"/>
  <c r="A1609" i="2"/>
  <c r="A1610" i="2"/>
  <c r="A1611" i="2"/>
  <c r="A1612" i="2"/>
  <c r="A1613" i="2"/>
  <c r="A1614" i="2"/>
  <c r="A1615" i="2"/>
  <c r="A1616" i="2"/>
  <c r="A1617" i="2"/>
  <c r="A1618" i="2"/>
  <c r="A1619" i="2"/>
  <c r="A1620" i="2"/>
  <c r="A1621" i="2"/>
  <c r="A1622" i="2"/>
  <c r="A1623" i="2"/>
  <c r="A1624" i="2"/>
  <c r="A1625" i="2"/>
  <c r="A1626" i="2"/>
  <c r="A1627" i="2"/>
  <c r="A1628" i="2"/>
  <c r="A1629" i="2"/>
  <c r="A1630" i="2"/>
  <c r="A1631" i="2"/>
  <c r="A1632" i="2"/>
  <c r="A1633" i="2"/>
  <c r="A1634" i="2"/>
  <c r="A1635" i="2"/>
  <c r="A1636" i="2"/>
  <c r="A1637" i="2"/>
  <c r="A1638" i="2"/>
  <c r="A1639" i="2"/>
  <c r="A1640" i="2"/>
  <c r="A1641" i="2"/>
  <c r="A1642" i="2"/>
  <c r="A1643" i="2"/>
  <c r="A1644" i="2"/>
  <c r="A1645" i="2"/>
  <c r="A1646" i="2"/>
  <c r="A1647" i="2"/>
  <c r="A1648" i="2"/>
  <c r="A1649" i="2"/>
  <c r="A1650" i="2"/>
  <c r="A1651" i="2"/>
  <c r="A1652" i="2"/>
  <c r="A1653" i="2"/>
  <c r="A1654" i="2"/>
  <c r="A1655" i="2"/>
  <c r="A1656" i="2"/>
  <c r="A1657" i="2"/>
  <c r="A1658" i="2"/>
  <c r="A1659" i="2"/>
  <c r="A1660" i="2"/>
  <c r="A1661" i="2"/>
  <c r="A1662" i="2"/>
  <c r="A1663" i="2"/>
  <c r="A1664" i="2"/>
  <c r="A1665" i="2"/>
  <c r="A1666" i="2"/>
  <c r="A1667" i="2"/>
  <c r="A1668" i="2"/>
  <c r="A1669" i="2"/>
  <c r="A1670" i="2"/>
  <c r="A1671" i="2"/>
  <c r="A1672" i="2"/>
  <c r="A1673" i="2"/>
  <c r="A1674" i="2"/>
  <c r="A1675" i="2"/>
  <c r="A1676" i="2"/>
  <c r="A1677" i="2"/>
  <c r="A1678" i="2"/>
  <c r="A1679" i="2"/>
  <c r="A1680" i="2"/>
  <c r="A1681" i="2"/>
  <c r="A1682" i="2"/>
  <c r="A1683" i="2"/>
  <c r="A1684" i="2"/>
  <c r="A1685" i="2"/>
  <c r="A1686" i="2"/>
  <c r="A1687" i="2"/>
  <c r="A1688" i="2"/>
  <c r="A1689" i="2"/>
  <c r="A1690" i="2"/>
  <c r="A1691" i="2"/>
  <c r="A1692" i="2"/>
  <c r="A1693" i="2"/>
  <c r="A1694" i="2"/>
  <c r="A1695" i="2"/>
  <c r="A1696" i="2"/>
  <c r="A1697" i="2"/>
  <c r="A1698" i="2"/>
  <c r="A1699" i="2"/>
  <c r="A1700" i="2"/>
  <c r="A1701" i="2"/>
  <c r="A1702" i="2"/>
  <c r="A1703" i="2"/>
  <c r="A1704" i="2"/>
  <c r="A1705" i="2"/>
  <c r="A1706" i="2"/>
  <c r="A1707" i="2"/>
  <c r="A1708" i="2"/>
  <c r="A1709" i="2"/>
  <c r="A1710" i="2"/>
  <c r="A1711" i="2"/>
  <c r="A1712" i="2"/>
  <c r="A1713" i="2"/>
  <c r="A1714" i="2"/>
  <c r="A1715" i="2"/>
  <c r="A1716" i="2"/>
  <c r="A1717" i="2"/>
  <c r="A1718" i="2"/>
  <c r="A1719" i="2"/>
  <c r="A1720" i="2"/>
  <c r="A1721" i="2"/>
  <c r="A1722" i="2"/>
  <c r="A1723" i="2"/>
  <c r="A1724" i="2"/>
  <c r="A1725" i="2"/>
  <c r="A1726" i="2"/>
  <c r="A1727" i="2"/>
  <c r="A1728" i="2"/>
  <c r="A1729" i="2"/>
  <c r="A1730" i="2"/>
  <c r="A1731" i="2"/>
  <c r="A1732" i="2"/>
  <c r="A1733" i="2"/>
  <c r="A1734" i="2"/>
  <c r="A1735" i="2"/>
  <c r="A1736" i="2"/>
  <c r="A1737" i="2"/>
  <c r="A1738" i="2"/>
  <c r="A1739" i="2"/>
  <c r="A1740" i="2"/>
  <c r="A1741" i="2"/>
  <c r="A1742" i="2"/>
  <c r="A1743" i="2"/>
  <c r="A1744" i="2"/>
  <c r="A1745" i="2"/>
  <c r="A1746" i="2"/>
  <c r="A1747" i="2"/>
  <c r="A1748" i="2"/>
  <c r="A1749" i="2"/>
  <c r="A1750" i="2"/>
  <c r="A1751" i="2"/>
  <c r="A1752" i="2"/>
  <c r="A1753" i="2"/>
  <c r="A1754" i="2"/>
  <c r="A1755" i="2"/>
  <c r="A1756" i="2"/>
  <c r="A1757" i="2"/>
  <c r="A1758" i="2"/>
  <c r="A1759" i="2"/>
  <c r="A1760" i="2"/>
  <c r="A1761" i="2"/>
  <c r="A1762" i="2"/>
  <c r="A1763" i="2"/>
  <c r="A1764" i="2"/>
  <c r="A1765" i="2"/>
  <c r="A1766" i="2"/>
  <c r="A1767" i="2"/>
  <c r="A1768" i="2"/>
  <c r="A1769" i="2"/>
  <c r="A1770" i="2"/>
  <c r="A1771" i="2"/>
  <c r="A1772" i="2"/>
  <c r="A1773" i="2"/>
  <c r="A1774" i="2"/>
  <c r="A1775" i="2"/>
  <c r="A1776" i="2"/>
  <c r="A1777" i="2"/>
  <c r="A1778" i="2"/>
  <c r="A1779" i="2"/>
  <c r="A1780" i="2"/>
  <c r="A1781" i="2"/>
  <c r="A1782" i="2"/>
  <c r="A1783" i="2"/>
  <c r="A1784" i="2"/>
  <c r="A1785" i="2"/>
  <c r="A1786" i="2"/>
  <c r="A1787" i="2"/>
  <c r="A1788" i="2"/>
  <c r="A1789" i="2"/>
  <c r="A1790" i="2"/>
  <c r="A1791" i="2"/>
  <c r="A1792" i="2"/>
  <c r="A1793" i="2"/>
  <c r="A1794" i="2"/>
  <c r="A1795" i="2"/>
  <c r="A1796" i="2"/>
  <c r="A1797" i="2"/>
  <c r="A1798" i="2"/>
  <c r="A1799" i="2"/>
  <c r="A1800" i="2"/>
  <c r="A1801" i="2"/>
  <c r="A1802" i="2"/>
  <c r="A1803" i="2"/>
  <c r="A1804" i="2"/>
  <c r="A1805" i="2"/>
  <c r="A1806" i="2"/>
  <c r="A1807" i="2"/>
  <c r="A1808" i="2"/>
  <c r="A1809" i="2"/>
  <c r="A1810" i="2"/>
  <c r="A1811" i="2"/>
  <c r="A1812" i="2"/>
  <c r="A1813" i="2"/>
  <c r="A1814" i="2"/>
  <c r="A1815" i="2"/>
  <c r="A1816" i="2"/>
  <c r="A1817" i="2"/>
  <c r="A1818" i="2"/>
  <c r="A1819" i="2"/>
  <c r="A1820" i="2"/>
  <c r="A1821" i="2"/>
  <c r="A1822" i="2"/>
  <c r="A1823" i="2"/>
  <c r="A1824" i="2"/>
  <c r="A1825" i="2"/>
  <c r="A1826" i="2"/>
  <c r="A1827" i="2"/>
  <c r="A1828" i="2"/>
  <c r="A1829" i="2"/>
  <c r="A1830" i="2"/>
  <c r="A1831" i="2"/>
  <c r="A1832" i="2"/>
  <c r="A1833" i="2"/>
  <c r="A1834" i="2"/>
  <c r="A1835" i="2"/>
  <c r="A1836" i="2"/>
  <c r="A1837" i="2"/>
  <c r="A1838" i="2"/>
  <c r="A1839" i="2"/>
  <c r="A1840" i="2"/>
  <c r="A1841" i="2"/>
  <c r="A1842" i="2"/>
  <c r="A1843" i="2"/>
  <c r="A1844" i="2"/>
  <c r="A1845" i="2"/>
  <c r="A1846" i="2"/>
  <c r="A1847" i="2"/>
  <c r="A1848" i="2"/>
  <c r="A1849" i="2"/>
  <c r="A1850" i="2"/>
  <c r="A1851" i="2"/>
  <c r="A1852" i="2"/>
  <c r="A1853" i="2"/>
  <c r="A1854" i="2"/>
  <c r="A1855" i="2"/>
  <c r="A1856" i="2"/>
  <c r="A1857" i="2"/>
  <c r="A1858" i="2"/>
  <c r="A1859" i="2"/>
  <c r="A1860" i="2"/>
  <c r="A1861" i="2"/>
  <c r="A1862" i="2"/>
  <c r="A1863" i="2"/>
  <c r="A1864" i="2"/>
  <c r="A1865" i="2"/>
  <c r="A1866" i="2"/>
  <c r="A1867" i="2"/>
  <c r="A1868" i="2"/>
  <c r="A1869" i="2"/>
  <c r="A1870" i="2"/>
  <c r="A1871" i="2"/>
  <c r="A1872" i="2"/>
  <c r="A1873" i="2"/>
  <c r="A1874" i="2"/>
  <c r="A1875" i="2"/>
  <c r="A1876" i="2"/>
  <c r="A1877" i="2"/>
  <c r="A1878" i="2"/>
  <c r="A1879" i="2"/>
  <c r="A1880" i="2"/>
  <c r="A1881" i="2"/>
  <c r="A1882" i="2"/>
  <c r="A1883" i="2"/>
  <c r="A1884" i="2"/>
  <c r="A1885" i="2"/>
  <c r="A1886" i="2"/>
  <c r="A1887" i="2"/>
  <c r="A1888" i="2"/>
  <c r="A1889" i="2"/>
  <c r="A1890" i="2"/>
  <c r="A1891" i="2"/>
  <c r="A1892" i="2"/>
  <c r="A1893" i="2"/>
  <c r="A1894" i="2"/>
  <c r="A1895" i="2"/>
  <c r="A1896" i="2"/>
  <c r="A1897" i="2"/>
  <c r="A1898" i="2"/>
  <c r="A1899" i="2"/>
  <c r="A1900" i="2"/>
  <c r="A1901" i="2"/>
  <c r="A1902" i="2"/>
  <c r="A1903" i="2"/>
  <c r="A1904" i="2"/>
  <c r="A1905" i="2"/>
  <c r="A1906" i="2"/>
  <c r="A1907" i="2"/>
  <c r="A1908" i="2"/>
  <c r="A1909" i="2"/>
  <c r="A1910" i="2"/>
  <c r="A1911" i="2"/>
  <c r="A1912" i="2"/>
  <c r="A1913" i="2"/>
  <c r="A1914" i="2"/>
  <c r="A1915" i="2"/>
  <c r="A1916" i="2"/>
  <c r="A1917" i="2"/>
  <c r="A1918" i="2"/>
  <c r="A1919" i="2"/>
  <c r="A1920" i="2"/>
  <c r="A1921" i="2"/>
  <c r="A1922" i="2"/>
  <c r="A1923" i="2"/>
  <c r="A1924" i="2"/>
  <c r="A1925" i="2"/>
  <c r="A1926" i="2"/>
  <c r="A1927" i="2"/>
  <c r="A1928" i="2"/>
  <c r="A1929" i="2"/>
  <c r="A1930" i="2"/>
  <c r="A1931" i="2"/>
  <c r="A1932" i="2"/>
  <c r="A1933" i="2"/>
  <c r="A1934" i="2"/>
  <c r="A1935" i="2"/>
  <c r="A1936" i="2"/>
  <c r="A1937" i="2"/>
  <c r="A1938" i="2"/>
  <c r="A1939" i="2"/>
  <c r="A1940" i="2"/>
  <c r="A1941" i="2"/>
  <c r="A1942" i="2"/>
  <c r="A1943" i="2"/>
  <c r="A1944" i="2"/>
  <c r="A1945" i="2"/>
  <c r="A1946" i="2"/>
  <c r="A1947" i="2"/>
  <c r="A1948" i="2"/>
  <c r="A1949" i="2"/>
  <c r="A1950" i="2"/>
  <c r="A1951" i="2"/>
  <c r="A1952" i="2"/>
  <c r="A1953" i="2"/>
  <c r="A1954" i="2"/>
  <c r="A1955" i="2"/>
  <c r="A1956" i="2"/>
  <c r="A1957" i="2"/>
  <c r="A1958" i="2"/>
  <c r="A1959" i="2"/>
  <c r="A1960" i="2"/>
  <c r="A1961" i="2"/>
  <c r="A1962" i="2"/>
  <c r="A1963" i="2"/>
  <c r="A1964" i="2"/>
  <c r="A1965" i="2"/>
  <c r="A1966" i="2"/>
  <c r="A1967" i="2"/>
  <c r="A1968" i="2"/>
  <c r="A1969" i="2"/>
  <c r="A1970" i="2"/>
  <c r="A1971" i="2"/>
  <c r="A1972" i="2"/>
  <c r="A1973" i="2"/>
  <c r="A1974" i="2"/>
  <c r="A1975" i="2"/>
  <c r="A1976" i="2"/>
  <c r="A1977" i="2"/>
  <c r="A1978" i="2"/>
  <c r="A1979" i="2"/>
  <c r="A1980" i="2"/>
  <c r="A1981" i="2"/>
  <c r="A1982" i="2"/>
  <c r="A1983" i="2"/>
  <c r="A1984" i="2"/>
  <c r="A1985" i="2"/>
  <c r="A1986" i="2"/>
  <c r="A1987" i="2"/>
  <c r="A1988" i="2"/>
  <c r="A1989" i="2"/>
  <c r="A1990" i="2"/>
  <c r="A1991" i="2"/>
  <c r="A1992" i="2"/>
  <c r="A1993" i="2"/>
  <c r="A1994" i="2"/>
  <c r="A1995" i="2"/>
  <c r="A1996" i="2"/>
  <c r="A1997" i="2"/>
  <c r="A1998" i="2"/>
  <c r="A1999" i="2"/>
  <c r="A2000" i="2"/>
  <c r="A2001" i="2"/>
  <c r="A2002" i="2"/>
  <c r="A2003" i="2"/>
  <c r="A2004" i="2"/>
  <c r="A2005" i="2"/>
  <c r="A2006" i="2"/>
  <c r="A2007" i="2"/>
  <c r="A2008" i="2"/>
  <c r="A2009" i="2"/>
  <c r="A2010" i="2"/>
  <c r="A2011" i="2"/>
  <c r="A2012" i="2"/>
  <c r="A2013" i="2"/>
  <c r="A2014" i="2"/>
  <c r="A2015" i="2"/>
  <c r="A2016" i="2"/>
  <c r="A2017" i="2"/>
  <c r="A2018" i="2"/>
  <c r="A2019" i="2"/>
  <c r="A2020" i="2"/>
  <c r="A2021" i="2"/>
  <c r="A2022" i="2"/>
  <c r="A2023" i="2"/>
  <c r="A2024" i="2"/>
  <c r="A2025" i="2"/>
  <c r="A2026" i="2"/>
  <c r="A2027" i="2"/>
  <c r="A2028" i="2"/>
  <c r="A2029" i="2"/>
  <c r="A2030" i="2"/>
  <c r="A2031" i="2"/>
  <c r="A2032" i="2"/>
  <c r="A2033" i="2"/>
  <c r="A2034" i="2"/>
  <c r="A2035" i="2"/>
  <c r="A2036" i="2"/>
  <c r="A2037" i="2"/>
  <c r="A2038" i="2"/>
  <c r="A2039" i="2"/>
  <c r="A2040" i="2"/>
  <c r="A2041" i="2"/>
  <c r="A2042" i="2"/>
  <c r="A2043" i="2"/>
  <c r="A2044" i="2"/>
  <c r="A2045" i="2"/>
  <c r="A2046" i="2"/>
  <c r="A2047" i="2"/>
  <c r="A2048" i="2"/>
  <c r="A2049" i="2"/>
  <c r="A2050" i="2"/>
  <c r="A2051" i="2"/>
  <c r="A2052" i="2"/>
  <c r="A2053" i="2"/>
  <c r="A2054" i="2"/>
  <c r="A2055" i="2"/>
  <c r="A2056" i="2"/>
  <c r="A2057" i="2"/>
  <c r="A2058" i="2"/>
  <c r="A2059" i="2"/>
  <c r="A2060" i="2"/>
  <c r="A2061" i="2"/>
  <c r="A2062" i="2"/>
  <c r="A2063" i="2"/>
  <c r="A2064" i="2"/>
  <c r="A2065" i="2"/>
  <c r="A2066" i="2"/>
  <c r="A2067" i="2"/>
  <c r="A2068" i="2"/>
  <c r="A2069" i="2"/>
  <c r="A2070" i="2"/>
  <c r="A2071" i="2"/>
  <c r="A2072" i="2"/>
  <c r="A2073" i="2"/>
  <c r="A2074" i="2"/>
  <c r="A2075" i="2"/>
  <c r="A2076" i="2"/>
  <c r="A2077" i="2"/>
  <c r="A2078" i="2"/>
  <c r="A2079" i="2"/>
  <c r="A2080" i="2"/>
  <c r="A2081" i="2"/>
  <c r="A2082" i="2"/>
  <c r="A2083" i="2"/>
  <c r="A2084" i="2"/>
  <c r="A2085" i="2"/>
  <c r="A2086" i="2"/>
  <c r="A2087" i="2"/>
  <c r="A2088" i="2"/>
  <c r="A2089" i="2"/>
  <c r="A2090" i="2"/>
  <c r="A2091" i="2"/>
  <c r="A2092" i="2"/>
  <c r="A2093" i="2"/>
  <c r="A2094" i="2"/>
  <c r="A2095" i="2"/>
  <c r="A2096" i="2"/>
  <c r="A2097" i="2"/>
  <c r="A2098" i="2"/>
  <c r="A2099" i="2"/>
  <c r="A2100" i="2"/>
  <c r="A2101" i="2"/>
  <c r="A2102" i="2"/>
  <c r="A2103" i="2"/>
  <c r="A2104" i="2"/>
  <c r="A2105" i="2"/>
  <c r="A2106" i="2"/>
  <c r="A2107" i="2"/>
  <c r="A2108" i="2"/>
  <c r="A2109" i="2"/>
  <c r="A2110" i="2"/>
  <c r="A2111" i="2"/>
  <c r="A2112" i="2"/>
  <c r="A2113" i="2"/>
  <c r="A2114" i="2"/>
  <c r="A2115" i="2"/>
  <c r="A2116" i="2"/>
  <c r="A2117" i="2"/>
  <c r="A2118" i="2"/>
  <c r="A2119" i="2"/>
  <c r="A2120" i="2"/>
  <c r="A2121" i="2"/>
  <c r="A2122" i="2"/>
  <c r="A2123" i="2"/>
  <c r="A2124" i="2"/>
  <c r="A2125" i="2"/>
  <c r="A2126" i="2"/>
  <c r="A2127" i="2"/>
  <c r="A2128" i="2"/>
  <c r="A2129" i="2"/>
  <c r="A2130" i="2"/>
  <c r="A2131" i="2"/>
  <c r="A2132" i="2"/>
  <c r="A2133" i="2"/>
  <c r="A2134" i="2"/>
  <c r="A2135" i="2"/>
  <c r="A2136" i="2"/>
  <c r="A2137" i="2"/>
  <c r="A2138" i="2"/>
  <c r="A2139" i="2"/>
  <c r="A2140" i="2"/>
  <c r="A2141" i="2"/>
  <c r="A2142" i="2"/>
  <c r="A2143" i="2"/>
  <c r="A2144" i="2"/>
  <c r="A2145" i="2"/>
  <c r="A2146" i="2"/>
  <c r="A2147" i="2"/>
  <c r="A2148" i="2"/>
  <c r="A2149" i="2"/>
  <c r="A2150" i="2"/>
  <c r="A2151" i="2"/>
  <c r="A2152" i="2"/>
  <c r="A2153" i="2"/>
  <c r="A2154" i="2"/>
  <c r="A2155" i="2"/>
  <c r="A2156" i="2"/>
  <c r="A2157" i="2"/>
  <c r="A2158" i="2"/>
  <c r="A2159" i="2"/>
  <c r="A2160" i="2"/>
  <c r="A2161" i="2"/>
  <c r="A2162" i="2"/>
  <c r="A2163" i="2"/>
  <c r="A2164" i="2"/>
  <c r="A2165" i="2"/>
  <c r="A2166" i="2"/>
  <c r="A2167" i="2"/>
  <c r="A2168" i="2"/>
  <c r="A2169" i="2"/>
  <c r="A2170" i="2"/>
  <c r="A2171" i="2"/>
  <c r="A2172" i="2"/>
  <c r="A2173" i="2"/>
  <c r="A2174" i="2"/>
  <c r="A2175" i="2"/>
  <c r="A2176" i="2"/>
  <c r="A2177" i="2"/>
  <c r="A2178" i="2"/>
  <c r="A2179" i="2"/>
  <c r="A2180" i="2"/>
  <c r="A2181" i="2"/>
  <c r="A2182" i="2"/>
  <c r="A2183" i="2"/>
  <c r="A2184" i="2"/>
  <c r="A2185" i="2"/>
  <c r="A2186" i="2"/>
  <c r="A2187" i="2"/>
  <c r="A2188" i="2"/>
  <c r="A2189" i="2"/>
  <c r="A2190" i="2"/>
  <c r="A2191" i="2"/>
  <c r="A2192" i="2"/>
  <c r="A2193" i="2"/>
  <c r="A2194" i="2"/>
  <c r="A2195" i="2"/>
  <c r="A2196" i="2"/>
  <c r="A2197" i="2"/>
  <c r="A2198" i="2"/>
  <c r="A2199" i="2"/>
  <c r="A2200" i="2"/>
  <c r="A2201" i="2"/>
  <c r="A2202" i="2"/>
  <c r="A2203" i="2"/>
  <c r="A2204" i="2"/>
  <c r="A2205" i="2"/>
  <c r="A2206" i="2"/>
  <c r="A2207" i="2"/>
  <c r="A2208" i="2"/>
  <c r="A2209" i="2"/>
  <c r="A2210" i="2"/>
  <c r="A2211" i="2"/>
  <c r="A2212" i="2"/>
  <c r="A2213" i="2"/>
  <c r="A2214" i="2"/>
  <c r="A2215" i="2"/>
  <c r="A2216" i="2"/>
  <c r="A2217" i="2"/>
  <c r="A2218" i="2"/>
  <c r="A2219" i="2"/>
  <c r="A2220" i="2"/>
  <c r="A2221" i="2"/>
  <c r="A2222" i="2"/>
  <c r="A2223" i="2"/>
  <c r="A2224" i="2"/>
  <c r="A2225" i="2"/>
  <c r="A2226" i="2"/>
  <c r="A2227" i="2"/>
  <c r="A2228" i="2"/>
  <c r="A2229" i="2"/>
  <c r="A2230" i="2"/>
  <c r="A2231" i="2"/>
  <c r="A2232" i="2"/>
  <c r="A2233" i="2"/>
  <c r="A2234" i="2"/>
  <c r="A2235" i="2"/>
  <c r="A2236" i="2"/>
  <c r="A2237" i="2"/>
  <c r="A2238" i="2"/>
  <c r="A2239" i="2"/>
  <c r="A2240" i="2"/>
  <c r="A2241" i="2"/>
  <c r="A2242" i="2"/>
  <c r="A2243" i="2"/>
  <c r="A2244" i="2"/>
  <c r="A2245" i="2"/>
  <c r="A2246" i="2"/>
  <c r="A2247" i="2"/>
  <c r="A2248" i="2"/>
  <c r="A2249" i="2"/>
  <c r="A2250" i="2"/>
  <c r="A2251" i="2"/>
  <c r="A2252" i="2"/>
  <c r="A2253" i="2"/>
  <c r="A2254" i="2"/>
  <c r="A2255" i="2"/>
  <c r="A2256" i="2"/>
  <c r="A2257" i="2"/>
  <c r="A2258" i="2"/>
  <c r="A2259" i="2"/>
  <c r="A2260" i="2"/>
  <c r="A2261" i="2"/>
  <c r="A2262" i="2"/>
  <c r="A2263" i="2"/>
  <c r="A2264" i="2"/>
  <c r="A2265" i="2"/>
  <c r="A2266" i="2"/>
  <c r="A2267" i="2"/>
  <c r="A2268" i="2"/>
  <c r="A2269" i="2"/>
  <c r="A2270" i="2"/>
  <c r="A2271" i="2"/>
  <c r="A2272" i="2"/>
  <c r="A2273" i="2"/>
  <c r="A2274" i="2"/>
  <c r="A2275" i="2"/>
  <c r="A2276" i="2"/>
  <c r="A2277" i="2"/>
  <c r="A2278" i="2"/>
  <c r="A2279" i="2"/>
  <c r="A2280" i="2"/>
  <c r="A2281" i="2"/>
  <c r="A2282" i="2"/>
  <c r="A2283" i="2"/>
  <c r="A2284" i="2"/>
  <c r="A2285" i="2"/>
  <c r="A2286" i="2"/>
  <c r="A2287" i="2"/>
  <c r="A2288" i="2"/>
  <c r="A2289" i="2"/>
  <c r="A2290" i="2"/>
  <c r="A2291" i="2"/>
  <c r="A2292" i="2"/>
  <c r="A2293" i="2"/>
  <c r="A2294" i="2"/>
  <c r="A2295" i="2"/>
  <c r="A2296" i="2"/>
  <c r="A2297" i="2"/>
  <c r="A2298" i="2"/>
  <c r="A2299" i="2"/>
  <c r="A2300" i="2"/>
  <c r="A2301" i="2"/>
  <c r="A2302" i="2"/>
  <c r="A2303" i="2"/>
  <c r="A2304" i="2"/>
  <c r="A2305" i="2"/>
  <c r="A2306" i="2"/>
  <c r="A2307" i="2"/>
  <c r="A2308" i="2"/>
  <c r="A2309" i="2"/>
  <c r="A2310" i="2"/>
  <c r="A2311" i="2"/>
  <c r="A2312" i="2"/>
  <c r="A2313" i="2"/>
  <c r="A2314" i="2"/>
  <c r="A2315" i="2"/>
  <c r="A2316" i="2"/>
  <c r="A2317" i="2"/>
  <c r="A2318" i="2"/>
  <c r="A2319" i="2"/>
  <c r="A2320" i="2"/>
  <c r="A2321" i="2"/>
  <c r="A2322" i="2"/>
  <c r="A2323" i="2"/>
  <c r="A2324" i="2"/>
  <c r="A2325" i="2"/>
  <c r="A2326" i="2"/>
  <c r="A2327" i="2"/>
  <c r="A2328" i="2"/>
  <c r="A2329" i="2"/>
  <c r="A2330" i="2"/>
  <c r="A2331" i="2"/>
  <c r="A2332" i="2"/>
  <c r="A2333" i="2"/>
  <c r="A2334" i="2"/>
  <c r="A2335" i="2"/>
  <c r="A2336" i="2"/>
  <c r="A2337" i="2"/>
  <c r="A2338" i="2"/>
  <c r="A2339" i="2"/>
  <c r="A2340" i="2"/>
  <c r="A2341" i="2"/>
  <c r="A2342" i="2"/>
  <c r="A2343" i="2"/>
  <c r="A2344" i="2"/>
  <c r="A2345" i="2"/>
  <c r="A2346" i="2"/>
  <c r="A2347" i="2"/>
  <c r="A2348" i="2"/>
  <c r="A2349" i="2"/>
  <c r="A2350" i="2"/>
  <c r="A2351" i="2"/>
  <c r="A2352" i="2"/>
  <c r="A2353" i="2"/>
  <c r="A2354" i="2"/>
  <c r="A2355" i="2"/>
  <c r="A2356" i="2"/>
  <c r="A2357" i="2"/>
  <c r="A2358" i="2"/>
  <c r="A2359" i="2"/>
  <c r="A2360" i="2"/>
  <c r="A2361" i="2"/>
  <c r="A2362" i="2"/>
  <c r="A2363" i="2"/>
  <c r="A2364" i="2"/>
  <c r="A2365" i="2"/>
  <c r="A2366" i="2"/>
  <c r="A2367" i="2"/>
  <c r="A2368" i="2"/>
  <c r="A2369" i="2"/>
  <c r="A2370" i="2"/>
  <c r="A2371" i="2"/>
  <c r="A2372" i="2"/>
  <c r="A2373" i="2"/>
  <c r="A2374" i="2"/>
  <c r="A2375" i="2"/>
  <c r="A2376" i="2"/>
  <c r="A2377" i="2"/>
  <c r="A2378" i="2"/>
  <c r="A2379" i="2"/>
  <c r="A2380" i="2"/>
  <c r="A2381" i="2"/>
  <c r="A2382" i="2"/>
  <c r="A2383" i="2"/>
  <c r="A2384" i="2"/>
  <c r="A2385" i="2"/>
  <c r="A2386" i="2"/>
  <c r="A2387" i="2"/>
  <c r="A2388" i="2"/>
  <c r="A2389" i="2"/>
  <c r="A2390" i="2"/>
  <c r="A2391" i="2"/>
  <c r="A2392" i="2"/>
  <c r="A2393" i="2"/>
  <c r="A2394" i="2"/>
  <c r="A2395" i="2"/>
  <c r="A2396" i="2"/>
  <c r="A2397" i="2"/>
  <c r="A2398" i="2"/>
  <c r="A2399" i="2"/>
  <c r="A2400" i="2"/>
  <c r="A2401" i="2"/>
  <c r="A2402" i="2"/>
  <c r="A2403" i="2"/>
  <c r="A2404" i="2"/>
  <c r="A2405" i="2"/>
  <c r="A2406" i="2"/>
  <c r="A2407" i="2"/>
  <c r="A2408" i="2"/>
  <c r="A2409" i="2"/>
  <c r="A2410" i="2"/>
  <c r="A2411" i="2"/>
  <c r="A2412" i="2"/>
  <c r="A2413" i="2"/>
  <c r="A2414" i="2"/>
  <c r="A2415" i="2"/>
  <c r="A2416" i="2"/>
  <c r="A2417" i="2"/>
  <c r="A2418" i="2"/>
  <c r="A2419" i="2"/>
  <c r="A2420" i="2"/>
  <c r="A2421" i="2"/>
  <c r="A2422" i="2"/>
  <c r="A2423" i="2"/>
  <c r="A2424" i="2"/>
  <c r="A2425" i="2"/>
  <c r="A2426" i="2"/>
  <c r="A2427" i="2"/>
  <c r="A2428" i="2"/>
  <c r="A2429" i="2"/>
  <c r="A2430" i="2"/>
  <c r="A2431" i="2"/>
  <c r="A2432" i="2"/>
  <c r="A2433" i="2"/>
  <c r="A2434" i="2"/>
  <c r="A2435" i="2"/>
  <c r="A2436" i="2"/>
  <c r="A2437" i="2"/>
  <c r="A2438" i="2"/>
  <c r="A2439" i="2"/>
  <c r="A2440" i="2"/>
  <c r="A2441" i="2"/>
  <c r="A2442" i="2"/>
  <c r="A2443" i="2"/>
  <c r="A2444" i="2"/>
  <c r="A2445" i="2"/>
  <c r="A2446" i="2"/>
  <c r="A2447" i="2"/>
  <c r="A2448" i="2"/>
  <c r="A2449" i="2"/>
  <c r="A2450" i="2"/>
  <c r="A2451" i="2"/>
  <c r="A2452" i="2"/>
  <c r="A2453" i="2"/>
  <c r="A2454" i="2"/>
  <c r="A2455" i="2"/>
  <c r="A2456" i="2"/>
  <c r="A2457" i="2"/>
  <c r="A2458" i="2"/>
  <c r="A2459" i="2"/>
  <c r="A2460" i="2"/>
  <c r="A2461" i="2"/>
  <c r="A2462" i="2"/>
  <c r="A2463" i="2"/>
  <c r="A2464" i="2"/>
  <c r="A2465" i="2"/>
  <c r="A2466" i="2"/>
  <c r="A2467" i="2"/>
  <c r="A2468" i="2"/>
  <c r="A2469" i="2"/>
  <c r="A2470" i="2"/>
  <c r="A2471" i="2"/>
  <c r="A2472" i="2"/>
  <c r="A2473" i="2"/>
  <c r="A2474" i="2"/>
  <c r="A2475" i="2"/>
  <c r="A2476" i="2"/>
  <c r="A2477" i="2"/>
  <c r="A2478" i="2"/>
  <c r="A2479" i="2"/>
  <c r="A2480" i="2"/>
  <c r="A2481" i="2"/>
  <c r="A2482" i="2"/>
  <c r="A2483" i="2"/>
  <c r="A2484" i="2"/>
  <c r="A2485" i="2"/>
  <c r="A2486" i="2"/>
  <c r="A2487" i="2"/>
  <c r="A2488" i="2"/>
  <c r="A2489" i="2"/>
  <c r="A2490" i="2"/>
  <c r="A2491" i="2"/>
  <c r="A2492" i="2"/>
  <c r="A2493" i="2"/>
  <c r="A2494" i="2"/>
  <c r="A2495" i="2"/>
  <c r="A2496" i="2"/>
  <c r="A2497" i="2"/>
  <c r="A2498" i="2"/>
  <c r="A2499" i="2"/>
  <c r="A2500" i="2"/>
  <c r="A2501" i="2"/>
  <c r="A2502" i="2"/>
  <c r="A2503" i="2"/>
  <c r="A2504" i="2"/>
  <c r="A2505" i="2"/>
  <c r="A2506" i="2"/>
  <c r="A2507" i="2"/>
  <c r="A2508" i="2"/>
  <c r="A2509" i="2"/>
  <c r="A2510" i="2"/>
  <c r="A2511" i="2"/>
  <c r="A2512" i="2"/>
  <c r="A2513" i="2"/>
  <c r="A2514" i="2"/>
  <c r="A2515" i="2"/>
  <c r="A2516" i="2"/>
  <c r="A2517" i="2"/>
  <c r="A2518" i="2"/>
  <c r="A2519" i="2"/>
  <c r="A2520" i="2"/>
  <c r="A2521" i="2"/>
  <c r="A2522" i="2"/>
  <c r="A2523" i="2"/>
  <c r="A2524" i="2"/>
  <c r="A2525" i="2"/>
  <c r="A2526" i="2"/>
  <c r="A2527" i="2"/>
  <c r="A2528" i="2"/>
  <c r="A2529" i="2"/>
  <c r="A2530" i="2"/>
  <c r="A2531" i="2"/>
  <c r="A2532" i="2"/>
  <c r="A2533" i="2"/>
  <c r="A2534" i="2"/>
  <c r="A2535" i="2"/>
  <c r="A2536" i="2"/>
  <c r="A2537" i="2"/>
  <c r="A2538" i="2"/>
  <c r="A2539" i="2"/>
  <c r="A2540" i="2"/>
  <c r="A2541" i="2"/>
  <c r="A2542" i="2"/>
  <c r="A2543" i="2"/>
  <c r="A2544" i="2"/>
  <c r="A2545" i="2"/>
  <c r="A2546" i="2"/>
  <c r="A2547" i="2"/>
  <c r="A2548" i="2"/>
  <c r="A2549" i="2"/>
  <c r="A2550" i="2"/>
  <c r="A2551" i="2"/>
  <c r="A2552" i="2"/>
  <c r="A2553" i="2"/>
  <c r="A2554" i="2"/>
  <c r="A2555" i="2"/>
  <c r="A2556" i="2"/>
  <c r="A2557" i="2"/>
  <c r="A2558" i="2"/>
  <c r="A2559" i="2"/>
  <c r="A2560" i="2"/>
  <c r="A2561" i="2"/>
  <c r="A2562" i="2"/>
  <c r="A2563" i="2"/>
  <c r="A2564" i="2"/>
  <c r="A2565" i="2"/>
  <c r="A2566" i="2"/>
  <c r="A2567" i="2"/>
  <c r="A2568" i="2"/>
  <c r="A2569" i="2"/>
  <c r="A2570" i="2"/>
  <c r="A2571" i="2"/>
  <c r="A2572" i="2"/>
  <c r="A2573" i="2"/>
  <c r="A2574" i="2"/>
  <c r="A2575" i="2"/>
  <c r="A2576" i="2"/>
  <c r="A2577" i="2"/>
  <c r="A2578" i="2"/>
  <c r="A2579" i="2"/>
  <c r="A2580" i="2"/>
  <c r="A2581" i="2"/>
  <c r="A2582" i="2"/>
  <c r="A2583" i="2"/>
  <c r="A2584" i="2"/>
  <c r="A2585" i="2"/>
  <c r="A2586" i="2"/>
  <c r="A2587" i="2"/>
  <c r="A2588" i="2"/>
  <c r="A2589" i="2"/>
  <c r="A2590" i="2"/>
  <c r="A2591" i="2"/>
  <c r="A2592" i="2"/>
  <c r="A2593" i="2"/>
  <c r="A2594" i="2"/>
  <c r="A2595" i="2"/>
  <c r="A2596" i="2"/>
  <c r="A2597" i="2"/>
  <c r="A2598" i="2"/>
  <c r="A2599" i="2"/>
  <c r="A2600" i="2"/>
  <c r="A2601" i="2"/>
  <c r="A2602" i="2"/>
  <c r="A2603" i="2"/>
  <c r="A2604" i="2"/>
  <c r="A2605" i="2"/>
  <c r="A2606" i="2"/>
  <c r="A2607" i="2"/>
  <c r="A2608" i="2"/>
  <c r="A2609" i="2"/>
  <c r="A2610" i="2"/>
  <c r="A2611" i="2"/>
  <c r="A2612" i="2"/>
  <c r="A2613" i="2"/>
  <c r="A2614" i="2"/>
  <c r="A2615" i="2"/>
  <c r="A2616" i="2"/>
  <c r="A2617" i="2"/>
  <c r="A2618" i="2"/>
  <c r="A2619" i="2"/>
  <c r="A2620" i="2"/>
  <c r="A2621" i="2"/>
  <c r="A2622" i="2"/>
  <c r="A2623" i="2"/>
  <c r="A2624" i="2"/>
  <c r="A2625" i="2"/>
  <c r="A2626" i="2"/>
  <c r="A2627" i="2"/>
  <c r="A2628" i="2"/>
  <c r="A2629" i="2"/>
  <c r="A2630" i="2"/>
  <c r="A2631" i="2"/>
  <c r="A2632" i="2"/>
  <c r="A2633" i="2"/>
  <c r="A2634" i="2"/>
  <c r="A2635" i="2"/>
  <c r="A2636" i="2"/>
  <c r="A2637" i="2"/>
  <c r="A2638" i="2"/>
  <c r="A2639" i="2"/>
  <c r="A2640" i="2"/>
  <c r="A2641" i="2"/>
  <c r="A2642" i="2"/>
  <c r="A2643" i="2"/>
  <c r="A2644" i="2"/>
  <c r="A2645" i="2"/>
  <c r="A2646" i="2"/>
  <c r="A2647" i="2"/>
  <c r="A2648" i="2"/>
  <c r="A2649" i="2"/>
  <c r="A2650" i="2"/>
  <c r="A2651" i="2"/>
  <c r="A2652" i="2"/>
  <c r="A2653" i="2"/>
  <c r="A2654" i="2"/>
  <c r="A2655" i="2"/>
  <c r="A2656" i="2"/>
  <c r="A2657" i="2"/>
  <c r="A2658" i="2"/>
  <c r="A2659" i="2"/>
  <c r="A2660" i="2"/>
  <c r="A2661" i="2"/>
  <c r="A2662" i="2"/>
  <c r="A2663" i="2"/>
  <c r="A2664" i="2"/>
  <c r="A2665" i="2"/>
  <c r="A2666" i="2"/>
  <c r="A2667" i="2"/>
  <c r="A2668" i="2"/>
  <c r="A2669" i="2"/>
  <c r="A2670" i="2"/>
  <c r="A2671" i="2"/>
  <c r="A2672" i="2"/>
  <c r="A2673" i="2"/>
  <c r="A2674" i="2"/>
  <c r="A2675" i="2"/>
  <c r="A2676" i="2"/>
  <c r="A2677" i="2"/>
  <c r="A2678" i="2"/>
  <c r="A2679" i="2"/>
  <c r="A2680" i="2"/>
  <c r="A2681" i="2"/>
  <c r="A2682" i="2"/>
  <c r="A2683" i="2"/>
  <c r="A2684" i="2"/>
  <c r="A2685" i="2"/>
  <c r="A2686" i="2"/>
  <c r="A2687" i="2"/>
  <c r="A2688" i="2"/>
  <c r="A2689" i="2"/>
  <c r="A2690" i="2"/>
  <c r="A2691" i="2"/>
  <c r="A2692" i="2"/>
  <c r="A2693" i="2"/>
  <c r="A2694" i="2"/>
  <c r="A2695" i="2"/>
  <c r="A2696" i="2"/>
  <c r="A2697" i="2"/>
  <c r="A2698" i="2"/>
  <c r="A2699" i="2"/>
  <c r="A2700" i="2"/>
  <c r="A2701" i="2"/>
  <c r="A2702" i="2"/>
  <c r="A2703" i="2"/>
  <c r="A2704" i="2"/>
  <c r="A2705" i="2"/>
  <c r="A2706" i="2"/>
  <c r="A2707" i="2"/>
  <c r="A2708" i="2"/>
  <c r="A2709" i="2"/>
  <c r="A2710" i="2"/>
  <c r="A2711" i="2"/>
  <c r="A2712" i="2"/>
  <c r="A2713" i="2"/>
  <c r="A2714" i="2"/>
  <c r="A2715" i="2"/>
  <c r="A2716" i="2"/>
  <c r="A2717" i="2"/>
  <c r="A2718" i="2"/>
  <c r="A2719" i="2"/>
  <c r="A2720" i="2"/>
  <c r="A2721" i="2"/>
  <c r="A2722" i="2"/>
  <c r="A2723" i="2"/>
  <c r="A2724" i="2"/>
  <c r="A2725" i="2"/>
  <c r="A2726" i="2"/>
  <c r="A2727" i="2"/>
  <c r="A2728" i="2"/>
  <c r="A2729" i="2"/>
  <c r="A2730" i="2"/>
  <c r="A2731" i="2"/>
  <c r="A2732" i="2"/>
  <c r="A2733" i="2"/>
  <c r="A2734" i="2"/>
  <c r="A2735" i="2"/>
  <c r="A2736" i="2"/>
  <c r="A2737" i="2"/>
  <c r="A2738" i="2"/>
  <c r="A2739" i="2"/>
  <c r="A2740" i="2"/>
  <c r="A2741" i="2"/>
  <c r="A2742" i="2"/>
  <c r="A2743" i="2"/>
  <c r="A2744" i="2"/>
  <c r="A2745" i="2"/>
  <c r="A2746" i="2"/>
  <c r="A2747" i="2"/>
  <c r="A2748" i="2"/>
  <c r="A2749" i="2"/>
  <c r="A2750" i="2"/>
  <c r="A2751" i="2"/>
  <c r="A2752" i="2"/>
  <c r="A2753" i="2"/>
  <c r="A2754" i="2"/>
  <c r="A2755" i="2"/>
  <c r="A2756" i="2"/>
  <c r="A2757" i="2"/>
  <c r="A2758" i="2"/>
  <c r="A2759" i="2"/>
  <c r="A2760" i="2"/>
  <c r="A2761" i="2"/>
  <c r="A2762" i="2"/>
  <c r="A2763" i="2"/>
  <c r="A2764" i="2"/>
  <c r="A2765" i="2"/>
  <c r="A2766" i="2"/>
  <c r="A2767" i="2"/>
  <c r="A2768" i="2"/>
  <c r="A2769" i="2"/>
  <c r="A2770" i="2"/>
  <c r="A2771" i="2"/>
  <c r="A2772" i="2"/>
  <c r="A2773" i="2"/>
  <c r="A2774" i="2"/>
  <c r="A2775" i="2"/>
  <c r="A2776" i="2"/>
  <c r="A2777" i="2"/>
  <c r="A2778" i="2"/>
  <c r="A2779" i="2"/>
  <c r="A2780" i="2"/>
  <c r="A2781" i="2"/>
  <c r="A2782" i="2"/>
  <c r="A2783" i="2"/>
  <c r="A2784" i="2"/>
  <c r="A2785" i="2"/>
  <c r="A2786" i="2"/>
  <c r="A2787" i="2"/>
  <c r="A2788" i="2"/>
  <c r="A2789" i="2"/>
  <c r="A2790" i="2"/>
  <c r="A2791" i="2"/>
  <c r="A2792" i="2"/>
  <c r="A2793" i="2"/>
  <c r="A2794" i="2"/>
  <c r="A2795" i="2"/>
  <c r="A2796" i="2"/>
  <c r="A2797" i="2"/>
  <c r="A2798" i="2"/>
  <c r="A2799" i="2"/>
  <c r="A2800" i="2"/>
  <c r="A2801" i="2"/>
  <c r="A2802" i="2"/>
  <c r="A2803" i="2"/>
  <c r="A2804" i="2"/>
  <c r="A2805" i="2"/>
  <c r="A2806" i="2"/>
  <c r="A2807" i="2"/>
  <c r="A2808" i="2"/>
  <c r="A2809" i="2"/>
  <c r="A2810" i="2"/>
  <c r="A2811" i="2"/>
  <c r="A2812" i="2"/>
  <c r="A2813" i="2"/>
  <c r="A2814" i="2"/>
  <c r="A2815" i="2"/>
  <c r="A2816" i="2"/>
  <c r="A2817" i="2"/>
  <c r="A2818" i="2"/>
  <c r="A2819" i="2"/>
  <c r="A2820" i="2"/>
  <c r="A2821" i="2"/>
  <c r="A2822" i="2"/>
  <c r="A2823" i="2"/>
  <c r="A2824" i="2"/>
  <c r="A2825" i="2"/>
  <c r="A2826" i="2"/>
  <c r="A2827" i="2"/>
  <c r="A2828" i="2"/>
  <c r="A2829" i="2"/>
  <c r="A2830" i="2"/>
  <c r="A2831" i="2"/>
  <c r="A2832" i="2"/>
  <c r="A2833" i="2"/>
  <c r="A2834" i="2"/>
  <c r="A2835" i="2"/>
  <c r="A2836" i="2"/>
  <c r="A2837" i="2"/>
  <c r="A2838" i="2"/>
  <c r="A2839" i="2"/>
  <c r="A2840" i="2"/>
  <c r="A2841" i="2"/>
  <c r="A2842" i="2"/>
  <c r="A2843" i="2"/>
  <c r="A2844" i="2"/>
  <c r="A2845" i="2"/>
  <c r="A2846" i="2"/>
  <c r="A2847" i="2"/>
  <c r="A2848" i="2"/>
  <c r="A2849" i="2"/>
  <c r="A2850" i="2"/>
  <c r="A2851" i="2"/>
  <c r="A2852" i="2"/>
  <c r="A2853" i="2"/>
  <c r="A2854" i="2"/>
  <c r="A2855" i="2"/>
  <c r="A2856" i="2"/>
  <c r="A2857" i="2"/>
  <c r="A2858" i="2"/>
  <c r="A2859" i="2"/>
  <c r="A2860" i="2"/>
  <c r="A2861" i="2"/>
  <c r="A2862" i="2"/>
  <c r="A2863" i="2"/>
  <c r="A2864" i="2"/>
  <c r="A2865" i="2"/>
  <c r="A2866" i="2"/>
  <c r="A2867" i="2"/>
  <c r="A2868" i="2"/>
  <c r="A2869" i="2"/>
  <c r="A2870" i="2"/>
  <c r="A2871" i="2"/>
  <c r="A2872" i="2"/>
  <c r="A2873" i="2"/>
  <c r="A2874" i="2"/>
  <c r="A2875" i="2"/>
  <c r="A2876" i="2"/>
  <c r="A2877" i="2"/>
  <c r="A2878" i="2"/>
  <c r="A2879" i="2"/>
  <c r="A2880" i="2"/>
  <c r="A2881" i="2"/>
  <c r="A2882" i="2"/>
  <c r="A2883" i="2"/>
  <c r="A2884" i="2"/>
  <c r="A2885" i="2"/>
  <c r="A2886" i="2"/>
  <c r="A2887" i="2"/>
  <c r="A2888" i="2"/>
  <c r="A2889" i="2"/>
  <c r="A2890" i="2"/>
  <c r="A2891" i="2"/>
  <c r="A2892" i="2"/>
  <c r="A2893" i="2"/>
  <c r="A2894" i="2"/>
  <c r="A2895" i="2"/>
  <c r="A2896" i="2"/>
  <c r="A2897" i="2"/>
  <c r="A2898" i="2"/>
  <c r="A2899" i="2"/>
  <c r="A2900" i="2"/>
  <c r="A2901" i="2"/>
  <c r="A2902" i="2"/>
  <c r="A2903" i="2"/>
  <c r="A2904" i="2"/>
  <c r="A2905" i="2"/>
  <c r="A2906" i="2"/>
  <c r="A2907" i="2"/>
  <c r="A2908" i="2"/>
  <c r="A2909" i="2"/>
  <c r="A2910" i="2"/>
  <c r="A2911" i="2"/>
  <c r="A2912" i="2"/>
  <c r="A2913" i="2"/>
  <c r="A2914" i="2"/>
  <c r="A2915" i="2"/>
  <c r="A2916" i="2"/>
  <c r="A2917" i="2"/>
  <c r="A2918" i="2"/>
  <c r="A2919" i="2"/>
  <c r="A2920" i="2"/>
  <c r="A2921" i="2"/>
  <c r="A2922" i="2"/>
  <c r="A2923" i="2"/>
  <c r="A2924" i="2"/>
  <c r="A2925" i="2"/>
  <c r="A2926" i="2"/>
  <c r="A2927" i="2"/>
  <c r="A2928" i="2"/>
  <c r="A2929" i="2"/>
  <c r="A2930" i="2"/>
  <c r="A2931" i="2"/>
  <c r="A2932" i="2"/>
  <c r="A2933" i="2"/>
  <c r="A2934" i="2"/>
  <c r="A2935" i="2"/>
  <c r="A2936" i="2"/>
  <c r="A2937" i="2"/>
  <c r="A2938" i="2"/>
  <c r="A2939" i="2"/>
  <c r="A2940" i="2"/>
  <c r="A2941" i="2"/>
  <c r="A2942" i="2"/>
  <c r="A2943" i="2"/>
  <c r="A2944" i="2"/>
  <c r="A2945" i="2"/>
  <c r="A2946" i="2"/>
  <c r="A2947" i="2"/>
  <c r="A2948" i="2"/>
  <c r="A2949" i="2"/>
  <c r="A2950" i="2"/>
  <c r="A2951" i="2"/>
  <c r="A2952" i="2"/>
  <c r="A2953" i="2"/>
  <c r="A2954" i="2"/>
  <c r="A2955" i="2"/>
  <c r="A2956" i="2"/>
  <c r="A2957" i="2"/>
  <c r="A2958" i="2"/>
  <c r="A2959" i="2"/>
  <c r="A2960" i="2"/>
  <c r="A2961" i="2"/>
  <c r="A2962" i="2"/>
  <c r="A2963" i="2"/>
  <c r="A2964" i="2"/>
  <c r="A2965" i="2"/>
  <c r="A2966" i="2"/>
  <c r="A2967" i="2"/>
  <c r="A2968" i="2"/>
  <c r="A2969" i="2"/>
  <c r="A2970" i="2"/>
  <c r="A2971" i="2"/>
  <c r="A2972" i="2"/>
  <c r="A2973" i="2"/>
  <c r="A2974" i="2"/>
  <c r="A2975" i="2"/>
  <c r="A2976" i="2"/>
  <c r="A2977" i="2"/>
  <c r="A2978" i="2"/>
  <c r="A2979" i="2"/>
  <c r="A2980" i="2"/>
  <c r="A2981" i="2"/>
  <c r="A2982" i="2"/>
  <c r="A2983" i="2"/>
  <c r="A2984" i="2"/>
  <c r="A2985" i="2"/>
  <c r="A2986" i="2"/>
  <c r="A2987" i="2"/>
  <c r="A2988" i="2"/>
  <c r="A2989" i="2"/>
  <c r="A2990" i="2"/>
  <c r="A2991" i="2"/>
  <c r="A2992" i="2"/>
  <c r="A2993" i="2"/>
  <c r="A2994" i="2"/>
  <c r="A2995" i="2"/>
  <c r="A2996" i="2"/>
  <c r="A2997" i="2"/>
  <c r="A2998" i="2"/>
  <c r="A2999" i="2"/>
  <c r="A3000" i="2"/>
  <c r="A3001" i="2"/>
  <c r="A3002" i="2"/>
  <c r="A3003" i="2"/>
  <c r="A3004" i="2"/>
  <c r="A3005" i="2"/>
  <c r="A3006" i="2"/>
  <c r="A3007" i="2"/>
  <c r="A3008" i="2"/>
  <c r="A3009" i="2"/>
  <c r="A3010" i="2"/>
  <c r="A3011" i="2"/>
  <c r="A3012" i="2"/>
  <c r="A3013" i="2"/>
  <c r="A3014" i="2"/>
  <c r="A3015" i="2"/>
  <c r="A3016" i="2"/>
  <c r="A3017" i="2"/>
  <c r="A3018" i="2"/>
  <c r="A3019" i="2"/>
  <c r="A3020" i="2"/>
  <c r="A3021" i="2"/>
  <c r="A3022" i="2"/>
  <c r="A3023" i="2"/>
  <c r="A3024" i="2"/>
  <c r="A3025" i="2"/>
  <c r="A3026" i="2"/>
  <c r="A3027" i="2"/>
  <c r="A3028" i="2"/>
  <c r="A3029" i="2"/>
  <c r="A3030" i="2"/>
  <c r="A3031" i="2"/>
  <c r="A3032" i="2"/>
  <c r="A3033" i="2"/>
  <c r="A3034" i="2"/>
  <c r="A3035" i="2"/>
  <c r="A3036" i="2"/>
  <c r="A3037" i="2"/>
  <c r="A3038" i="2"/>
  <c r="A3039" i="2"/>
  <c r="A3040" i="2"/>
  <c r="A3041" i="2"/>
  <c r="A3042" i="2"/>
  <c r="A3043" i="2"/>
  <c r="A3044" i="2"/>
  <c r="A3045" i="2"/>
  <c r="A3046" i="2"/>
  <c r="A3047" i="2"/>
  <c r="A3048" i="2"/>
  <c r="A3049" i="2"/>
  <c r="A3050" i="2"/>
  <c r="A3051" i="2"/>
  <c r="A3052" i="2"/>
  <c r="A3053" i="2"/>
  <c r="A3054" i="2"/>
  <c r="A3055" i="2"/>
  <c r="A3056" i="2"/>
  <c r="A3057" i="2"/>
  <c r="A3058" i="2"/>
  <c r="A3059" i="2"/>
  <c r="A3060" i="2"/>
  <c r="A3061" i="2"/>
  <c r="A3062" i="2"/>
  <c r="A3063" i="2"/>
  <c r="A3064" i="2"/>
  <c r="A3065" i="2"/>
  <c r="A3066" i="2"/>
  <c r="A3067" i="2"/>
  <c r="A3068" i="2"/>
  <c r="A3069" i="2"/>
  <c r="A3070" i="2"/>
  <c r="A3071" i="2"/>
  <c r="A3072" i="2"/>
  <c r="A3073" i="2"/>
  <c r="A3074" i="2"/>
  <c r="A3075" i="2"/>
  <c r="A3076" i="2"/>
  <c r="A3077" i="2"/>
  <c r="A3078" i="2"/>
  <c r="A3079" i="2"/>
  <c r="A3080" i="2"/>
  <c r="A3081" i="2"/>
  <c r="A3082" i="2"/>
  <c r="A3083" i="2"/>
  <c r="A3084" i="2"/>
  <c r="A3085" i="2"/>
  <c r="A3086" i="2"/>
  <c r="A3087" i="2"/>
  <c r="A3088" i="2"/>
  <c r="A3089" i="2"/>
  <c r="A3090" i="2"/>
  <c r="A3091" i="2"/>
  <c r="A3092" i="2"/>
  <c r="A3093" i="2"/>
  <c r="A3094" i="2"/>
  <c r="A3095" i="2"/>
  <c r="A3096" i="2"/>
  <c r="A3097" i="2"/>
  <c r="A3098" i="2"/>
  <c r="A3099" i="2"/>
  <c r="A3100" i="2"/>
  <c r="A3101" i="2"/>
  <c r="A3102" i="2"/>
  <c r="A3103" i="2"/>
  <c r="A3104" i="2"/>
  <c r="A3105" i="2"/>
  <c r="A3106" i="2"/>
  <c r="A3107" i="2"/>
  <c r="A3108" i="2"/>
  <c r="A3109" i="2"/>
  <c r="A3110" i="2"/>
  <c r="A3111" i="2"/>
  <c r="A3112" i="2"/>
  <c r="A3113" i="2"/>
  <c r="A3114" i="2"/>
  <c r="A3115" i="2"/>
  <c r="A3116" i="2"/>
  <c r="A3117" i="2"/>
  <c r="A3118" i="2"/>
  <c r="A3119" i="2"/>
  <c r="A3120" i="2"/>
  <c r="A3121" i="2"/>
  <c r="A3122" i="2"/>
  <c r="A3123" i="2"/>
  <c r="A3124" i="2"/>
  <c r="A3125" i="2"/>
  <c r="A3126" i="2"/>
  <c r="A3127" i="2"/>
  <c r="A3128" i="2"/>
  <c r="A3129" i="2"/>
  <c r="A3130" i="2"/>
  <c r="A3131" i="2"/>
  <c r="A3132" i="2"/>
  <c r="A3133" i="2"/>
  <c r="A3134" i="2"/>
  <c r="A3135" i="2"/>
  <c r="A3136" i="2"/>
  <c r="A3137" i="2"/>
  <c r="A3138" i="2"/>
  <c r="A3139" i="2"/>
  <c r="A3140" i="2"/>
  <c r="A3141" i="2"/>
  <c r="A3142" i="2"/>
  <c r="A3143" i="2"/>
  <c r="A3144" i="2"/>
  <c r="A3145" i="2"/>
  <c r="A3146" i="2"/>
  <c r="A3147" i="2"/>
  <c r="A3148" i="2"/>
  <c r="A3149" i="2"/>
  <c r="A3150" i="2"/>
  <c r="A3151" i="2"/>
  <c r="A3152" i="2"/>
  <c r="A3153" i="2"/>
  <c r="A3154" i="2"/>
  <c r="A3155" i="2"/>
  <c r="A3156" i="2"/>
  <c r="A3157" i="2"/>
  <c r="A3158" i="2"/>
  <c r="A3159" i="2"/>
  <c r="A3160" i="2"/>
  <c r="A3161" i="2"/>
  <c r="A3162" i="2"/>
  <c r="A3163" i="2"/>
  <c r="A3164" i="2"/>
  <c r="A3165" i="2"/>
  <c r="A3166" i="2"/>
  <c r="A3167" i="2"/>
  <c r="A3168" i="2"/>
  <c r="A3169" i="2"/>
  <c r="A3170" i="2"/>
  <c r="A3171" i="2"/>
  <c r="A3172" i="2"/>
  <c r="A3173" i="2"/>
  <c r="A3174" i="2"/>
  <c r="A3175" i="2"/>
  <c r="A3176" i="2"/>
  <c r="A3177" i="2"/>
  <c r="A3178" i="2"/>
  <c r="A3179" i="2"/>
  <c r="A3180" i="2"/>
  <c r="A3181" i="2"/>
  <c r="A3182" i="2"/>
  <c r="A3183" i="2"/>
  <c r="A3184" i="2"/>
  <c r="A3185" i="2"/>
  <c r="A3186" i="2"/>
  <c r="A3187" i="2"/>
  <c r="A3188" i="2"/>
  <c r="A3189" i="2"/>
  <c r="A3190" i="2"/>
  <c r="A3191" i="2"/>
  <c r="A3192" i="2"/>
  <c r="A3193" i="2"/>
  <c r="A3194" i="2"/>
  <c r="A3195" i="2"/>
  <c r="A3196" i="2"/>
  <c r="A3197" i="2"/>
  <c r="A3198" i="2"/>
  <c r="A3199" i="2"/>
  <c r="A3200" i="2"/>
  <c r="A3201" i="2"/>
  <c r="A3202" i="2"/>
  <c r="A3203" i="2"/>
  <c r="A3204" i="2"/>
  <c r="A3205" i="2"/>
  <c r="A3206" i="2"/>
  <c r="A3207" i="2"/>
  <c r="A3208" i="2"/>
  <c r="A3209" i="2"/>
  <c r="A3210" i="2"/>
  <c r="A3211" i="2"/>
  <c r="A3212" i="2"/>
  <c r="A3213" i="2"/>
  <c r="A3214" i="2"/>
  <c r="A3215" i="2"/>
  <c r="A3216" i="2"/>
  <c r="A3217" i="2"/>
  <c r="A3218" i="2"/>
  <c r="A3219" i="2"/>
  <c r="A3220" i="2"/>
  <c r="A3221" i="2"/>
  <c r="A3222" i="2"/>
  <c r="A3223" i="2"/>
  <c r="A3224" i="2"/>
  <c r="A3225" i="2"/>
  <c r="A3226" i="2"/>
  <c r="A3227" i="2"/>
  <c r="A3228" i="2"/>
  <c r="A3229" i="2"/>
  <c r="A3230" i="2"/>
  <c r="A3231" i="2"/>
  <c r="A3232" i="2"/>
  <c r="A3233" i="2"/>
  <c r="A3234" i="2"/>
  <c r="A3235" i="2"/>
  <c r="A3236" i="2"/>
  <c r="A3237" i="2"/>
  <c r="A3238" i="2"/>
  <c r="A3239" i="2"/>
  <c r="A3240" i="2"/>
  <c r="A3241" i="2"/>
  <c r="A3242" i="2"/>
  <c r="A3243" i="2"/>
  <c r="A3244" i="2"/>
  <c r="A3245" i="2"/>
  <c r="A3246" i="2"/>
  <c r="A3247" i="2"/>
  <c r="A3248" i="2"/>
  <c r="A3249" i="2"/>
  <c r="A3250" i="2"/>
  <c r="A3251" i="2"/>
  <c r="A3252" i="2"/>
  <c r="A3253" i="2"/>
  <c r="A3254" i="2"/>
  <c r="A3255" i="2"/>
  <c r="A3256" i="2"/>
  <c r="A3257" i="2"/>
  <c r="A3258" i="2"/>
  <c r="A3259" i="2"/>
  <c r="A3260" i="2"/>
  <c r="A3261" i="2"/>
  <c r="A3262" i="2"/>
  <c r="A3263" i="2"/>
  <c r="A3264" i="2"/>
  <c r="A3265" i="2"/>
  <c r="A3266" i="2"/>
  <c r="A3267" i="2"/>
  <c r="A3268" i="2"/>
  <c r="A3269" i="2"/>
  <c r="A3270" i="2"/>
  <c r="A3271" i="2"/>
  <c r="A3272" i="2"/>
  <c r="A3273" i="2"/>
  <c r="A3274" i="2"/>
  <c r="A3275" i="2"/>
  <c r="A3276" i="2"/>
  <c r="A3277" i="2"/>
  <c r="A3278" i="2"/>
  <c r="A3279" i="2"/>
  <c r="A3280" i="2"/>
  <c r="A3281" i="2"/>
  <c r="A3282" i="2"/>
  <c r="A3283" i="2"/>
  <c r="A3284" i="2"/>
  <c r="A3285" i="2"/>
  <c r="A3286" i="2"/>
  <c r="A3287" i="2"/>
  <c r="A3288" i="2"/>
  <c r="A3289" i="2"/>
  <c r="A3290" i="2"/>
  <c r="A3291" i="2"/>
  <c r="A3292" i="2"/>
  <c r="A3293" i="2"/>
  <c r="A3294" i="2"/>
  <c r="A3295" i="2"/>
  <c r="A3296" i="2"/>
  <c r="A3297" i="2"/>
  <c r="A3298" i="2"/>
  <c r="A3299" i="2"/>
  <c r="A3300" i="2"/>
  <c r="A3301" i="2"/>
  <c r="A3302" i="2"/>
  <c r="A3303" i="2"/>
  <c r="A3304" i="2"/>
  <c r="A3305" i="2"/>
  <c r="A3306" i="2"/>
  <c r="A3307" i="2"/>
  <c r="A3308" i="2"/>
  <c r="A3309" i="2"/>
  <c r="A3310" i="2"/>
  <c r="A3311" i="2"/>
  <c r="A3312" i="2"/>
  <c r="A3313" i="2"/>
  <c r="A3314" i="2"/>
  <c r="A3315" i="2"/>
  <c r="A3316" i="2"/>
  <c r="A3317" i="2"/>
  <c r="A3318" i="2"/>
  <c r="A3319" i="2"/>
  <c r="A3320" i="2"/>
  <c r="A3321" i="2"/>
  <c r="A3322" i="2"/>
  <c r="A3323" i="2"/>
  <c r="A3324" i="2"/>
  <c r="A3325" i="2"/>
  <c r="A3326" i="2"/>
  <c r="A3327" i="2"/>
  <c r="A3328" i="2"/>
  <c r="A3329" i="2"/>
  <c r="A3330" i="2"/>
  <c r="A3331" i="2"/>
  <c r="A3332" i="2"/>
  <c r="A3333" i="2"/>
  <c r="A3334" i="2"/>
  <c r="A3335" i="2"/>
  <c r="A3336" i="2"/>
  <c r="A3337" i="2"/>
  <c r="A3338" i="2"/>
  <c r="A3339" i="2"/>
  <c r="A3340" i="2"/>
  <c r="A3341" i="2"/>
  <c r="A3342" i="2"/>
  <c r="A3343" i="2"/>
  <c r="A3344" i="2"/>
  <c r="A3345" i="2"/>
  <c r="A3346" i="2"/>
  <c r="A3347" i="2"/>
  <c r="A3348" i="2"/>
  <c r="A3349" i="2"/>
  <c r="A3350" i="2"/>
  <c r="A3351" i="2"/>
  <c r="A3352" i="2"/>
  <c r="A3353" i="2"/>
  <c r="A3354" i="2"/>
  <c r="A3355" i="2"/>
  <c r="A3356" i="2"/>
  <c r="A3357" i="2"/>
  <c r="A3358" i="2"/>
  <c r="A3359" i="2"/>
  <c r="A3360" i="2"/>
  <c r="A3361" i="2"/>
  <c r="A3362" i="2"/>
  <c r="A3363" i="2"/>
  <c r="A3364" i="2"/>
  <c r="A3365" i="2"/>
  <c r="A3366" i="2"/>
  <c r="A3367" i="2"/>
  <c r="A3368" i="2"/>
  <c r="A3369" i="2"/>
  <c r="A3370" i="2"/>
  <c r="A3371" i="2"/>
  <c r="A3372" i="2"/>
  <c r="A3373" i="2"/>
  <c r="A3374" i="2"/>
  <c r="A3375" i="2"/>
  <c r="A3376" i="2"/>
  <c r="A3377" i="2"/>
  <c r="A3378" i="2"/>
  <c r="A3379" i="2"/>
  <c r="A3380" i="2"/>
  <c r="A3381" i="2"/>
  <c r="A3382" i="2"/>
  <c r="A3383" i="2"/>
  <c r="A3384" i="2"/>
  <c r="A3385" i="2"/>
  <c r="A3386" i="2"/>
  <c r="A3387" i="2"/>
  <c r="A3388" i="2"/>
  <c r="A3389" i="2"/>
  <c r="A3390" i="2"/>
  <c r="A3391" i="2"/>
  <c r="A3392" i="2"/>
  <c r="A3393" i="2"/>
  <c r="A3394" i="2"/>
  <c r="A3395" i="2"/>
  <c r="A3396" i="2"/>
  <c r="A3397" i="2"/>
  <c r="A3398" i="2"/>
  <c r="A3399" i="2"/>
  <c r="A3400" i="2"/>
  <c r="A3401" i="2"/>
  <c r="A3402" i="2"/>
  <c r="A3403" i="2"/>
  <c r="A3404" i="2"/>
  <c r="A3405" i="2"/>
  <c r="A3406" i="2"/>
  <c r="A3407" i="2"/>
  <c r="A3408" i="2"/>
  <c r="A3409" i="2"/>
  <c r="A3410" i="2"/>
  <c r="A3411" i="2"/>
  <c r="A3412" i="2"/>
  <c r="A3413" i="2"/>
  <c r="A3414" i="2"/>
  <c r="A3415" i="2"/>
  <c r="A3416" i="2"/>
  <c r="A3417" i="2"/>
  <c r="A3418" i="2"/>
  <c r="A3419" i="2"/>
  <c r="A3420" i="2"/>
  <c r="A3421" i="2"/>
  <c r="A3422" i="2"/>
  <c r="A3423" i="2"/>
  <c r="A3424" i="2"/>
  <c r="A3425" i="2"/>
  <c r="A3426" i="2"/>
  <c r="A3427" i="2"/>
  <c r="A3428" i="2"/>
  <c r="A3429" i="2"/>
  <c r="A3430" i="2"/>
  <c r="A3431" i="2"/>
  <c r="A3432" i="2"/>
  <c r="A3433" i="2"/>
  <c r="A3434" i="2"/>
  <c r="A3435" i="2"/>
  <c r="A3436" i="2"/>
  <c r="A3437" i="2"/>
  <c r="A3438" i="2"/>
  <c r="A3439" i="2"/>
  <c r="A3440" i="2"/>
  <c r="A3441" i="2"/>
  <c r="A3442" i="2"/>
  <c r="A3443" i="2"/>
  <c r="A3444" i="2"/>
  <c r="A3445" i="2"/>
  <c r="A3446" i="2"/>
  <c r="A3447" i="2"/>
  <c r="A3448" i="2"/>
  <c r="A3449" i="2"/>
  <c r="A3450" i="2"/>
  <c r="A3451" i="2"/>
  <c r="A3452" i="2"/>
  <c r="A3453" i="2"/>
  <c r="A3454" i="2"/>
  <c r="A3455" i="2"/>
  <c r="A3456" i="2"/>
  <c r="A3457" i="2"/>
  <c r="A3458" i="2"/>
  <c r="A3459" i="2"/>
  <c r="A3460" i="2"/>
  <c r="A3461" i="2"/>
  <c r="A3462" i="2"/>
  <c r="A3463" i="2"/>
  <c r="A3464" i="2"/>
  <c r="A3465" i="2"/>
  <c r="A3466" i="2"/>
  <c r="A3467" i="2"/>
  <c r="A3468" i="2"/>
  <c r="A3469" i="2"/>
  <c r="A3470" i="2"/>
  <c r="A3471" i="2"/>
  <c r="A3472" i="2"/>
  <c r="A3473" i="2"/>
  <c r="A3474" i="2"/>
  <c r="A3475" i="2"/>
  <c r="A3476" i="2"/>
  <c r="A3477" i="2"/>
  <c r="A3478" i="2"/>
  <c r="A3479" i="2"/>
  <c r="A3480" i="2"/>
  <c r="A3481" i="2"/>
  <c r="A3482" i="2"/>
  <c r="A3483" i="2"/>
  <c r="A3484" i="2"/>
  <c r="A3485" i="2"/>
  <c r="A3486" i="2"/>
  <c r="A3487" i="2"/>
  <c r="A3488" i="2"/>
  <c r="A3489" i="2"/>
  <c r="A3490" i="2"/>
  <c r="A3491" i="2"/>
  <c r="A3492" i="2"/>
  <c r="A3493" i="2"/>
  <c r="A3494" i="2"/>
  <c r="A3495" i="2"/>
  <c r="A3496" i="2"/>
  <c r="A3497" i="2"/>
  <c r="A3498" i="2"/>
  <c r="A3499" i="2"/>
  <c r="A3500" i="2"/>
  <c r="A3501" i="2"/>
  <c r="A3502" i="2"/>
  <c r="A3503" i="2"/>
  <c r="A3504" i="2"/>
  <c r="A3505" i="2"/>
  <c r="A3506" i="2"/>
  <c r="A3507" i="2"/>
  <c r="A3508" i="2"/>
  <c r="A3509" i="2"/>
  <c r="A3510" i="2"/>
  <c r="A3511" i="2"/>
  <c r="A3512" i="2"/>
  <c r="A3513" i="2"/>
  <c r="A3514" i="2"/>
  <c r="A3515" i="2"/>
  <c r="A3516" i="2"/>
  <c r="A3517" i="2"/>
  <c r="A3518" i="2"/>
  <c r="A3519" i="2"/>
  <c r="A3520" i="2"/>
  <c r="A3521" i="2"/>
  <c r="A3522" i="2"/>
  <c r="A3523" i="2"/>
  <c r="A3524" i="2"/>
  <c r="A3525" i="2"/>
  <c r="A3526" i="2"/>
  <c r="A3527" i="2"/>
  <c r="A3528" i="2"/>
  <c r="A3529" i="2"/>
  <c r="A3530" i="2"/>
  <c r="A3531" i="2"/>
  <c r="A3532" i="2"/>
  <c r="A3533" i="2"/>
  <c r="A3534" i="2"/>
  <c r="A3535" i="2"/>
  <c r="A3536" i="2"/>
  <c r="A3537" i="2"/>
  <c r="A3538" i="2"/>
  <c r="A3539" i="2"/>
  <c r="A3540" i="2"/>
  <c r="A3541" i="2"/>
  <c r="A3542" i="2"/>
  <c r="A3543" i="2"/>
  <c r="A3544" i="2"/>
  <c r="A3545" i="2"/>
  <c r="A3546" i="2"/>
  <c r="A3547" i="2"/>
  <c r="A3548" i="2"/>
  <c r="A3549" i="2"/>
  <c r="A3550" i="2"/>
  <c r="A3551" i="2"/>
  <c r="A3552" i="2"/>
  <c r="A3553" i="2"/>
  <c r="A3554" i="2"/>
  <c r="A3555" i="2"/>
  <c r="A3556" i="2"/>
  <c r="A3557" i="2"/>
  <c r="A3558" i="2"/>
  <c r="A3559" i="2"/>
  <c r="A3560" i="2"/>
  <c r="A3561" i="2"/>
  <c r="A3562" i="2"/>
  <c r="A3563" i="2"/>
  <c r="A3564" i="2"/>
  <c r="A3565" i="2"/>
  <c r="A3566" i="2"/>
  <c r="A3567" i="2"/>
  <c r="A3568" i="2"/>
  <c r="A3569" i="2"/>
  <c r="A3570" i="2"/>
  <c r="A3571" i="2"/>
  <c r="A3572" i="2"/>
  <c r="A3573" i="2"/>
  <c r="A3574" i="2"/>
  <c r="A3575" i="2"/>
  <c r="A3576" i="2"/>
  <c r="A3577" i="2"/>
  <c r="A3578" i="2"/>
  <c r="A3579" i="2"/>
  <c r="A3580" i="2"/>
  <c r="A3581" i="2"/>
  <c r="A3582" i="2"/>
  <c r="A3583" i="2"/>
  <c r="A3584" i="2"/>
  <c r="A3585" i="2"/>
  <c r="A3586" i="2"/>
  <c r="A3587" i="2"/>
  <c r="A3588" i="2"/>
  <c r="A3589" i="2"/>
  <c r="A3590" i="2"/>
  <c r="A3591" i="2"/>
  <c r="A3592" i="2"/>
  <c r="A3593" i="2"/>
  <c r="A3594" i="2"/>
  <c r="A3595" i="2"/>
  <c r="A3596" i="2"/>
  <c r="A3597" i="2"/>
  <c r="A3598" i="2"/>
  <c r="A3599" i="2"/>
  <c r="A3600" i="2"/>
  <c r="A3601" i="2"/>
  <c r="A3602" i="2"/>
  <c r="A3603" i="2"/>
  <c r="A3604" i="2"/>
  <c r="A3605" i="2"/>
  <c r="A3606" i="2"/>
  <c r="A3607" i="2"/>
  <c r="A3608" i="2"/>
  <c r="A3609" i="2"/>
  <c r="A3610" i="2"/>
  <c r="A3611" i="2"/>
  <c r="A3612" i="2"/>
  <c r="A3613" i="2"/>
  <c r="A3614" i="2"/>
  <c r="A3615" i="2"/>
  <c r="A3616" i="2"/>
  <c r="A3617" i="2"/>
  <c r="A3618" i="2"/>
  <c r="A3619" i="2"/>
  <c r="A3620" i="2"/>
  <c r="A3621" i="2"/>
  <c r="A3622" i="2"/>
  <c r="A3623" i="2"/>
  <c r="A3624" i="2"/>
  <c r="A3625" i="2"/>
  <c r="A3626" i="2"/>
  <c r="A3627" i="2"/>
  <c r="A3628" i="2"/>
  <c r="A3629" i="2"/>
  <c r="A3630" i="2"/>
  <c r="A3631" i="2"/>
  <c r="A3632" i="2"/>
  <c r="A3633" i="2"/>
  <c r="A3634" i="2"/>
  <c r="A3635" i="2"/>
  <c r="A3636" i="2"/>
  <c r="A3637" i="2"/>
  <c r="A3638" i="2"/>
  <c r="A3639" i="2"/>
  <c r="A3640" i="2"/>
  <c r="A3641" i="2"/>
  <c r="A3642" i="2"/>
  <c r="A3643" i="2"/>
  <c r="A3644" i="2"/>
  <c r="A3645" i="2"/>
  <c r="A3646" i="2"/>
  <c r="A3647" i="2"/>
  <c r="A3648" i="2"/>
  <c r="A3649" i="2"/>
  <c r="A3650" i="2"/>
  <c r="A3651" i="2"/>
  <c r="A3652" i="2"/>
  <c r="A3653" i="2"/>
  <c r="A3654" i="2"/>
  <c r="A3655" i="2"/>
  <c r="A3656" i="2"/>
  <c r="A3657" i="2"/>
  <c r="A3658" i="2"/>
  <c r="A3659" i="2"/>
  <c r="A3660" i="2"/>
  <c r="A3661" i="2"/>
  <c r="A3662" i="2"/>
  <c r="A3663" i="2"/>
  <c r="A3664" i="2"/>
  <c r="A3665" i="2"/>
  <c r="A3666" i="2"/>
  <c r="A3667" i="2"/>
  <c r="A3668" i="2"/>
  <c r="A3669" i="2"/>
  <c r="A3670" i="2"/>
  <c r="A3671" i="2"/>
  <c r="A3672" i="2"/>
  <c r="A3673" i="2"/>
  <c r="A3674" i="2"/>
  <c r="A3675" i="2"/>
  <c r="A3676" i="2"/>
  <c r="A3677" i="2"/>
  <c r="A3678" i="2"/>
  <c r="A3679" i="2"/>
  <c r="A3680" i="2"/>
  <c r="A3681" i="2"/>
  <c r="A3682" i="2"/>
  <c r="A3683" i="2"/>
  <c r="A3684" i="2"/>
  <c r="A3685" i="2"/>
  <c r="A3686" i="2"/>
  <c r="A3687" i="2"/>
  <c r="A3688" i="2"/>
  <c r="A3689" i="2"/>
  <c r="A3690" i="2"/>
  <c r="A3691" i="2"/>
  <c r="A3692" i="2"/>
  <c r="A3693" i="2"/>
  <c r="A3694" i="2"/>
  <c r="A3695" i="2"/>
  <c r="A3696" i="2"/>
  <c r="A3697" i="2"/>
  <c r="A3698" i="2"/>
  <c r="A3699" i="2"/>
  <c r="A3700" i="2"/>
  <c r="A3701" i="2"/>
  <c r="A3702" i="2"/>
  <c r="A3703" i="2"/>
  <c r="A3704" i="2"/>
  <c r="A3705" i="2"/>
  <c r="A3706" i="2"/>
  <c r="A3707" i="2"/>
  <c r="A3708" i="2"/>
  <c r="A3709" i="2"/>
  <c r="A3710" i="2"/>
  <c r="A3711" i="2"/>
  <c r="A3712" i="2"/>
  <c r="A3713" i="2"/>
  <c r="A3714" i="2"/>
  <c r="A3715" i="2"/>
  <c r="A3716" i="2"/>
  <c r="A3717" i="2"/>
  <c r="A3718" i="2"/>
  <c r="A3719" i="2"/>
  <c r="A3720" i="2"/>
  <c r="A3721" i="2"/>
  <c r="A3722" i="2"/>
  <c r="A3723" i="2"/>
  <c r="A3724" i="2"/>
  <c r="A3725" i="2"/>
  <c r="A3726" i="2"/>
  <c r="A3727" i="2"/>
  <c r="A3728" i="2"/>
  <c r="A3729" i="2"/>
  <c r="A3730" i="2"/>
  <c r="A3731" i="2"/>
  <c r="A3732" i="2"/>
  <c r="A3733" i="2"/>
  <c r="A3734" i="2"/>
  <c r="A3735" i="2"/>
  <c r="A3736" i="2"/>
  <c r="A3737" i="2"/>
  <c r="A3738" i="2"/>
  <c r="A3739" i="2"/>
  <c r="A3740" i="2"/>
  <c r="A3741" i="2"/>
  <c r="A3742" i="2"/>
  <c r="A3743" i="2"/>
  <c r="A3744" i="2"/>
  <c r="A3745" i="2"/>
  <c r="A3746" i="2"/>
  <c r="A3747" i="2"/>
  <c r="A3748" i="2"/>
  <c r="A3749" i="2"/>
  <c r="A3750" i="2"/>
  <c r="A3751" i="2"/>
  <c r="A3752" i="2"/>
  <c r="A3753" i="2"/>
  <c r="A3754" i="2"/>
  <c r="A3755" i="2"/>
  <c r="A3756" i="2"/>
  <c r="A3757" i="2"/>
  <c r="A3758" i="2"/>
  <c r="A3759" i="2"/>
  <c r="A3760" i="2"/>
  <c r="A3761" i="2"/>
  <c r="A3762" i="2"/>
  <c r="A3763" i="2"/>
  <c r="A3764" i="2"/>
  <c r="A3765" i="2"/>
  <c r="A3766" i="2"/>
  <c r="A3767" i="2"/>
  <c r="A3768" i="2"/>
  <c r="A3769" i="2"/>
  <c r="A3770" i="2"/>
  <c r="A3771" i="2"/>
  <c r="A3772" i="2"/>
  <c r="A3773" i="2"/>
  <c r="A3774" i="2"/>
  <c r="A3775" i="2"/>
  <c r="A3776" i="2"/>
  <c r="A3777" i="2"/>
  <c r="A3778" i="2"/>
  <c r="A3779" i="2"/>
  <c r="A3780" i="2"/>
  <c r="A3781" i="2"/>
  <c r="A3782" i="2"/>
  <c r="A3783" i="2"/>
  <c r="A3784" i="2"/>
  <c r="A3785" i="2"/>
  <c r="A3786" i="2"/>
  <c r="A3787" i="2"/>
  <c r="A3788" i="2"/>
  <c r="A3789" i="2"/>
  <c r="A3790" i="2"/>
  <c r="A3791" i="2"/>
  <c r="A3792" i="2"/>
  <c r="A3793" i="2"/>
  <c r="A3794" i="2"/>
  <c r="A3795" i="2"/>
  <c r="A3796" i="2"/>
  <c r="A3797" i="2"/>
  <c r="A3798" i="2"/>
  <c r="A3799" i="2"/>
  <c r="A3800" i="2"/>
  <c r="A3801" i="2"/>
  <c r="A3802" i="2"/>
  <c r="A3803" i="2"/>
  <c r="A3804" i="2"/>
  <c r="A3805" i="2"/>
  <c r="A3806" i="2"/>
  <c r="A3807" i="2"/>
  <c r="A3808" i="2"/>
  <c r="A3809" i="2"/>
  <c r="A3810" i="2"/>
  <c r="A3811" i="2"/>
  <c r="A3812" i="2"/>
  <c r="A3813" i="2"/>
  <c r="A3814" i="2"/>
  <c r="A3815" i="2"/>
  <c r="A3816" i="2"/>
  <c r="A3817" i="2"/>
  <c r="A3818" i="2"/>
  <c r="A3819" i="2"/>
  <c r="A3820" i="2"/>
  <c r="A3821" i="2"/>
  <c r="A3822" i="2"/>
  <c r="A3823" i="2"/>
  <c r="A3824" i="2"/>
  <c r="A3825" i="2"/>
  <c r="A3826" i="2"/>
  <c r="A3827" i="2"/>
  <c r="A3828" i="2"/>
  <c r="A3829" i="2"/>
  <c r="A3830" i="2"/>
  <c r="A3831" i="2"/>
  <c r="A3832" i="2"/>
  <c r="A3833" i="2"/>
  <c r="A3834" i="2"/>
  <c r="A3835" i="2"/>
  <c r="A3836" i="2"/>
  <c r="A3837" i="2"/>
  <c r="A3838" i="2"/>
  <c r="A3839" i="2"/>
  <c r="A3840" i="2"/>
  <c r="A3841" i="2"/>
  <c r="A3842" i="2"/>
  <c r="A3843" i="2"/>
  <c r="A3844" i="2"/>
  <c r="A3845" i="2"/>
  <c r="A3846" i="2"/>
  <c r="A3847" i="2"/>
  <c r="A3848" i="2"/>
  <c r="A3849" i="2"/>
  <c r="A3850" i="2"/>
  <c r="A3851" i="2"/>
  <c r="A3852" i="2"/>
  <c r="A3853" i="2"/>
  <c r="A3854" i="2"/>
  <c r="A3855" i="2"/>
  <c r="A3856" i="2"/>
  <c r="A3857" i="2"/>
  <c r="A3858" i="2"/>
  <c r="A3859" i="2"/>
  <c r="A3860" i="2"/>
  <c r="A3861" i="2"/>
  <c r="A3862" i="2"/>
  <c r="A3863" i="2"/>
  <c r="A3864" i="2"/>
  <c r="A3865" i="2"/>
  <c r="A3866" i="2"/>
  <c r="A3867" i="2"/>
  <c r="A3868" i="2"/>
  <c r="A3869" i="2"/>
  <c r="A3870" i="2"/>
  <c r="A3871" i="2"/>
  <c r="A3872" i="2"/>
  <c r="A3873" i="2"/>
  <c r="A3874" i="2"/>
  <c r="A3875" i="2"/>
  <c r="A3876" i="2"/>
  <c r="A3877" i="2"/>
  <c r="A3878" i="2"/>
  <c r="A3879" i="2"/>
  <c r="A3880" i="2"/>
  <c r="A3881" i="2"/>
  <c r="A3882" i="2"/>
  <c r="A3883" i="2"/>
  <c r="A3884" i="2"/>
  <c r="A3885" i="2"/>
  <c r="A3886" i="2"/>
  <c r="A3887" i="2"/>
  <c r="A3888" i="2"/>
  <c r="A3889" i="2"/>
  <c r="A3890" i="2"/>
  <c r="A3891" i="2"/>
  <c r="A3892" i="2"/>
  <c r="A3893" i="2"/>
  <c r="A3894" i="2"/>
  <c r="A3895" i="2"/>
  <c r="A3896" i="2"/>
  <c r="A3897" i="2"/>
  <c r="A3898" i="2"/>
  <c r="A3899" i="2"/>
  <c r="A3900" i="2"/>
  <c r="A3901" i="2"/>
  <c r="A3902" i="2"/>
  <c r="A3903" i="2"/>
  <c r="A3904" i="2"/>
  <c r="A3905" i="2"/>
  <c r="A3906" i="2"/>
  <c r="A3907" i="2"/>
  <c r="A3908" i="2"/>
  <c r="A3909" i="2"/>
  <c r="A3910" i="2"/>
  <c r="A3911" i="2"/>
  <c r="A3912" i="2"/>
  <c r="A3913" i="2"/>
  <c r="A3914" i="2"/>
  <c r="A3915" i="2"/>
  <c r="A3916" i="2"/>
  <c r="A3917" i="2"/>
  <c r="A3918" i="2"/>
  <c r="A3919" i="2"/>
  <c r="A3920" i="2"/>
  <c r="A3921" i="2"/>
  <c r="A3922" i="2"/>
  <c r="A3923" i="2"/>
  <c r="A3924" i="2"/>
  <c r="A3925" i="2"/>
  <c r="A3926" i="2"/>
  <c r="A3927" i="2"/>
  <c r="A3928" i="2"/>
  <c r="A3929" i="2"/>
  <c r="A3930" i="2"/>
  <c r="A3931" i="2"/>
  <c r="A3932" i="2"/>
  <c r="A3933" i="2"/>
  <c r="A3934" i="2"/>
  <c r="A3935" i="2"/>
  <c r="A3936" i="2"/>
  <c r="A3937" i="2"/>
  <c r="A3938" i="2"/>
  <c r="A3939" i="2"/>
  <c r="A3940" i="2"/>
  <c r="A3941" i="2"/>
  <c r="A3942" i="2"/>
  <c r="A3943" i="2"/>
  <c r="A3944" i="2"/>
  <c r="A3945" i="2"/>
  <c r="A3946" i="2"/>
  <c r="A3947" i="2"/>
  <c r="A3948" i="2"/>
  <c r="A3949" i="2"/>
  <c r="A3950" i="2"/>
  <c r="A3951" i="2"/>
  <c r="A3952" i="2"/>
  <c r="A3953" i="2"/>
  <c r="A3954" i="2"/>
  <c r="A3955" i="2"/>
  <c r="A3956" i="2"/>
  <c r="A3957" i="2"/>
  <c r="A3958" i="2"/>
  <c r="A3959" i="2"/>
  <c r="A3960" i="2"/>
  <c r="A3961" i="2"/>
  <c r="A3962" i="2"/>
  <c r="A3963" i="2"/>
  <c r="A3964" i="2"/>
  <c r="A3965" i="2"/>
  <c r="A3966" i="2"/>
  <c r="A3967" i="2"/>
  <c r="A3968" i="2"/>
  <c r="A3969" i="2"/>
  <c r="A3970" i="2"/>
  <c r="A3971" i="2"/>
  <c r="A3972" i="2"/>
  <c r="A3973" i="2"/>
  <c r="A3974" i="2"/>
  <c r="A3975" i="2"/>
  <c r="A3976" i="2"/>
  <c r="A3977" i="2"/>
  <c r="A3978" i="2"/>
  <c r="A3979" i="2"/>
  <c r="A3980" i="2"/>
  <c r="A3981" i="2"/>
  <c r="A3982" i="2"/>
  <c r="A3983" i="2"/>
  <c r="A3984" i="2"/>
  <c r="A3985" i="2"/>
  <c r="A3986" i="2"/>
  <c r="A3987" i="2"/>
  <c r="A3988" i="2"/>
  <c r="A3989" i="2"/>
  <c r="A3990" i="2"/>
  <c r="A3991" i="2"/>
  <c r="A3992" i="2"/>
  <c r="A3993" i="2"/>
  <c r="A3994" i="2"/>
  <c r="A3995" i="2"/>
  <c r="A3996" i="2"/>
  <c r="A3997" i="2"/>
  <c r="A3998" i="2"/>
  <c r="A3999" i="2"/>
  <c r="A4000" i="2"/>
  <c r="A4001" i="2"/>
  <c r="A4002" i="2"/>
  <c r="A4003" i="2"/>
  <c r="A4004" i="2"/>
  <c r="A4005" i="2"/>
  <c r="A4006" i="2"/>
  <c r="A4007" i="2"/>
  <c r="A4008" i="2"/>
  <c r="A4009" i="2"/>
  <c r="A4010" i="2"/>
  <c r="A4011" i="2"/>
  <c r="A4012" i="2"/>
  <c r="A4013" i="2"/>
  <c r="A4014" i="2"/>
  <c r="A4015" i="2"/>
  <c r="A4016" i="2"/>
  <c r="A4017" i="2"/>
  <c r="A4018" i="2"/>
  <c r="A4019" i="2"/>
  <c r="A4020" i="2"/>
  <c r="A4021" i="2"/>
  <c r="A4022" i="2"/>
  <c r="A4023" i="2"/>
  <c r="A4024" i="2"/>
  <c r="A4025" i="2"/>
  <c r="A4026" i="2"/>
  <c r="A4027" i="2"/>
  <c r="A4028" i="2"/>
  <c r="A4029" i="2"/>
  <c r="A4030" i="2"/>
  <c r="A4031" i="2"/>
  <c r="A4032" i="2"/>
  <c r="A4033" i="2"/>
  <c r="A4034" i="2"/>
  <c r="A4035" i="2"/>
  <c r="A4036" i="2"/>
  <c r="A4037" i="2"/>
  <c r="A4038" i="2"/>
  <c r="A4039" i="2"/>
  <c r="A4040" i="2"/>
  <c r="A4041" i="2"/>
  <c r="A4042" i="2"/>
  <c r="A4043" i="2"/>
  <c r="A4044" i="2"/>
  <c r="A4045" i="2"/>
  <c r="A4046" i="2"/>
  <c r="A4047" i="2"/>
  <c r="A4048" i="2"/>
  <c r="A4049" i="2"/>
  <c r="A4050" i="2"/>
  <c r="A4051" i="2"/>
  <c r="A4052" i="2"/>
  <c r="A4053" i="2"/>
  <c r="A4054" i="2"/>
  <c r="A4055" i="2"/>
  <c r="A4056" i="2"/>
  <c r="A4057" i="2"/>
  <c r="A4058" i="2"/>
  <c r="A4059" i="2"/>
  <c r="A4060" i="2"/>
  <c r="A4061" i="2"/>
  <c r="A4062" i="2"/>
  <c r="A4063" i="2"/>
  <c r="A4064" i="2"/>
  <c r="A4065" i="2"/>
  <c r="A4066" i="2"/>
  <c r="A4067" i="2"/>
  <c r="A4068" i="2"/>
  <c r="A4069" i="2"/>
  <c r="A4070" i="2"/>
  <c r="A4071" i="2"/>
  <c r="A4072" i="2"/>
  <c r="A4073" i="2"/>
  <c r="A4074" i="2"/>
  <c r="A4075" i="2"/>
  <c r="A4076" i="2"/>
  <c r="A4077" i="2"/>
  <c r="A4078" i="2"/>
  <c r="A4079" i="2"/>
  <c r="A4080" i="2"/>
  <c r="A4081" i="2"/>
  <c r="A4082" i="2"/>
  <c r="A4083" i="2"/>
  <c r="A4084" i="2"/>
  <c r="A4085" i="2"/>
  <c r="A4086" i="2"/>
  <c r="A4087" i="2"/>
  <c r="A4088" i="2"/>
  <c r="A4089" i="2"/>
  <c r="A4090" i="2"/>
  <c r="A4091" i="2"/>
  <c r="A4092" i="2"/>
  <c r="A4093" i="2"/>
  <c r="A4094" i="2"/>
  <c r="A4095" i="2"/>
  <c r="A4096" i="2"/>
  <c r="A4097" i="2"/>
  <c r="A4098" i="2"/>
  <c r="A4099" i="2"/>
  <c r="A4100" i="2"/>
  <c r="A4101" i="2"/>
  <c r="A4102" i="2"/>
  <c r="A4103" i="2"/>
  <c r="A4104" i="2"/>
  <c r="A4105" i="2"/>
  <c r="A4106" i="2"/>
  <c r="A4107" i="2"/>
  <c r="A4108" i="2"/>
  <c r="A4109" i="2"/>
  <c r="A4110" i="2"/>
  <c r="A4111" i="2"/>
  <c r="A4112" i="2"/>
  <c r="A4113" i="2"/>
  <c r="A4114" i="2"/>
  <c r="A4115" i="2"/>
  <c r="A4116" i="2"/>
  <c r="A4117" i="2"/>
  <c r="A4118" i="2"/>
  <c r="A4119" i="2"/>
  <c r="A4120" i="2"/>
  <c r="A4121" i="2"/>
  <c r="A4122" i="2"/>
  <c r="A4123" i="2"/>
  <c r="A4124" i="2"/>
  <c r="A4125" i="2"/>
  <c r="A4126" i="2"/>
  <c r="A4127" i="2"/>
  <c r="A4128" i="2"/>
  <c r="A4129" i="2"/>
  <c r="A4130" i="2"/>
  <c r="A4131" i="2"/>
  <c r="A4132" i="2"/>
  <c r="A4133" i="2"/>
  <c r="A4134" i="2"/>
  <c r="A4135" i="2"/>
  <c r="A4136" i="2"/>
  <c r="A4137" i="2"/>
  <c r="A4138" i="2"/>
  <c r="A4139" i="2"/>
  <c r="A4140" i="2"/>
  <c r="A4141" i="2"/>
  <c r="A4142" i="2"/>
  <c r="A4143" i="2"/>
  <c r="A4144" i="2"/>
  <c r="A4145" i="2"/>
  <c r="A4146" i="2"/>
  <c r="A4147" i="2"/>
  <c r="A4148" i="2"/>
  <c r="A4149" i="2"/>
  <c r="A4150" i="2"/>
  <c r="A4151" i="2"/>
  <c r="A4152" i="2"/>
  <c r="A4153" i="2"/>
  <c r="A4154" i="2"/>
  <c r="A4155" i="2"/>
  <c r="A4156" i="2"/>
  <c r="A4157" i="2"/>
  <c r="A4158" i="2"/>
  <c r="A4159" i="2"/>
  <c r="A4160" i="2"/>
  <c r="A4161" i="2"/>
  <c r="A4162" i="2"/>
  <c r="A4163" i="2"/>
  <c r="A4164" i="2"/>
  <c r="A4165" i="2"/>
  <c r="A4166" i="2"/>
  <c r="A4167" i="2"/>
  <c r="A4168" i="2"/>
  <c r="A4169" i="2"/>
  <c r="A4170" i="2"/>
  <c r="A4171" i="2"/>
  <c r="A4172" i="2"/>
  <c r="A4173" i="2"/>
  <c r="A4174" i="2"/>
  <c r="A4175" i="2"/>
  <c r="A4176" i="2"/>
  <c r="A4177" i="2"/>
  <c r="A4178" i="2"/>
  <c r="A4179" i="2"/>
  <c r="A4180" i="2"/>
  <c r="A4181" i="2"/>
  <c r="A4182" i="2"/>
  <c r="A4183" i="2"/>
  <c r="A4184" i="2"/>
  <c r="A4185" i="2"/>
  <c r="A4186" i="2"/>
  <c r="A4187" i="2"/>
  <c r="A4188" i="2"/>
  <c r="A4189" i="2"/>
  <c r="A4190" i="2"/>
  <c r="A4191" i="2"/>
  <c r="A4192" i="2"/>
  <c r="A4193" i="2"/>
  <c r="A4194" i="2"/>
  <c r="A4195" i="2"/>
  <c r="A4196" i="2"/>
  <c r="A4197" i="2"/>
  <c r="A4198" i="2"/>
  <c r="A4199" i="2"/>
  <c r="A4200" i="2"/>
  <c r="A4201" i="2"/>
  <c r="A4202" i="2"/>
  <c r="A4203" i="2"/>
  <c r="A4204" i="2"/>
  <c r="A4205" i="2"/>
  <c r="A4206" i="2"/>
  <c r="A4207" i="2"/>
  <c r="A4208" i="2"/>
  <c r="A4209" i="2"/>
  <c r="A4210" i="2"/>
  <c r="A4211" i="2"/>
  <c r="A4212" i="2"/>
  <c r="A4213" i="2"/>
  <c r="A4214" i="2"/>
  <c r="A4215" i="2"/>
  <c r="A4216" i="2"/>
  <c r="A4217" i="2"/>
  <c r="A4218" i="2"/>
  <c r="A4219" i="2"/>
  <c r="A4220" i="2"/>
  <c r="A4221" i="2"/>
  <c r="A4222" i="2"/>
  <c r="A4223" i="2"/>
  <c r="A4224" i="2"/>
  <c r="A4225" i="2"/>
  <c r="A4226" i="2"/>
  <c r="A4227" i="2"/>
  <c r="A4228" i="2"/>
  <c r="A4229" i="2"/>
  <c r="A4230" i="2"/>
  <c r="A4231" i="2"/>
  <c r="A4232" i="2"/>
  <c r="A4233" i="2"/>
  <c r="A4234" i="2"/>
  <c r="A4235" i="2"/>
  <c r="A4236" i="2"/>
  <c r="A4237" i="2"/>
  <c r="A4238" i="2"/>
  <c r="A4239" i="2"/>
  <c r="A4240" i="2"/>
  <c r="A4241" i="2"/>
  <c r="A4242" i="2"/>
  <c r="A4243" i="2"/>
  <c r="A4244" i="2"/>
  <c r="A4245" i="2"/>
  <c r="A4246" i="2"/>
  <c r="A4247" i="2"/>
  <c r="A4248" i="2"/>
  <c r="A4249" i="2"/>
  <c r="A4250" i="2"/>
  <c r="A4251" i="2"/>
  <c r="A4252" i="2"/>
  <c r="A4253" i="2"/>
  <c r="A4254" i="2"/>
  <c r="A4255" i="2"/>
  <c r="A4256" i="2"/>
  <c r="A4257" i="2"/>
  <c r="A4258" i="2"/>
  <c r="A4259" i="2"/>
  <c r="A4260" i="2"/>
  <c r="A4261" i="2"/>
  <c r="A4262" i="2"/>
  <c r="A4263" i="2"/>
  <c r="A4264" i="2"/>
  <c r="A4265" i="2"/>
  <c r="A4266" i="2"/>
  <c r="A4267" i="2"/>
  <c r="A4268" i="2"/>
  <c r="A4269" i="2"/>
  <c r="A4270" i="2"/>
  <c r="A4271" i="2"/>
  <c r="A4272" i="2"/>
  <c r="A4273" i="2"/>
  <c r="A4274" i="2"/>
  <c r="A4275" i="2"/>
  <c r="A4276" i="2"/>
  <c r="A4277" i="2"/>
  <c r="A4278" i="2"/>
  <c r="A4279" i="2"/>
  <c r="A4280" i="2"/>
  <c r="A4281" i="2"/>
  <c r="A4282" i="2"/>
  <c r="A4283" i="2"/>
  <c r="A4284" i="2"/>
  <c r="A4285" i="2"/>
  <c r="A4286" i="2"/>
  <c r="A4287" i="2"/>
  <c r="A4288" i="2"/>
  <c r="A4289" i="2"/>
  <c r="A4290" i="2"/>
  <c r="A4291" i="2"/>
  <c r="A4292" i="2"/>
  <c r="A4293" i="2"/>
  <c r="A4294" i="2"/>
  <c r="A4295" i="2"/>
  <c r="A4296" i="2"/>
  <c r="A4297" i="2"/>
  <c r="A4298" i="2"/>
  <c r="A4299" i="2"/>
  <c r="A4300" i="2"/>
  <c r="A4301" i="2"/>
  <c r="A4302" i="2"/>
  <c r="A4303" i="2"/>
  <c r="A4304" i="2"/>
  <c r="A4305" i="2"/>
  <c r="A4306" i="2"/>
  <c r="A4307" i="2"/>
  <c r="A4308" i="2"/>
  <c r="A4309" i="2"/>
  <c r="A4310" i="2"/>
  <c r="A4311" i="2"/>
  <c r="A4312" i="2"/>
  <c r="A4313" i="2"/>
  <c r="A4314" i="2"/>
  <c r="A4315" i="2"/>
  <c r="A4316" i="2"/>
  <c r="A4317" i="2"/>
  <c r="A4318" i="2"/>
  <c r="A4319" i="2"/>
  <c r="A4320" i="2"/>
  <c r="A4321" i="2"/>
  <c r="A4322" i="2"/>
  <c r="A4323" i="2"/>
  <c r="A4324" i="2"/>
  <c r="A4325" i="2"/>
  <c r="A4326" i="2"/>
  <c r="A4327" i="2"/>
  <c r="A4328" i="2"/>
  <c r="A4329" i="2"/>
  <c r="A4330" i="2"/>
  <c r="A4331" i="2"/>
  <c r="A4332" i="2"/>
  <c r="A4333" i="2"/>
  <c r="A4334" i="2"/>
  <c r="A4335" i="2"/>
  <c r="A4336" i="2"/>
  <c r="A4337" i="2"/>
  <c r="A4338" i="2"/>
  <c r="A4339" i="2"/>
  <c r="A4340" i="2"/>
  <c r="A4341" i="2"/>
  <c r="A4342" i="2"/>
  <c r="A4343" i="2"/>
  <c r="A4344" i="2"/>
  <c r="A4345" i="2"/>
  <c r="A4346" i="2"/>
  <c r="A4347" i="2"/>
  <c r="A4348" i="2"/>
  <c r="A4349" i="2"/>
  <c r="A4350" i="2"/>
  <c r="A4351" i="2"/>
  <c r="A4352" i="2"/>
  <c r="A4353" i="2"/>
  <c r="A4354" i="2"/>
  <c r="A4355" i="2"/>
  <c r="A4356" i="2"/>
  <c r="A4357" i="2"/>
  <c r="A4358" i="2"/>
  <c r="A4359" i="2"/>
  <c r="A4360" i="2"/>
  <c r="A4361" i="2"/>
  <c r="A4362" i="2"/>
  <c r="A4363" i="2"/>
  <c r="A4364" i="2"/>
  <c r="A4365" i="2"/>
  <c r="A4366" i="2"/>
  <c r="A4367" i="2"/>
  <c r="A4368" i="2"/>
  <c r="A4369" i="2"/>
  <c r="A4370" i="2"/>
  <c r="A4371" i="2"/>
  <c r="A4372" i="2"/>
  <c r="A4373" i="2"/>
  <c r="A4374" i="2"/>
  <c r="A4375" i="2"/>
  <c r="A4376" i="2"/>
  <c r="A4377" i="2"/>
  <c r="A4378" i="2"/>
  <c r="A4379" i="2"/>
  <c r="A4380" i="2"/>
  <c r="A4381" i="2"/>
  <c r="A4382" i="2"/>
  <c r="A4383" i="2"/>
  <c r="A4384" i="2"/>
  <c r="A4385" i="2"/>
  <c r="A4386" i="2"/>
  <c r="A4387" i="2"/>
  <c r="A4388" i="2"/>
  <c r="A4389" i="2"/>
  <c r="A4390" i="2"/>
  <c r="A4391" i="2"/>
  <c r="A4392" i="2"/>
  <c r="A4393" i="2"/>
  <c r="A4394" i="2"/>
  <c r="A4395" i="2"/>
  <c r="A4396" i="2"/>
  <c r="A4397" i="2"/>
  <c r="A4398" i="2"/>
  <c r="A4399" i="2"/>
  <c r="A4400" i="2"/>
  <c r="A4401" i="2"/>
  <c r="A4402" i="2"/>
  <c r="A4403" i="2"/>
  <c r="A4404" i="2"/>
  <c r="A4405" i="2"/>
  <c r="A4406" i="2"/>
  <c r="A4407" i="2"/>
  <c r="A4408" i="2"/>
  <c r="A4409" i="2"/>
  <c r="A4410" i="2"/>
  <c r="A4411" i="2"/>
  <c r="A4412" i="2"/>
  <c r="A4413" i="2"/>
  <c r="A4414" i="2"/>
  <c r="A4415" i="2"/>
  <c r="A4416" i="2"/>
  <c r="A4417" i="2"/>
  <c r="A4418" i="2"/>
  <c r="A4419" i="2"/>
  <c r="A4420" i="2"/>
  <c r="A4421" i="2"/>
  <c r="A4422" i="2"/>
  <c r="A4423" i="2"/>
  <c r="A4424" i="2"/>
  <c r="A4425" i="2"/>
  <c r="A4426" i="2"/>
  <c r="A4427" i="2"/>
  <c r="A4428" i="2"/>
  <c r="A4429" i="2"/>
  <c r="A4430" i="2"/>
  <c r="A4431" i="2"/>
  <c r="A4432" i="2"/>
  <c r="A4433" i="2"/>
  <c r="A4434" i="2"/>
  <c r="A4435" i="2"/>
  <c r="A4436" i="2"/>
  <c r="A4437" i="2"/>
  <c r="A4438" i="2"/>
  <c r="A4439" i="2"/>
  <c r="A4440" i="2"/>
  <c r="A4441" i="2"/>
  <c r="A4442" i="2"/>
  <c r="A4443" i="2"/>
  <c r="A4444" i="2"/>
  <c r="A4445" i="2"/>
  <c r="A4446" i="2"/>
  <c r="A4447" i="2"/>
  <c r="A4448" i="2"/>
  <c r="A4449" i="2"/>
  <c r="A4450" i="2"/>
  <c r="A4451" i="2"/>
  <c r="A4452" i="2"/>
  <c r="A4453" i="2"/>
  <c r="A4454" i="2"/>
  <c r="A4455" i="2"/>
  <c r="A4456" i="2"/>
  <c r="A4457" i="2"/>
  <c r="A4458" i="2"/>
  <c r="A4459" i="2"/>
  <c r="A4460" i="2"/>
  <c r="A4461" i="2"/>
  <c r="A4462" i="2"/>
  <c r="A4463" i="2"/>
  <c r="A4464" i="2"/>
  <c r="A4465" i="2"/>
  <c r="A4466" i="2"/>
  <c r="A4467" i="2"/>
  <c r="A4468" i="2"/>
  <c r="A4469" i="2"/>
  <c r="A4470" i="2"/>
  <c r="A4471" i="2"/>
  <c r="A4472" i="2"/>
  <c r="A4473" i="2"/>
  <c r="A4474" i="2"/>
  <c r="A4475" i="2"/>
  <c r="A4476" i="2"/>
  <c r="A4477" i="2"/>
  <c r="A4478" i="2"/>
  <c r="A4479" i="2"/>
  <c r="A4480" i="2"/>
  <c r="A4481" i="2"/>
  <c r="A4482" i="2"/>
  <c r="A4483" i="2"/>
  <c r="A4484" i="2"/>
  <c r="A4485" i="2"/>
  <c r="A4486" i="2"/>
  <c r="A4487" i="2"/>
  <c r="A4488" i="2"/>
  <c r="A4489" i="2"/>
  <c r="A4490" i="2"/>
  <c r="A4491" i="2"/>
  <c r="A4492" i="2"/>
  <c r="A4493" i="2"/>
  <c r="A4494" i="2"/>
  <c r="A4495" i="2"/>
  <c r="A4496" i="2"/>
  <c r="A4497" i="2"/>
  <c r="A4498" i="2"/>
  <c r="A4499" i="2"/>
  <c r="A4500" i="2"/>
  <c r="A4501" i="2"/>
  <c r="A4502" i="2"/>
  <c r="A4503" i="2"/>
  <c r="A4504" i="2"/>
  <c r="A4505" i="2"/>
  <c r="A4506" i="2"/>
  <c r="A4507" i="2"/>
  <c r="A4508" i="2"/>
  <c r="A4509" i="2"/>
  <c r="A4510" i="2"/>
  <c r="A4511" i="2"/>
  <c r="A4512" i="2"/>
  <c r="A4513" i="2"/>
  <c r="A4514" i="2"/>
  <c r="A4515" i="2"/>
  <c r="A4516" i="2"/>
  <c r="A4517" i="2"/>
  <c r="A4518" i="2"/>
  <c r="A4519" i="2"/>
  <c r="A4520" i="2"/>
  <c r="A4521" i="2"/>
  <c r="A4522" i="2"/>
  <c r="A4523" i="2"/>
  <c r="A4524" i="2"/>
  <c r="A4525" i="2"/>
  <c r="A4526" i="2"/>
  <c r="A4527" i="2"/>
  <c r="A4528" i="2"/>
  <c r="A4529" i="2"/>
  <c r="A4530" i="2"/>
  <c r="A4531" i="2"/>
  <c r="A4532" i="2"/>
  <c r="A4533" i="2"/>
  <c r="A4534" i="2"/>
  <c r="A4535" i="2"/>
  <c r="A4536" i="2"/>
  <c r="A4537" i="2"/>
  <c r="A4538" i="2"/>
  <c r="A4539" i="2"/>
  <c r="A4540" i="2"/>
  <c r="A4541" i="2"/>
  <c r="A4542" i="2"/>
  <c r="A4543" i="2"/>
  <c r="A4544" i="2"/>
  <c r="A4545" i="2"/>
  <c r="A4546" i="2"/>
  <c r="A4547" i="2"/>
  <c r="A4548" i="2"/>
  <c r="A4549" i="2"/>
  <c r="A4550" i="2"/>
  <c r="A4551" i="2"/>
  <c r="A4552" i="2"/>
  <c r="A4553" i="2"/>
  <c r="A4554" i="2"/>
  <c r="A4555" i="2"/>
  <c r="A4556" i="2"/>
  <c r="A4557" i="2"/>
  <c r="A4558" i="2"/>
  <c r="A4559" i="2"/>
  <c r="A4560" i="2"/>
  <c r="A4561" i="2"/>
  <c r="A4562" i="2"/>
  <c r="A4563" i="2"/>
  <c r="A4564" i="2"/>
  <c r="A4565" i="2"/>
  <c r="A4566" i="2"/>
  <c r="A4567" i="2"/>
  <c r="A4568" i="2"/>
  <c r="A4569" i="2"/>
  <c r="A4570" i="2"/>
  <c r="A4571" i="2"/>
  <c r="A4572" i="2"/>
  <c r="A4573" i="2"/>
  <c r="A4574" i="2"/>
  <c r="A4575" i="2"/>
  <c r="A4576" i="2"/>
  <c r="A4577" i="2"/>
  <c r="A4578" i="2"/>
  <c r="A4579" i="2"/>
  <c r="A4580" i="2"/>
  <c r="A4581" i="2"/>
  <c r="A4582" i="2"/>
  <c r="A4583" i="2"/>
  <c r="A4584" i="2"/>
  <c r="A4585" i="2"/>
  <c r="A4586" i="2"/>
  <c r="A4587" i="2"/>
  <c r="A4588" i="2"/>
  <c r="A4589" i="2"/>
  <c r="A4590" i="2"/>
  <c r="A4591" i="2"/>
  <c r="A4592" i="2"/>
  <c r="A4593" i="2"/>
  <c r="A4594" i="2"/>
  <c r="A4595" i="2"/>
  <c r="A4596" i="2"/>
  <c r="A4597" i="2"/>
  <c r="A4598" i="2"/>
  <c r="A4599" i="2"/>
  <c r="A4600" i="2"/>
  <c r="A4601" i="2"/>
  <c r="A4602" i="2"/>
  <c r="A4603" i="2"/>
  <c r="A4604" i="2"/>
  <c r="A4605" i="2"/>
  <c r="A4606" i="2"/>
  <c r="A4607" i="2"/>
  <c r="A4608" i="2"/>
  <c r="A4609" i="2"/>
  <c r="A4610" i="2"/>
  <c r="A4611" i="2"/>
  <c r="A4612" i="2"/>
  <c r="A4613" i="2"/>
  <c r="A4614" i="2"/>
  <c r="A4615" i="2"/>
  <c r="A4616" i="2"/>
  <c r="A4617" i="2"/>
  <c r="A4618" i="2"/>
  <c r="A4619" i="2"/>
  <c r="A4620" i="2"/>
  <c r="A4621" i="2"/>
  <c r="A4622" i="2"/>
  <c r="A4623" i="2"/>
  <c r="A4624" i="2"/>
  <c r="A4625" i="2"/>
  <c r="A4626" i="2"/>
  <c r="A4627" i="2"/>
  <c r="A4628" i="2"/>
  <c r="A4629" i="2"/>
  <c r="A4630" i="2"/>
  <c r="A4631" i="2"/>
  <c r="A4632" i="2"/>
  <c r="A4633" i="2"/>
  <c r="A4634" i="2"/>
  <c r="A4635" i="2"/>
  <c r="A4636" i="2"/>
  <c r="A4637" i="2"/>
  <c r="A4638" i="2"/>
  <c r="A4639" i="2"/>
  <c r="A4640" i="2"/>
  <c r="A4641" i="2"/>
  <c r="A4642" i="2"/>
  <c r="A4643" i="2"/>
  <c r="A4644" i="2"/>
  <c r="A4645" i="2"/>
  <c r="A4646" i="2"/>
  <c r="A4647" i="2"/>
  <c r="A4648" i="2"/>
  <c r="A4649" i="2"/>
  <c r="A4650" i="2"/>
  <c r="A4651" i="2"/>
  <c r="A4652" i="2"/>
  <c r="A4653" i="2"/>
  <c r="A4654" i="2"/>
  <c r="A4655" i="2"/>
  <c r="A4656" i="2"/>
  <c r="A4657" i="2"/>
  <c r="A4658" i="2"/>
  <c r="A4659" i="2"/>
  <c r="A4660" i="2"/>
  <c r="A4661" i="2"/>
  <c r="A4662" i="2"/>
  <c r="A4663" i="2"/>
  <c r="A4664" i="2"/>
  <c r="A4665" i="2"/>
  <c r="A4666" i="2"/>
  <c r="A4667" i="2"/>
  <c r="A4668" i="2"/>
  <c r="A4669" i="2"/>
  <c r="A4670" i="2"/>
  <c r="A4671" i="2"/>
  <c r="A4672" i="2"/>
  <c r="A4673" i="2"/>
  <c r="A4674" i="2"/>
  <c r="A4675" i="2"/>
  <c r="A4676" i="2"/>
  <c r="A4677" i="2"/>
  <c r="A4678" i="2"/>
  <c r="A4679" i="2"/>
  <c r="A4680" i="2"/>
  <c r="A4681" i="2"/>
  <c r="A4682" i="2"/>
  <c r="A4683" i="2"/>
  <c r="A4684" i="2"/>
  <c r="A4685" i="2"/>
  <c r="A4686" i="2"/>
  <c r="A4687" i="2"/>
  <c r="A4688" i="2"/>
  <c r="A4689" i="2"/>
  <c r="A4690" i="2"/>
  <c r="A4691" i="2"/>
  <c r="A4692" i="2"/>
  <c r="A4693" i="2"/>
  <c r="A4694" i="2"/>
  <c r="A4695" i="2"/>
  <c r="A4696" i="2"/>
  <c r="A4697" i="2"/>
  <c r="A4698" i="2"/>
  <c r="A4699" i="2"/>
  <c r="A4700" i="2"/>
  <c r="A4701" i="2"/>
  <c r="A4702" i="2"/>
  <c r="A4703" i="2"/>
  <c r="A4704" i="2"/>
  <c r="A4705" i="2"/>
  <c r="A4706" i="2"/>
  <c r="A4707" i="2"/>
  <c r="A4708" i="2"/>
  <c r="A4709" i="2"/>
  <c r="A4710" i="2"/>
  <c r="A4711" i="2"/>
  <c r="A4712" i="2"/>
  <c r="A4713" i="2"/>
  <c r="A4714" i="2"/>
  <c r="A4715" i="2"/>
  <c r="A4716" i="2"/>
  <c r="A4717" i="2"/>
  <c r="A4718" i="2"/>
  <c r="A4719" i="2"/>
  <c r="A4720" i="2"/>
  <c r="A4721" i="2"/>
  <c r="A4722" i="2"/>
  <c r="A4723" i="2"/>
  <c r="A4724" i="2"/>
  <c r="A4725" i="2"/>
  <c r="A4726" i="2"/>
  <c r="A4727" i="2"/>
  <c r="A4728" i="2"/>
  <c r="A4729" i="2"/>
  <c r="A4730" i="2"/>
  <c r="A4731" i="2"/>
  <c r="A4732" i="2"/>
  <c r="A4733" i="2"/>
  <c r="A4734" i="2"/>
  <c r="A4735" i="2"/>
  <c r="A4736" i="2"/>
  <c r="A4737" i="2"/>
  <c r="A4738" i="2"/>
  <c r="A4739" i="2"/>
  <c r="A4740" i="2"/>
  <c r="A4741" i="2"/>
  <c r="A4742" i="2"/>
  <c r="A4743" i="2"/>
  <c r="A4744" i="2"/>
  <c r="A4745" i="2"/>
  <c r="A4746" i="2"/>
  <c r="A4747" i="2"/>
  <c r="A4748" i="2"/>
  <c r="A4749" i="2"/>
  <c r="A4750" i="2"/>
  <c r="A4751" i="2"/>
  <c r="A4752" i="2"/>
  <c r="A4753" i="2"/>
  <c r="A4754" i="2"/>
  <c r="A4755" i="2"/>
  <c r="A4756" i="2"/>
  <c r="A4757" i="2"/>
  <c r="A4758" i="2"/>
  <c r="A4759" i="2"/>
  <c r="A4760" i="2"/>
  <c r="A4761" i="2"/>
  <c r="A4762" i="2"/>
  <c r="A4763" i="2"/>
  <c r="A4764" i="2"/>
  <c r="A4765" i="2"/>
  <c r="A4766" i="2"/>
  <c r="A4767" i="2"/>
  <c r="A4768" i="2"/>
  <c r="A4769" i="2"/>
  <c r="A4770" i="2"/>
  <c r="A4771" i="2"/>
  <c r="A4772" i="2"/>
  <c r="A4773" i="2"/>
  <c r="A4774" i="2"/>
  <c r="A4775" i="2"/>
  <c r="A4776" i="2"/>
  <c r="A4777" i="2"/>
  <c r="A4778" i="2"/>
  <c r="A4779" i="2"/>
  <c r="A4780" i="2"/>
  <c r="A4781" i="2"/>
  <c r="A4782" i="2"/>
  <c r="A4783" i="2"/>
  <c r="A4784" i="2"/>
  <c r="A4785" i="2"/>
  <c r="A4786" i="2"/>
  <c r="A4787" i="2"/>
  <c r="A4788" i="2"/>
  <c r="A4789" i="2"/>
  <c r="A4790" i="2"/>
  <c r="A4791" i="2"/>
  <c r="A4792" i="2"/>
  <c r="A4793" i="2"/>
  <c r="A4794" i="2"/>
  <c r="A4795" i="2"/>
  <c r="A4796" i="2"/>
  <c r="A4797" i="2"/>
  <c r="A4798" i="2"/>
  <c r="A4799" i="2"/>
  <c r="A4800" i="2"/>
  <c r="A4801" i="2"/>
  <c r="A4802" i="2"/>
  <c r="A4803" i="2"/>
  <c r="A4804" i="2"/>
  <c r="A4805" i="2"/>
  <c r="A4806" i="2"/>
  <c r="A4807" i="2"/>
  <c r="A4808" i="2"/>
  <c r="A4809" i="2"/>
  <c r="A4810" i="2"/>
  <c r="A4811" i="2"/>
  <c r="A4812" i="2"/>
  <c r="A4813" i="2"/>
  <c r="A4814" i="2"/>
  <c r="A4815" i="2"/>
  <c r="A4816" i="2"/>
  <c r="A4817" i="2"/>
  <c r="A4818" i="2"/>
  <c r="A4819" i="2"/>
  <c r="A4820" i="2"/>
  <c r="A4821" i="2"/>
  <c r="A4822" i="2"/>
  <c r="A4823" i="2"/>
  <c r="A4824" i="2"/>
  <c r="A4825" i="2"/>
  <c r="A4826" i="2"/>
  <c r="A4827" i="2"/>
  <c r="A4828" i="2"/>
  <c r="A4829" i="2"/>
  <c r="A4830" i="2"/>
  <c r="A4831" i="2"/>
  <c r="A4832" i="2"/>
  <c r="A4833" i="2"/>
  <c r="A4834" i="2"/>
  <c r="A4835" i="2"/>
  <c r="A4836" i="2"/>
  <c r="A4837" i="2"/>
  <c r="A4838" i="2"/>
  <c r="A4839" i="2"/>
  <c r="A4840" i="2"/>
  <c r="A4841" i="2"/>
  <c r="A4842" i="2"/>
  <c r="A4843" i="2"/>
  <c r="A4844" i="2"/>
  <c r="A4845" i="2"/>
  <c r="A4846" i="2"/>
  <c r="A4847" i="2"/>
  <c r="A4848" i="2"/>
  <c r="A4849" i="2"/>
  <c r="A4850" i="2"/>
  <c r="A4851" i="2"/>
  <c r="A4852" i="2"/>
  <c r="A4853" i="2"/>
  <c r="A4854" i="2"/>
  <c r="A4855" i="2"/>
  <c r="A4856" i="2"/>
  <c r="A4857" i="2"/>
  <c r="A4858" i="2"/>
  <c r="A4859" i="2"/>
  <c r="A4860" i="2"/>
  <c r="A4861" i="2"/>
  <c r="A4862" i="2"/>
  <c r="A4863" i="2"/>
  <c r="A4864" i="2"/>
  <c r="A4865" i="2"/>
  <c r="A4866" i="2"/>
  <c r="A4867" i="2"/>
  <c r="A4868" i="2"/>
  <c r="A4869" i="2"/>
  <c r="A4870" i="2"/>
  <c r="A4871" i="2"/>
  <c r="A4872" i="2"/>
  <c r="A4873" i="2"/>
  <c r="A4874" i="2"/>
  <c r="A4875" i="2"/>
  <c r="A4876" i="2"/>
  <c r="A4877" i="2"/>
  <c r="A4878" i="2"/>
  <c r="A4879" i="2"/>
  <c r="A4880" i="2"/>
  <c r="A4881" i="2"/>
  <c r="A4882" i="2"/>
  <c r="A4883" i="2"/>
  <c r="A4884" i="2"/>
  <c r="A4885" i="2"/>
  <c r="A4886" i="2"/>
  <c r="A4887" i="2"/>
  <c r="A4888" i="2"/>
  <c r="A4889" i="2"/>
  <c r="A4890" i="2"/>
  <c r="A4891" i="2"/>
  <c r="A4892" i="2"/>
  <c r="A4893" i="2"/>
  <c r="A4894" i="2"/>
  <c r="A4895" i="2"/>
  <c r="A4896" i="2"/>
  <c r="A4897" i="2"/>
  <c r="A4898" i="2"/>
  <c r="A4899" i="2"/>
  <c r="A4900" i="2"/>
  <c r="A4901" i="2"/>
  <c r="A4902" i="2"/>
  <c r="A4903" i="2"/>
  <c r="A4904" i="2"/>
  <c r="A4905" i="2"/>
  <c r="A4906" i="2"/>
  <c r="A4907" i="2"/>
  <c r="A4908" i="2"/>
  <c r="A4909" i="2"/>
  <c r="A4910" i="2"/>
  <c r="A4911" i="2"/>
  <c r="A4912" i="2"/>
  <c r="A4913" i="2"/>
  <c r="A4914" i="2"/>
  <c r="A4915" i="2"/>
  <c r="A4916" i="2"/>
  <c r="A4917" i="2"/>
  <c r="A4918" i="2"/>
  <c r="A4919" i="2"/>
  <c r="A4920" i="2"/>
  <c r="A4921" i="2"/>
  <c r="A4922" i="2"/>
  <c r="A4923" i="2"/>
  <c r="A4924" i="2"/>
  <c r="A4925" i="2"/>
  <c r="A4926" i="2"/>
  <c r="A4927" i="2"/>
  <c r="A4928" i="2"/>
  <c r="A4929" i="2"/>
  <c r="A4930" i="2"/>
  <c r="A4931" i="2"/>
  <c r="A4932" i="2"/>
  <c r="A4933" i="2"/>
  <c r="A4934" i="2"/>
  <c r="A4935" i="2"/>
  <c r="A4936" i="2"/>
  <c r="A4937" i="2"/>
  <c r="A4938" i="2"/>
  <c r="A4939" i="2"/>
  <c r="A4940" i="2"/>
  <c r="A4941" i="2"/>
  <c r="A4942" i="2"/>
  <c r="A4943" i="2"/>
  <c r="A4944" i="2"/>
  <c r="A4945" i="2"/>
  <c r="A4946" i="2"/>
  <c r="A4947" i="2"/>
  <c r="A4948" i="2"/>
  <c r="A4949" i="2"/>
  <c r="A4950" i="2"/>
  <c r="A4951" i="2"/>
  <c r="A4952" i="2"/>
  <c r="A4953" i="2"/>
  <c r="A4954" i="2"/>
  <c r="A4955" i="2"/>
  <c r="A4956" i="2"/>
  <c r="A4957" i="2"/>
  <c r="A4958" i="2"/>
  <c r="A4959" i="2"/>
  <c r="A4960" i="2"/>
  <c r="A4961" i="2"/>
  <c r="A4962" i="2"/>
  <c r="A4963" i="2"/>
  <c r="A4964" i="2"/>
  <c r="A4965" i="2"/>
  <c r="A4966" i="2"/>
  <c r="A4967" i="2"/>
  <c r="A4968" i="2"/>
  <c r="A4969" i="2"/>
  <c r="A4970" i="2"/>
  <c r="A4971" i="2"/>
  <c r="A4972" i="2"/>
  <c r="A4973" i="2"/>
  <c r="A4974" i="2"/>
  <c r="A4975" i="2"/>
  <c r="A4976" i="2"/>
  <c r="A4977" i="2"/>
  <c r="A4978" i="2"/>
  <c r="A4979" i="2"/>
  <c r="A4980" i="2"/>
  <c r="A4981" i="2"/>
  <c r="A4982" i="2"/>
  <c r="A4983" i="2"/>
  <c r="A4984" i="2"/>
  <c r="A4985" i="2"/>
  <c r="A4986" i="2"/>
  <c r="A4987" i="2"/>
  <c r="A4988" i="2"/>
  <c r="A4989" i="2"/>
  <c r="A4990" i="2"/>
  <c r="A4991" i="2"/>
  <c r="A4992" i="2"/>
  <c r="A4993" i="2"/>
  <c r="A4994" i="2"/>
  <c r="A4995" i="2"/>
  <c r="A4996" i="2"/>
  <c r="A4997" i="2"/>
  <c r="A4998" i="2"/>
  <c r="A4999" i="2"/>
  <c r="A5000" i="2"/>
  <c r="A5001" i="2"/>
  <c r="A5002" i="2"/>
  <c r="A5003" i="2"/>
  <c r="A5004" i="2"/>
  <c r="A5005" i="2"/>
  <c r="A5006" i="2"/>
  <c r="A5007" i="2"/>
  <c r="A5008" i="2"/>
  <c r="A5009" i="2"/>
  <c r="A5010" i="2"/>
  <c r="A5011" i="2"/>
  <c r="A5012" i="2"/>
  <c r="A5013" i="2"/>
  <c r="A5014" i="2"/>
  <c r="A5015" i="2"/>
  <c r="A5016" i="2"/>
  <c r="A5017" i="2"/>
  <c r="A5018" i="2"/>
  <c r="A5019" i="2"/>
  <c r="A5020" i="2"/>
  <c r="A5021" i="2"/>
  <c r="A5022" i="2"/>
  <c r="A5023" i="2"/>
  <c r="A5024" i="2"/>
  <c r="A5025" i="2"/>
  <c r="A5026" i="2"/>
  <c r="A5027" i="2"/>
  <c r="A5028" i="2"/>
  <c r="A5029" i="2"/>
  <c r="A5030" i="2"/>
  <c r="A5031" i="2"/>
  <c r="A5032" i="2"/>
  <c r="A5033" i="2"/>
  <c r="A5034" i="2"/>
  <c r="A5035" i="2"/>
  <c r="A5036" i="2"/>
  <c r="A5037" i="2"/>
  <c r="A5038" i="2"/>
  <c r="A5039" i="2"/>
  <c r="A5040" i="2"/>
  <c r="A5041" i="2"/>
  <c r="A5042" i="2"/>
  <c r="A5043" i="2"/>
  <c r="A5044" i="2"/>
  <c r="A5045" i="2"/>
  <c r="A5046" i="2"/>
  <c r="A5047" i="2"/>
  <c r="A5048" i="2"/>
  <c r="A5049" i="2"/>
  <c r="A5050" i="2"/>
  <c r="A5051" i="2"/>
  <c r="A5052" i="2"/>
  <c r="A5053" i="2"/>
  <c r="A5054" i="2"/>
  <c r="A5055" i="2"/>
  <c r="A5056" i="2"/>
  <c r="A5057" i="2"/>
  <c r="A5058" i="2"/>
  <c r="A5059" i="2"/>
  <c r="A5060" i="2"/>
  <c r="A5061" i="2"/>
  <c r="A5062" i="2"/>
  <c r="A5063" i="2"/>
  <c r="A5064" i="2"/>
  <c r="A5065" i="2"/>
  <c r="A5066" i="2"/>
  <c r="A5067" i="2"/>
  <c r="A5068" i="2"/>
  <c r="A5069" i="2"/>
  <c r="A5070" i="2"/>
  <c r="A5071" i="2"/>
  <c r="A5072" i="2"/>
  <c r="A5073" i="2"/>
  <c r="A5074" i="2"/>
  <c r="A5075" i="2"/>
  <c r="A5076" i="2"/>
  <c r="A5077" i="2"/>
  <c r="A5078" i="2"/>
  <c r="A5079" i="2"/>
  <c r="A5080" i="2"/>
  <c r="A5081" i="2"/>
  <c r="A5082" i="2"/>
  <c r="A5083" i="2"/>
  <c r="A5084" i="2"/>
  <c r="A5085" i="2"/>
  <c r="A5086" i="2"/>
  <c r="A5087" i="2"/>
  <c r="A5088" i="2"/>
  <c r="A5089" i="2"/>
  <c r="A5090" i="2"/>
  <c r="A5091" i="2"/>
  <c r="A5092" i="2"/>
  <c r="A5093" i="2"/>
  <c r="A5094" i="2"/>
  <c r="A5095" i="2"/>
  <c r="A5096" i="2"/>
  <c r="A5097" i="2"/>
  <c r="A5098" i="2"/>
  <c r="A5099" i="2"/>
  <c r="A5100" i="2"/>
  <c r="A5101" i="2"/>
  <c r="A5102" i="2"/>
  <c r="A5103" i="2"/>
  <c r="A5104" i="2"/>
  <c r="A5105" i="2"/>
  <c r="A5106" i="2"/>
  <c r="A5107" i="2"/>
  <c r="A5108" i="2"/>
  <c r="A5109" i="2"/>
  <c r="A5110" i="2"/>
  <c r="A5111" i="2"/>
  <c r="A5112" i="2"/>
  <c r="A5113" i="2"/>
  <c r="A5114" i="2"/>
  <c r="A5115" i="2"/>
  <c r="A5116" i="2"/>
  <c r="A5117" i="2"/>
  <c r="A5118" i="2"/>
  <c r="A5119" i="2"/>
  <c r="A5120" i="2"/>
  <c r="A5121" i="2"/>
  <c r="A5122" i="2"/>
  <c r="A5123" i="2"/>
  <c r="A5124" i="2"/>
  <c r="A5125" i="2"/>
  <c r="A5126" i="2"/>
  <c r="A5127" i="2"/>
  <c r="A5128" i="2"/>
  <c r="A5129" i="2"/>
  <c r="A5130" i="2"/>
  <c r="A5131" i="2"/>
  <c r="A5132" i="2"/>
  <c r="A5133" i="2"/>
  <c r="A5134" i="2"/>
  <c r="A5135" i="2"/>
  <c r="A5136" i="2"/>
  <c r="A5137" i="2"/>
  <c r="A5138" i="2"/>
  <c r="A5139" i="2"/>
  <c r="A5140" i="2"/>
  <c r="A5141" i="2"/>
  <c r="A5142" i="2"/>
  <c r="A5143" i="2"/>
  <c r="A5144" i="2"/>
  <c r="A5145" i="2"/>
  <c r="A5146" i="2"/>
  <c r="A5147" i="2"/>
  <c r="A5148" i="2"/>
  <c r="A5149" i="2"/>
  <c r="A5150" i="2"/>
  <c r="A5151" i="2"/>
  <c r="A5152" i="2"/>
  <c r="A5153" i="2"/>
  <c r="A5154" i="2"/>
  <c r="A5155" i="2"/>
  <c r="A5156" i="2"/>
  <c r="A5157" i="2"/>
  <c r="A5158" i="2"/>
  <c r="A5159" i="2"/>
  <c r="A5160" i="2"/>
  <c r="A5161" i="2"/>
  <c r="A5162" i="2"/>
  <c r="A5163" i="2"/>
  <c r="A5164" i="2"/>
  <c r="A5165" i="2"/>
  <c r="A5166" i="2"/>
  <c r="A5167" i="2"/>
  <c r="A5168" i="2"/>
  <c r="A5169" i="2"/>
  <c r="A5170" i="2"/>
  <c r="A5171" i="2"/>
  <c r="A5172" i="2"/>
  <c r="A5173" i="2"/>
  <c r="A5174" i="2"/>
  <c r="A5175" i="2"/>
  <c r="A5176" i="2"/>
  <c r="A5177" i="2"/>
  <c r="A5178" i="2"/>
  <c r="A5179" i="2"/>
  <c r="A5180" i="2"/>
  <c r="A5181" i="2"/>
  <c r="A5182" i="2"/>
  <c r="A5183" i="2"/>
  <c r="A5184" i="2"/>
  <c r="A5185" i="2"/>
  <c r="A5186" i="2"/>
  <c r="A5187" i="2"/>
  <c r="A5188" i="2"/>
  <c r="A5189" i="2"/>
  <c r="A5190" i="2"/>
  <c r="A5191" i="2"/>
  <c r="A5192" i="2"/>
  <c r="A5193" i="2"/>
  <c r="A5194" i="2"/>
  <c r="A5195" i="2"/>
  <c r="A5196" i="2"/>
  <c r="A5197" i="2"/>
  <c r="A5198" i="2"/>
  <c r="A5199" i="2"/>
  <c r="A5200" i="2"/>
  <c r="A5201" i="2"/>
  <c r="A5202" i="2"/>
  <c r="A5203" i="2"/>
  <c r="A5204" i="2"/>
  <c r="A5205" i="2"/>
  <c r="A5206" i="2"/>
  <c r="A5207" i="2"/>
  <c r="A5208" i="2"/>
  <c r="A5209" i="2"/>
  <c r="A5210" i="2"/>
  <c r="A5211" i="2"/>
  <c r="A5212" i="2"/>
  <c r="A5213" i="2"/>
  <c r="A5214" i="2"/>
  <c r="A5215" i="2"/>
  <c r="A5216" i="2"/>
  <c r="A5217" i="2"/>
  <c r="A5218" i="2"/>
  <c r="A5219" i="2"/>
  <c r="A5220" i="2"/>
  <c r="A5221" i="2"/>
  <c r="A5222" i="2"/>
  <c r="A5223" i="2"/>
  <c r="A5224" i="2"/>
  <c r="A5225" i="2"/>
  <c r="A5226" i="2"/>
  <c r="A5227" i="2"/>
  <c r="A5228" i="2"/>
  <c r="A5229" i="2"/>
  <c r="A5230" i="2"/>
  <c r="A5231" i="2"/>
  <c r="A5232" i="2"/>
  <c r="A5233" i="2"/>
  <c r="A5234" i="2"/>
  <c r="A5235" i="2"/>
  <c r="A5236" i="2"/>
  <c r="A5237" i="2"/>
  <c r="A5238" i="2"/>
  <c r="A5239" i="2"/>
  <c r="A5240" i="2"/>
  <c r="A5241" i="2"/>
  <c r="A5242" i="2"/>
  <c r="A5243" i="2"/>
  <c r="A5244" i="2"/>
  <c r="A5245" i="2"/>
  <c r="A5246" i="2"/>
  <c r="A5247" i="2"/>
  <c r="A5248" i="2"/>
  <c r="A5249" i="2"/>
  <c r="A5250" i="2"/>
  <c r="A5251" i="2"/>
  <c r="A5252" i="2"/>
  <c r="A5253" i="2"/>
  <c r="A5254" i="2"/>
  <c r="A5255" i="2"/>
  <c r="A5256" i="2"/>
  <c r="A5257" i="2"/>
  <c r="A5258" i="2"/>
  <c r="A5259" i="2"/>
  <c r="A5260" i="2"/>
  <c r="A5261" i="2"/>
  <c r="A5262" i="2"/>
  <c r="A5263" i="2"/>
  <c r="A5264" i="2"/>
  <c r="A5265" i="2"/>
  <c r="A5266" i="2"/>
  <c r="A5267" i="2"/>
  <c r="A5268" i="2"/>
  <c r="A5269" i="2"/>
  <c r="A5270" i="2"/>
  <c r="A5271" i="2"/>
  <c r="A5272" i="2"/>
  <c r="A5273" i="2"/>
  <c r="A5274" i="2"/>
  <c r="A5275" i="2"/>
  <c r="A5276" i="2"/>
  <c r="A5277" i="2"/>
  <c r="A5278" i="2"/>
  <c r="A5279" i="2"/>
  <c r="A5280" i="2"/>
  <c r="A5281" i="2"/>
  <c r="A5282" i="2"/>
  <c r="A5283" i="2"/>
  <c r="A5284" i="2"/>
  <c r="A5285" i="2"/>
  <c r="A5286" i="2"/>
  <c r="A5287" i="2"/>
  <c r="A5288" i="2"/>
  <c r="A5289" i="2"/>
  <c r="A5290" i="2"/>
  <c r="A5291" i="2"/>
  <c r="A5292" i="2"/>
  <c r="A5293" i="2"/>
  <c r="A5294" i="2"/>
  <c r="A5295" i="2"/>
  <c r="A5296" i="2"/>
  <c r="A5297" i="2"/>
  <c r="A5298" i="2"/>
  <c r="A5299" i="2"/>
  <c r="A5300" i="2"/>
  <c r="A5301" i="2"/>
  <c r="A5302" i="2"/>
  <c r="A5303" i="2"/>
  <c r="A5304" i="2"/>
  <c r="A5305" i="2"/>
  <c r="A5306" i="2"/>
  <c r="A5307" i="2"/>
  <c r="A5308" i="2"/>
  <c r="A5309" i="2"/>
  <c r="A5310" i="2"/>
  <c r="A5311" i="2"/>
  <c r="A5312" i="2"/>
  <c r="A5313" i="2"/>
  <c r="A5314" i="2"/>
  <c r="A5315" i="2"/>
  <c r="A5316" i="2"/>
  <c r="A5317" i="2"/>
  <c r="A5318" i="2"/>
  <c r="A5319" i="2"/>
  <c r="A5320" i="2"/>
  <c r="A5321" i="2"/>
  <c r="A5322" i="2"/>
  <c r="A5323" i="2"/>
  <c r="A5324" i="2"/>
  <c r="A5325" i="2"/>
  <c r="A5326" i="2"/>
  <c r="A5327" i="2"/>
  <c r="A5328" i="2"/>
  <c r="A5329" i="2"/>
  <c r="A5330" i="2"/>
  <c r="A5331" i="2"/>
  <c r="A5332" i="2"/>
  <c r="A5333" i="2"/>
  <c r="A5334" i="2"/>
  <c r="A5335" i="2"/>
  <c r="A5336" i="2"/>
  <c r="A5337" i="2"/>
  <c r="A5338" i="2"/>
  <c r="A5339" i="2"/>
  <c r="A5340" i="2"/>
  <c r="A5341" i="2"/>
  <c r="A5342" i="2"/>
  <c r="A5343" i="2"/>
  <c r="A5344" i="2"/>
  <c r="A5345" i="2"/>
  <c r="A5346" i="2"/>
  <c r="A5347" i="2"/>
  <c r="A5348" i="2"/>
  <c r="A5349" i="2"/>
  <c r="A5350" i="2"/>
  <c r="A5351" i="2"/>
  <c r="A5352" i="2"/>
  <c r="A5353" i="2"/>
  <c r="A5354" i="2"/>
  <c r="A5355" i="2"/>
  <c r="A5356" i="2"/>
  <c r="A5357" i="2"/>
  <c r="A5358" i="2"/>
  <c r="A5359" i="2"/>
  <c r="A5360" i="2"/>
  <c r="A5361" i="2"/>
  <c r="A5362" i="2"/>
  <c r="A5363" i="2"/>
  <c r="A5364" i="2"/>
  <c r="A5365" i="2"/>
  <c r="A5366" i="2"/>
  <c r="A5367" i="2"/>
  <c r="A5368" i="2"/>
  <c r="A5369" i="2"/>
  <c r="A5370" i="2"/>
  <c r="A5371" i="2"/>
  <c r="A5372" i="2"/>
  <c r="A5373" i="2"/>
  <c r="A5374" i="2"/>
  <c r="A5375" i="2"/>
  <c r="A5376" i="2"/>
  <c r="A5377" i="2"/>
  <c r="A5378" i="2"/>
  <c r="A5379" i="2"/>
  <c r="A5380" i="2"/>
  <c r="A5381" i="2"/>
  <c r="A5382" i="2"/>
  <c r="A5383" i="2"/>
  <c r="A5384" i="2"/>
  <c r="A5385" i="2"/>
  <c r="A5386" i="2"/>
  <c r="A5387" i="2"/>
  <c r="A5388" i="2"/>
  <c r="A5389" i="2"/>
  <c r="A5390" i="2"/>
  <c r="A5391" i="2"/>
  <c r="A5392" i="2"/>
  <c r="A5393" i="2"/>
  <c r="A5394" i="2"/>
  <c r="A5395" i="2"/>
  <c r="A5396" i="2"/>
  <c r="A5397" i="2"/>
  <c r="A5398" i="2"/>
  <c r="A5399" i="2"/>
  <c r="A5400" i="2"/>
  <c r="A5401" i="2"/>
  <c r="A5402" i="2"/>
  <c r="A5403" i="2"/>
  <c r="A5404" i="2"/>
  <c r="A5405" i="2"/>
  <c r="A5406" i="2"/>
  <c r="A5407" i="2"/>
  <c r="A5408" i="2"/>
  <c r="A5409" i="2"/>
  <c r="A5410" i="2"/>
  <c r="A5411" i="2"/>
  <c r="A5412" i="2"/>
  <c r="A5413" i="2"/>
  <c r="A5414" i="2"/>
  <c r="A5415" i="2"/>
  <c r="A5416" i="2"/>
  <c r="A5417" i="2"/>
  <c r="A5418" i="2"/>
  <c r="A5419" i="2"/>
  <c r="A5420" i="2"/>
  <c r="A5421" i="2"/>
  <c r="A5422" i="2"/>
  <c r="A5423" i="2"/>
  <c r="A5424" i="2"/>
  <c r="A5425" i="2"/>
  <c r="A5426" i="2"/>
  <c r="A5427" i="2"/>
  <c r="A5428" i="2"/>
  <c r="A5429" i="2"/>
  <c r="A5430" i="2"/>
  <c r="A5431" i="2"/>
  <c r="A5432" i="2"/>
  <c r="A5433" i="2"/>
  <c r="A5434" i="2"/>
  <c r="A5435" i="2"/>
  <c r="A5436" i="2"/>
  <c r="A5437" i="2"/>
  <c r="A5438" i="2"/>
  <c r="A5439" i="2"/>
  <c r="A5440" i="2"/>
  <c r="A5441" i="2"/>
  <c r="A5442" i="2"/>
  <c r="A5443" i="2"/>
  <c r="A5444" i="2"/>
  <c r="A5445" i="2"/>
  <c r="A5446" i="2"/>
  <c r="A5447" i="2"/>
  <c r="A5448" i="2"/>
  <c r="A5449" i="2"/>
  <c r="A5450" i="2"/>
  <c r="A5451" i="2"/>
  <c r="A5452" i="2"/>
  <c r="A5453" i="2"/>
  <c r="A5454" i="2"/>
  <c r="A5455" i="2"/>
  <c r="A5456" i="2"/>
  <c r="A5457" i="2"/>
  <c r="A5458" i="2"/>
  <c r="A5459" i="2"/>
  <c r="A5460" i="2"/>
  <c r="A5461" i="2"/>
  <c r="A5462" i="2"/>
  <c r="A5463" i="2"/>
  <c r="A5464" i="2"/>
  <c r="A5465" i="2"/>
  <c r="A5466" i="2"/>
  <c r="A5467" i="2"/>
  <c r="A5468" i="2"/>
  <c r="A5469" i="2"/>
  <c r="A5470" i="2"/>
  <c r="A5471" i="2"/>
  <c r="A5472" i="2"/>
  <c r="A5473" i="2"/>
  <c r="A5474" i="2"/>
  <c r="A5475" i="2"/>
  <c r="A5476" i="2"/>
  <c r="A5477" i="2"/>
  <c r="A5478" i="2"/>
  <c r="A5479" i="2"/>
  <c r="A5480" i="2"/>
  <c r="A5481" i="2"/>
  <c r="A5482" i="2"/>
  <c r="A5483" i="2"/>
  <c r="A5484" i="2"/>
  <c r="A5485" i="2"/>
  <c r="A5486" i="2"/>
  <c r="A5487" i="2"/>
  <c r="A5488" i="2"/>
  <c r="A5489" i="2"/>
  <c r="A5490" i="2"/>
  <c r="A5491" i="2"/>
  <c r="A5492" i="2"/>
  <c r="A5493" i="2"/>
  <c r="A5494" i="2"/>
  <c r="A5495" i="2"/>
  <c r="A5496" i="2"/>
  <c r="A5497" i="2"/>
  <c r="A5498" i="2"/>
  <c r="A5499" i="2"/>
  <c r="A5500" i="2"/>
  <c r="A5501" i="2"/>
  <c r="A5502" i="2"/>
  <c r="A5503" i="2"/>
  <c r="A5504" i="2"/>
  <c r="A5505" i="2"/>
  <c r="A5506" i="2"/>
  <c r="A5507" i="2"/>
  <c r="A5508" i="2"/>
  <c r="A5509" i="2"/>
  <c r="A5510" i="2"/>
  <c r="A5511" i="2"/>
  <c r="A5512" i="2"/>
  <c r="A5513" i="2"/>
  <c r="A5514" i="2"/>
  <c r="A5515" i="2"/>
  <c r="A5516" i="2"/>
  <c r="A5517" i="2"/>
  <c r="A5518" i="2"/>
  <c r="A5519" i="2"/>
  <c r="A5520" i="2"/>
  <c r="A5521" i="2"/>
  <c r="A5522" i="2"/>
  <c r="A5523" i="2"/>
  <c r="A5524" i="2"/>
  <c r="A5525" i="2"/>
  <c r="A5526" i="2"/>
  <c r="A5527" i="2"/>
  <c r="A5528" i="2"/>
  <c r="A5529" i="2"/>
  <c r="A5530" i="2"/>
  <c r="A5531" i="2"/>
  <c r="A5532" i="2"/>
  <c r="A5533" i="2"/>
  <c r="A5534" i="2"/>
  <c r="A5535" i="2"/>
  <c r="A5536" i="2"/>
  <c r="A5537" i="2"/>
  <c r="A5538" i="2"/>
  <c r="A5539" i="2"/>
  <c r="A5540" i="2"/>
  <c r="A5541" i="2"/>
  <c r="A5542" i="2"/>
  <c r="A5543" i="2"/>
  <c r="A5544" i="2"/>
  <c r="A5545" i="2"/>
  <c r="A5546" i="2"/>
  <c r="A5547" i="2"/>
  <c r="A5548" i="2"/>
  <c r="A5549" i="2"/>
  <c r="A5550" i="2"/>
  <c r="A5551" i="2"/>
  <c r="A5552" i="2"/>
  <c r="A5553" i="2"/>
  <c r="A5554" i="2"/>
  <c r="A5555" i="2"/>
  <c r="A5556" i="2"/>
  <c r="A5557" i="2"/>
  <c r="A5558" i="2"/>
  <c r="A5559" i="2"/>
  <c r="A5560" i="2"/>
  <c r="A5561" i="2"/>
  <c r="A5562" i="2"/>
  <c r="A5563" i="2"/>
  <c r="A5564" i="2"/>
  <c r="A5565" i="2"/>
  <c r="A5566" i="2"/>
  <c r="A5567" i="2"/>
  <c r="A5568" i="2"/>
  <c r="A5569" i="2"/>
  <c r="A5570" i="2"/>
  <c r="A5571" i="2"/>
  <c r="A5572" i="2"/>
  <c r="A5573" i="2"/>
  <c r="A5574" i="2"/>
  <c r="A5575" i="2"/>
  <c r="A5576" i="2"/>
  <c r="A5577" i="2"/>
  <c r="A5578" i="2"/>
  <c r="A5579" i="2"/>
  <c r="A5580" i="2"/>
  <c r="A5581" i="2"/>
  <c r="A5582" i="2"/>
  <c r="A5583" i="2"/>
  <c r="A5584" i="2"/>
  <c r="A5585" i="2"/>
  <c r="A5586" i="2"/>
  <c r="A5587" i="2"/>
  <c r="A5588" i="2"/>
  <c r="A5589" i="2"/>
  <c r="A5590" i="2"/>
  <c r="A5591" i="2"/>
  <c r="A5592" i="2"/>
  <c r="A5593" i="2"/>
  <c r="A5594" i="2"/>
  <c r="A5595" i="2"/>
  <c r="A5596" i="2"/>
  <c r="A5597" i="2"/>
  <c r="A5598" i="2"/>
  <c r="A5599" i="2"/>
  <c r="A5600" i="2"/>
  <c r="A5601" i="2"/>
  <c r="A5602" i="2"/>
  <c r="A5603" i="2"/>
  <c r="A5604" i="2"/>
  <c r="A5605" i="2"/>
  <c r="A5606" i="2"/>
  <c r="A5607" i="2"/>
  <c r="A5608" i="2"/>
  <c r="A5609" i="2"/>
  <c r="A5610" i="2"/>
  <c r="A5611" i="2"/>
  <c r="A5612" i="2"/>
  <c r="A5613" i="2"/>
  <c r="A5614" i="2"/>
  <c r="A5615" i="2"/>
  <c r="A5616" i="2"/>
  <c r="A5617" i="2"/>
  <c r="A5618" i="2"/>
  <c r="A5619" i="2"/>
  <c r="A5620" i="2"/>
  <c r="A5621" i="2"/>
  <c r="A5622" i="2"/>
  <c r="A5623" i="2"/>
  <c r="A5624" i="2"/>
  <c r="A5625" i="2"/>
  <c r="A5626" i="2"/>
  <c r="A5627" i="2"/>
  <c r="A5628" i="2"/>
  <c r="A5629" i="2"/>
  <c r="A5630" i="2"/>
  <c r="A5631" i="2"/>
  <c r="A5632" i="2"/>
  <c r="A5633" i="2"/>
  <c r="A5634" i="2"/>
  <c r="A5635" i="2"/>
  <c r="A5636" i="2"/>
  <c r="A5637" i="2"/>
  <c r="A5638" i="2"/>
  <c r="A5639" i="2"/>
  <c r="A5640" i="2"/>
  <c r="A5641" i="2"/>
  <c r="A5642" i="2"/>
  <c r="A5643" i="2"/>
  <c r="A5644" i="2"/>
  <c r="A5645" i="2"/>
  <c r="A5646" i="2"/>
  <c r="A5647" i="2"/>
  <c r="A5648" i="2"/>
  <c r="A5649" i="2"/>
  <c r="A5650" i="2"/>
  <c r="A5651" i="2"/>
  <c r="A5652" i="2"/>
  <c r="A5653" i="2"/>
  <c r="A5654" i="2"/>
  <c r="A5655" i="2"/>
  <c r="A5656" i="2"/>
  <c r="A5657" i="2"/>
  <c r="A5658" i="2"/>
  <c r="A5659" i="2"/>
  <c r="A5660" i="2"/>
  <c r="A5661" i="2"/>
  <c r="A5662" i="2"/>
  <c r="A5663" i="2"/>
  <c r="A5664" i="2"/>
  <c r="A5665" i="2"/>
  <c r="A5666" i="2"/>
  <c r="A5667" i="2"/>
  <c r="A5668" i="2"/>
  <c r="A5669" i="2"/>
  <c r="A5670" i="2"/>
  <c r="A5671" i="2"/>
  <c r="A5672" i="2"/>
  <c r="A5673" i="2"/>
  <c r="A5674" i="2"/>
  <c r="A5675" i="2"/>
  <c r="A5676" i="2"/>
  <c r="A5677" i="2"/>
  <c r="A5678" i="2"/>
  <c r="A5679" i="2"/>
  <c r="A5680" i="2"/>
  <c r="A5681" i="2"/>
  <c r="A5682" i="2"/>
  <c r="A5683" i="2"/>
  <c r="A5684" i="2"/>
  <c r="A5685" i="2"/>
  <c r="A5686" i="2"/>
  <c r="A5687" i="2"/>
  <c r="A5688" i="2"/>
  <c r="A5689" i="2"/>
  <c r="A5690" i="2"/>
  <c r="A5691" i="2"/>
  <c r="A5692" i="2"/>
  <c r="A5693" i="2"/>
  <c r="A5694" i="2"/>
  <c r="A5695" i="2"/>
  <c r="A5696" i="2"/>
  <c r="A5697" i="2"/>
  <c r="A5698" i="2"/>
  <c r="A5699" i="2"/>
  <c r="A5700" i="2"/>
  <c r="A5701" i="2"/>
  <c r="A5702" i="2"/>
  <c r="A5703" i="2"/>
  <c r="A5704" i="2"/>
  <c r="A5705" i="2"/>
  <c r="A5706" i="2"/>
  <c r="A5707" i="2"/>
  <c r="A5708" i="2"/>
  <c r="A5709" i="2"/>
  <c r="A5710" i="2"/>
  <c r="A5711" i="2"/>
  <c r="A5712" i="2"/>
  <c r="A5713" i="2"/>
  <c r="A5714" i="2"/>
  <c r="A5715" i="2"/>
  <c r="A5716" i="2"/>
  <c r="A5717" i="2"/>
  <c r="A5718" i="2"/>
  <c r="A5719" i="2"/>
  <c r="A5720" i="2"/>
  <c r="A5721" i="2"/>
  <c r="A5722" i="2"/>
  <c r="A5723" i="2"/>
  <c r="A5724" i="2"/>
  <c r="A5725" i="2"/>
  <c r="A5726" i="2"/>
  <c r="A5727" i="2"/>
  <c r="A5728" i="2"/>
  <c r="A5729" i="2"/>
  <c r="A5730" i="2"/>
  <c r="A5731" i="2"/>
  <c r="A5732" i="2"/>
  <c r="A5733" i="2"/>
  <c r="A5734" i="2"/>
  <c r="A5735" i="2"/>
  <c r="A5736" i="2"/>
  <c r="A5737" i="2"/>
  <c r="A5738" i="2"/>
  <c r="A5739" i="2"/>
  <c r="A5740" i="2"/>
  <c r="A5741" i="2"/>
  <c r="A5742" i="2"/>
  <c r="A5743" i="2"/>
  <c r="A5744" i="2"/>
  <c r="A5745" i="2"/>
  <c r="A5746" i="2"/>
  <c r="A5747" i="2"/>
  <c r="A5748" i="2"/>
  <c r="A5749" i="2"/>
  <c r="A5750" i="2"/>
  <c r="A5751" i="2"/>
  <c r="A5752" i="2"/>
  <c r="A5753" i="2"/>
  <c r="A5754" i="2"/>
  <c r="A5755" i="2"/>
  <c r="A5756" i="2"/>
  <c r="A5757" i="2"/>
  <c r="A5758" i="2"/>
  <c r="A5759" i="2"/>
  <c r="A5760" i="2"/>
  <c r="A5761" i="2"/>
  <c r="A5762" i="2"/>
  <c r="A5763" i="2"/>
  <c r="A5764" i="2"/>
  <c r="A5765" i="2"/>
  <c r="A5766" i="2"/>
  <c r="A5767" i="2"/>
  <c r="A5768" i="2"/>
  <c r="A5769" i="2"/>
  <c r="A5770" i="2"/>
  <c r="A5771" i="2"/>
  <c r="A5772" i="2"/>
  <c r="A5773" i="2"/>
  <c r="A5774" i="2"/>
  <c r="A5775" i="2"/>
  <c r="A5776" i="2"/>
  <c r="A5777" i="2"/>
  <c r="A5778" i="2"/>
  <c r="A5779" i="2"/>
  <c r="A5780" i="2"/>
  <c r="A5781" i="2"/>
  <c r="A5782" i="2"/>
  <c r="A5783" i="2"/>
  <c r="A5784" i="2"/>
  <c r="A5785" i="2"/>
  <c r="A5786" i="2"/>
  <c r="A5787" i="2"/>
  <c r="A5788" i="2"/>
  <c r="A5789" i="2"/>
  <c r="A5790" i="2"/>
  <c r="A5791" i="2"/>
  <c r="A5792" i="2"/>
  <c r="A5793" i="2"/>
  <c r="A5794" i="2"/>
  <c r="A5795" i="2"/>
  <c r="A5796" i="2"/>
  <c r="A5797" i="2"/>
  <c r="A5798" i="2"/>
  <c r="A5799" i="2"/>
  <c r="A5800" i="2"/>
  <c r="A5801" i="2"/>
  <c r="A5802" i="2"/>
  <c r="A5803" i="2"/>
  <c r="A5804" i="2"/>
  <c r="A5805" i="2"/>
  <c r="A5806" i="2"/>
  <c r="A5807" i="2"/>
  <c r="A5808" i="2"/>
  <c r="A5809" i="2"/>
  <c r="A5810" i="2"/>
  <c r="A5811" i="2"/>
  <c r="A5812" i="2"/>
  <c r="A5813" i="2"/>
  <c r="A5814" i="2"/>
  <c r="A5815" i="2"/>
  <c r="A5816" i="2"/>
  <c r="A5817" i="2"/>
  <c r="A5818" i="2"/>
  <c r="A5819" i="2"/>
  <c r="A5820" i="2"/>
  <c r="A5821" i="2"/>
  <c r="A5822" i="2"/>
  <c r="A5823" i="2"/>
  <c r="A5824" i="2"/>
  <c r="A5825" i="2"/>
  <c r="A5826" i="2"/>
  <c r="A5827" i="2"/>
  <c r="A5828" i="2"/>
  <c r="A5829" i="2"/>
  <c r="A5830" i="2"/>
  <c r="A5831" i="2"/>
  <c r="A5832" i="2"/>
  <c r="A5833" i="2"/>
  <c r="A5834" i="2"/>
  <c r="A5835" i="2"/>
  <c r="A5836" i="2"/>
  <c r="A5837" i="2"/>
  <c r="A5838" i="2"/>
  <c r="A5839" i="2"/>
  <c r="A5840" i="2"/>
  <c r="A5841" i="2"/>
  <c r="A5842" i="2"/>
  <c r="A5843" i="2"/>
  <c r="A5844" i="2"/>
  <c r="A5845" i="2"/>
  <c r="A5846" i="2"/>
  <c r="A5847" i="2"/>
  <c r="A5848" i="2"/>
  <c r="A5849" i="2"/>
  <c r="A5850" i="2"/>
  <c r="A5851" i="2"/>
  <c r="A5852" i="2"/>
  <c r="A5853" i="2"/>
  <c r="A5854" i="2"/>
  <c r="A5855" i="2"/>
  <c r="A5856" i="2"/>
  <c r="A5857" i="2"/>
  <c r="A5858" i="2"/>
  <c r="A5859" i="2"/>
  <c r="A5860" i="2"/>
  <c r="A5861" i="2"/>
  <c r="A5862" i="2"/>
  <c r="A5863" i="2"/>
  <c r="A5864" i="2"/>
  <c r="A5865" i="2"/>
  <c r="A5866" i="2"/>
  <c r="A5867" i="2"/>
  <c r="A5868" i="2"/>
  <c r="A5869" i="2"/>
  <c r="A5870" i="2"/>
  <c r="A5871" i="2"/>
  <c r="A5872" i="2"/>
  <c r="A5873" i="2"/>
  <c r="A5874" i="2"/>
  <c r="A5875" i="2"/>
  <c r="A5876" i="2"/>
  <c r="A5877" i="2"/>
  <c r="A5878" i="2"/>
  <c r="A5879" i="2"/>
  <c r="A5880" i="2"/>
  <c r="A5881" i="2"/>
  <c r="A5882" i="2"/>
  <c r="A5883" i="2"/>
  <c r="A5884" i="2"/>
  <c r="A5885" i="2"/>
  <c r="A5886" i="2"/>
  <c r="A5887" i="2"/>
  <c r="A5888" i="2"/>
  <c r="A5889" i="2"/>
  <c r="A5890" i="2"/>
  <c r="A5891" i="2"/>
  <c r="A5892" i="2"/>
  <c r="A5893" i="2"/>
  <c r="A5894" i="2"/>
  <c r="A5895" i="2"/>
  <c r="A5896" i="2"/>
  <c r="A5897" i="2"/>
  <c r="A5898" i="2"/>
  <c r="A5899" i="2"/>
  <c r="A5900" i="2"/>
  <c r="A5901" i="2"/>
  <c r="A5902" i="2"/>
  <c r="A5903" i="2"/>
  <c r="A5904" i="2"/>
  <c r="A5905" i="2"/>
  <c r="A5906" i="2"/>
  <c r="A5907" i="2"/>
  <c r="A5908" i="2"/>
  <c r="A5909" i="2"/>
  <c r="A5910" i="2"/>
  <c r="A5911" i="2"/>
  <c r="A5912" i="2"/>
  <c r="A5913" i="2"/>
  <c r="A5914" i="2"/>
  <c r="A5915" i="2"/>
  <c r="A5916" i="2"/>
  <c r="A5917" i="2"/>
  <c r="A5918" i="2"/>
  <c r="A5919" i="2"/>
  <c r="A5920" i="2"/>
  <c r="A5921" i="2"/>
  <c r="A5922" i="2"/>
  <c r="A5923" i="2"/>
  <c r="A5924" i="2"/>
  <c r="A5925" i="2"/>
  <c r="A5926" i="2"/>
  <c r="A5927" i="2"/>
  <c r="A5928" i="2"/>
  <c r="A5929" i="2"/>
  <c r="A5930" i="2"/>
  <c r="A5931" i="2"/>
  <c r="A5932" i="2"/>
  <c r="A5933" i="2"/>
  <c r="A5934" i="2"/>
  <c r="A5935" i="2"/>
  <c r="A5936" i="2"/>
  <c r="A5937" i="2"/>
  <c r="A5938" i="2"/>
  <c r="A5939" i="2"/>
  <c r="A5940" i="2"/>
  <c r="A5941" i="2"/>
  <c r="A5942" i="2"/>
  <c r="A5943" i="2"/>
  <c r="A5944" i="2"/>
  <c r="A5945" i="2"/>
  <c r="A5946" i="2"/>
  <c r="A5947" i="2"/>
  <c r="A5948" i="2"/>
  <c r="A5949" i="2"/>
  <c r="A5950" i="2"/>
  <c r="A5951" i="2"/>
  <c r="A5952" i="2"/>
  <c r="A5953" i="2"/>
  <c r="A5954" i="2"/>
  <c r="A5955" i="2"/>
  <c r="A5956" i="2"/>
  <c r="A5957" i="2"/>
  <c r="A5958" i="2"/>
  <c r="A5959" i="2"/>
  <c r="A5960" i="2"/>
  <c r="A5961" i="2"/>
  <c r="A5962" i="2"/>
  <c r="A5963" i="2"/>
  <c r="A5964" i="2"/>
  <c r="A5965" i="2"/>
  <c r="A5966" i="2"/>
  <c r="A5967" i="2"/>
  <c r="A5968" i="2"/>
  <c r="A5969" i="2"/>
  <c r="A5970" i="2"/>
  <c r="A5971" i="2"/>
  <c r="A5972" i="2"/>
  <c r="A5973" i="2"/>
  <c r="A5974" i="2"/>
  <c r="A5975" i="2"/>
  <c r="A5976" i="2"/>
  <c r="A5977" i="2"/>
  <c r="A5978" i="2"/>
  <c r="A5979" i="2"/>
  <c r="A5980" i="2"/>
  <c r="A5981" i="2"/>
  <c r="A5982" i="2"/>
  <c r="A5983" i="2"/>
  <c r="A5984" i="2"/>
  <c r="A5985" i="2"/>
  <c r="A5986" i="2"/>
  <c r="A5987" i="2"/>
  <c r="A5988" i="2"/>
  <c r="A5989" i="2"/>
  <c r="A5990" i="2"/>
  <c r="A5991" i="2"/>
  <c r="A5992" i="2"/>
  <c r="A5993" i="2"/>
  <c r="A5994" i="2"/>
  <c r="A5995" i="2"/>
  <c r="A5996" i="2"/>
  <c r="A5997" i="2"/>
  <c r="A5998" i="2"/>
  <c r="A5999" i="2"/>
  <c r="A6000" i="2"/>
  <c r="A6001" i="2"/>
  <c r="A6002" i="2"/>
  <c r="A6003" i="2"/>
  <c r="A6004" i="2"/>
  <c r="A6005" i="2"/>
  <c r="A6006" i="2"/>
  <c r="A6007" i="2"/>
  <c r="A6008" i="2"/>
  <c r="A6009" i="2"/>
  <c r="A6010" i="2"/>
  <c r="A6011" i="2"/>
  <c r="A6012" i="2"/>
  <c r="A6013" i="2"/>
  <c r="A6014" i="2"/>
  <c r="A6015" i="2"/>
  <c r="A6016" i="2"/>
  <c r="A6017" i="2"/>
  <c r="A6018" i="2"/>
  <c r="A6019" i="2"/>
  <c r="A6020" i="2"/>
  <c r="A6021" i="2"/>
  <c r="A6022" i="2"/>
  <c r="A6023" i="2"/>
  <c r="A6024" i="2"/>
  <c r="A6025" i="2"/>
  <c r="A6026" i="2"/>
  <c r="A6027" i="2"/>
  <c r="A6028" i="2"/>
  <c r="A6029" i="2"/>
  <c r="A6030" i="2"/>
  <c r="A6031" i="2"/>
  <c r="A6032" i="2"/>
  <c r="A6033" i="2"/>
  <c r="A6034" i="2"/>
  <c r="A6035" i="2"/>
  <c r="A6036" i="2"/>
  <c r="A6037" i="2"/>
  <c r="A6038" i="2"/>
  <c r="A6039" i="2"/>
  <c r="A6040" i="2"/>
  <c r="A6041" i="2"/>
  <c r="A6042" i="2"/>
  <c r="A6043" i="2"/>
  <c r="A6044" i="2"/>
  <c r="A6045" i="2"/>
  <c r="A6046" i="2"/>
  <c r="A6047" i="2"/>
  <c r="A6048" i="2"/>
  <c r="A6049" i="2"/>
  <c r="A6050" i="2"/>
  <c r="A6051" i="2"/>
  <c r="A6052" i="2"/>
  <c r="A6053" i="2"/>
  <c r="A6054" i="2"/>
  <c r="A6055" i="2"/>
  <c r="A6056" i="2"/>
  <c r="A6057" i="2"/>
  <c r="A6058" i="2"/>
  <c r="A6059" i="2"/>
  <c r="A6060" i="2"/>
  <c r="A6061" i="2"/>
  <c r="A6062" i="2"/>
  <c r="A6063" i="2"/>
  <c r="A6064" i="2"/>
  <c r="A6065" i="2"/>
  <c r="A6066" i="2"/>
  <c r="A6067" i="2"/>
  <c r="A6068" i="2"/>
  <c r="A6069" i="2"/>
  <c r="A6070" i="2"/>
  <c r="A6071" i="2"/>
  <c r="A6072" i="2"/>
  <c r="A6073" i="2"/>
  <c r="A6074" i="2"/>
  <c r="A6075" i="2"/>
  <c r="A6076" i="2"/>
  <c r="A6077" i="2"/>
  <c r="A6078" i="2"/>
  <c r="A6079" i="2"/>
  <c r="A6080" i="2"/>
  <c r="A6081" i="2"/>
  <c r="A6082" i="2"/>
  <c r="A6083" i="2"/>
  <c r="A6084" i="2"/>
  <c r="A6085" i="2"/>
  <c r="A6086" i="2"/>
  <c r="A6087" i="2"/>
  <c r="A6088" i="2"/>
  <c r="A6089" i="2"/>
  <c r="A6090" i="2"/>
  <c r="A6091" i="2"/>
  <c r="A6092" i="2"/>
  <c r="A6093" i="2"/>
  <c r="A6094" i="2"/>
  <c r="A6095" i="2"/>
  <c r="A6096" i="2"/>
  <c r="A6097" i="2"/>
  <c r="A6098" i="2"/>
  <c r="A6099" i="2"/>
  <c r="A6100" i="2"/>
  <c r="A6101" i="2"/>
  <c r="A6102" i="2"/>
  <c r="A6103" i="2"/>
  <c r="A6104" i="2"/>
  <c r="A6105" i="2"/>
  <c r="A6106" i="2"/>
  <c r="A6107" i="2"/>
  <c r="A6108" i="2"/>
  <c r="A6109" i="2"/>
  <c r="A6110" i="2"/>
  <c r="A6111" i="2"/>
  <c r="A6112" i="2"/>
  <c r="A6113" i="2"/>
  <c r="A6114" i="2"/>
  <c r="A6115" i="2"/>
  <c r="A6116" i="2"/>
  <c r="A6117" i="2"/>
  <c r="A6118" i="2"/>
  <c r="A6119" i="2"/>
  <c r="A6120" i="2"/>
  <c r="A6121" i="2"/>
  <c r="A6122" i="2"/>
  <c r="A6123" i="2"/>
  <c r="A6124" i="2"/>
  <c r="A6125" i="2"/>
  <c r="A6126" i="2"/>
  <c r="A6127" i="2"/>
  <c r="A6128" i="2"/>
  <c r="A6129" i="2"/>
  <c r="A6130" i="2"/>
  <c r="A6131" i="2"/>
  <c r="A6132" i="2"/>
  <c r="A6133" i="2"/>
  <c r="A6134" i="2"/>
  <c r="A6135" i="2"/>
  <c r="A6136" i="2"/>
  <c r="A6137" i="2"/>
  <c r="A6138" i="2"/>
  <c r="A6139" i="2"/>
  <c r="A6140" i="2"/>
  <c r="A6141" i="2"/>
  <c r="A6142" i="2"/>
  <c r="A6143" i="2"/>
  <c r="A6144" i="2"/>
  <c r="A6145" i="2"/>
  <c r="A6146" i="2"/>
  <c r="A6147" i="2"/>
  <c r="A6148" i="2"/>
  <c r="A6149" i="2"/>
  <c r="A6150" i="2"/>
  <c r="A6151" i="2"/>
  <c r="A6152" i="2"/>
  <c r="A6153" i="2"/>
  <c r="A6154" i="2"/>
  <c r="A6155" i="2"/>
  <c r="A6156" i="2"/>
  <c r="A6157" i="2"/>
  <c r="A6158" i="2"/>
  <c r="A6159" i="2"/>
  <c r="A6160" i="2"/>
  <c r="A6161" i="2"/>
  <c r="A6162" i="2"/>
  <c r="A6163" i="2"/>
  <c r="A6164" i="2"/>
  <c r="A6165" i="2"/>
  <c r="A6166" i="2"/>
  <c r="A6167" i="2"/>
  <c r="A6168" i="2"/>
  <c r="A6169" i="2"/>
  <c r="A6170" i="2"/>
  <c r="A6171" i="2"/>
  <c r="A6172" i="2"/>
  <c r="A6173" i="2"/>
  <c r="A6174" i="2"/>
  <c r="A6175" i="2"/>
  <c r="A6176" i="2"/>
  <c r="A6177" i="2"/>
  <c r="A6178" i="2"/>
  <c r="A6179" i="2"/>
  <c r="A6180" i="2"/>
  <c r="A6181" i="2"/>
  <c r="A6182" i="2"/>
  <c r="A6183" i="2"/>
  <c r="A6184" i="2"/>
  <c r="A6185" i="2"/>
  <c r="A6186" i="2"/>
  <c r="A6187" i="2"/>
  <c r="A6188" i="2"/>
  <c r="A6189" i="2"/>
  <c r="A6190" i="2"/>
  <c r="A6191" i="2"/>
  <c r="A6192" i="2"/>
  <c r="A6193" i="2"/>
  <c r="A6194" i="2"/>
  <c r="A6195" i="2"/>
  <c r="A6196" i="2"/>
  <c r="A6197" i="2"/>
  <c r="A6198" i="2"/>
  <c r="A6199" i="2"/>
  <c r="A6200" i="2"/>
  <c r="A6201" i="2"/>
  <c r="A6202" i="2"/>
  <c r="A6203" i="2"/>
  <c r="A6204" i="2"/>
  <c r="A6205" i="2"/>
  <c r="A6206" i="2"/>
  <c r="A6207" i="2"/>
  <c r="A6208" i="2"/>
  <c r="A6209" i="2"/>
  <c r="A6210" i="2"/>
  <c r="A6211" i="2"/>
  <c r="A6212" i="2"/>
  <c r="A6213" i="2"/>
  <c r="A6214" i="2"/>
  <c r="A6215" i="2"/>
  <c r="A6216" i="2"/>
  <c r="A6217" i="2"/>
  <c r="A6218" i="2"/>
  <c r="A6219" i="2"/>
  <c r="A6220" i="2"/>
  <c r="A6221" i="2"/>
  <c r="A6222" i="2"/>
  <c r="A6223" i="2"/>
  <c r="A6224" i="2"/>
  <c r="A6225" i="2"/>
  <c r="A6226" i="2"/>
  <c r="A6227" i="2"/>
  <c r="A6228" i="2"/>
  <c r="A6229" i="2"/>
  <c r="A6230" i="2"/>
  <c r="A6231" i="2"/>
  <c r="A6232" i="2"/>
  <c r="A6233" i="2"/>
  <c r="A6234" i="2"/>
  <c r="A6235" i="2"/>
  <c r="A6236" i="2"/>
  <c r="A6237" i="2"/>
  <c r="A6238" i="2"/>
  <c r="A6239" i="2"/>
  <c r="A6240" i="2"/>
  <c r="A6241" i="2"/>
  <c r="A6242" i="2"/>
  <c r="A6243" i="2"/>
  <c r="A6244" i="2"/>
  <c r="A6245" i="2"/>
  <c r="A6246" i="2"/>
  <c r="A6247" i="2"/>
  <c r="A6248" i="2"/>
  <c r="A6249" i="2"/>
  <c r="A6250" i="2"/>
  <c r="A6251" i="2"/>
  <c r="A6252" i="2"/>
  <c r="A6253" i="2"/>
  <c r="A6254" i="2"/>
  <c r="A6255" i="2"/>
  <c r="A6256" i="2"/>
  <c r="A6257" i="2"/>
  <c r="A6258" i="2"/>
  <c r="A6259" i="2"/>
  <c r="A6260" i="2"/>
  <c r="A6261" i="2"/>
  <c r="A6262" i="2"/>
  <c r="A6263" i="2"/>
  <c r="A6264" i="2"/>
  <c r="A6265" i="2"/>
  <c r="A6266" i="2"/>
  <c r="A6267" i="2"/>
  <c r="A6268" i="2"/>
  <c r="A6269" i="2"/>
  <c r="A6270" i="2"/>
  <c r="A6271" i="2"/>
  <c r="A6272" i="2"/>
  <c r="A6273" i="2"/>
  <c r="A6274" i="2"/>
  <c r="A6275" i="2"/>
  <c r="A6276" i="2"/>
  <c r="A6277" i="2"/>
  <c r="A6278" i="2"/>
  <c r="A6279" i="2"/>
  <c r="A6280" i="2"/>
  <c r="A6281" i="2"/>
  <c r="A6282" i="2"/>
  <c r="A6283" i="2"/>
  <c r="A6284" i="2"/>
  <c r="A6285" i="2"/>
  <c r="A6286" i="2"/>
  <c r="A6287" i="2"/>
  <c r="A6288" i="2"/>
  <c r="A6289" i="2"/>
  <c r="A6290" i="2"/>
  <c r="A6291" i="2"/>
  <c r="A6292" i="2"/>
  <c r="A6293" i="2"/>
  <c r="A6294" i="2"/>
  <c r="A6295" i="2"/>
  <c r="A6296" i="2"/>
  <c r="A6297" i="2"/>
  <c r="A6298" i="2"/>
  <c r="A6299" i="2"/>
  <c r="A6300" i="2"/>
  <c r="A6301" i="2"/>
  <c r="A6302" i="2"/>
  <c r="A6303" i="2"/>
  <c r="A6304" i="2"/>
  <c r="A6305" i="2"/>
  <c r="A6306" i="2"/>
  <c r="A6307" i="2"/>
  <c r="A6308" i="2"/>
  <c r="A6309" i="2"/>
  <c r="A6310" i="2"/>
  <c r="A6311" i="2"/>
  <c r="A6312" i="2"/>
  <c r="A6313" i="2"/>
  <c r="A6314" i="2"/>
  <c r="A6315" i="2"/>
  <c r="A6316" i="2"/>
  <c r="A6317" i="2"/>
  <c r="A6318" i="2"/>
  <c r="A6319" i="2"/>
  <c r="A6320" i="2"/>
  <c r="A6321" i="2"/>
  <c r="A6322" i="2"/>
  <c r="A6323" i="2"/>
  <c r="A6324" i="2"/>
  <c r="A6325" i="2"/>
  <c r="A6326" i="2"/>
  <c r="A6327" i="2"/>
  <c r="A6328" i="2"/>
  <c r="A6329" i="2"/>
  <c r="A6330" i="2"/>
  <c r="A6331" i="2"/>
  <c r="A6332" i="2"/>
  <c r="A6333" i="2"/>
  <c r="A6334" i="2"/>
  <c r="A6335" i="2"/>
  <c r="A6336" i="2"/>
  <c r="A6337" i="2"/>
  <c r="A6338" i="2"/>
  <c r="A6339" i="2"/>
  <c r="A6340" i="2"/>
  <c r="A6341" i="2"/>
  <c r="A6342" i="2"/>
  <c r="A6343" i="2"/>
  <c r="A6344" i="2"/>
  <c r="A6345" i="2"/>
  <c r="A6346" i="2"/>
  <c r="A6347" i="2"/>
  <c r="A6348" i="2"/>
  <c r="A6349" i="2"/>
  <c r="A6350" i="2"/>
  <c r="A6351" i="2"/>
  <c r="A6352" i="2"/>
  <c r="A6353" i="2"/>
  <c r="A6354" i="2"/>
  <c r="A6355" i="2"/>
  <c r="A6356" i="2"/>
  <c r="A6357" i="2"/>
  <c r="A6358" i="2"/>
  <c r="A6359" i="2"/>
  <c r="A6360" i="2"/>
  <c r="A6361" i="2"/>
  <c r="A6362" i="2"/>
  <c r="A6363" i="2"/>
  <c r="A6364" i="2"/>
  <c r="A6365" i="2"/>
  <c r="A6366" i="2"/>
  <c r="A6367" i="2"/>
  <c r="A6368" i="2"/>
  <c r="A6369" i="2"/>
  <c r="A6370" i="2"/>
  <c r="A6371" i="2"/>
  <c r="A6372" i="2"/>
  <c r="A6373" i="2"/>
  <c r="A6374" i="2"/>
  <c r="A6375" i="2"/>
  <c r="A6376" i="2"/>
  <c r="A6377" i="2"/>
  <c r="A6378" i="2"/>
  <c r="A6379" i="2"/>
  <c r="A6380" i="2"/>
  <c r="A6381" i="2"/>
  <c r="A6382" i="2"/>
  <c r="A6383" i="2"/>
  <c r="A6384" i="2"/>
  <c r="A6385" i="2"/>
  <c r="A6386" i="2"/>
  <c r="A6387" i="2"/>
  <c r="A6388" i="2"/>
  <c r="A6389" i="2"/>
  <c r="A6390" i="2"/>
  <c r="A6391" i="2"/>
  <c r="A6392" i="2"/>
  <c r="A6393" i="2"/>
  <c r="A6394" i="2"/>
  <c r="A6395" i="2"/>
  <c r="A6396" i="2"/>
  <c r="A6397" i="2"/>
  <c r="A6398" i="2"/>
  <c r="A6399" i="2"/>
  <c r="A6400" i="2"/>
  <c r="A6401" i="2"/>
  <c r="A6402" i="2"/>
  <c r="A6403" i="2"/>
  <c r="A6404" i="2"/>
  <c r="A6405" i="2"/>
  <c r="A6406" i="2"/>
  <c r="A6407" i="2"/>
  <c r="A6408" i="2"/>
  <c r="A6409" i="2"/>
  <c r="A6410" i="2"/>
  <c r="A6411" i="2"/>
  <c r="A6412" i="2"/>
  <c r="A6413" i="2"/>
  <c r="A6414" i="2"/>
  <c r="A6415" i="2"/>
  <c r="A6416" i="2"/>
  <c r="A6417" i="2"/>
  <c r="A6418" i="2"/>
  <c r="A6419" i="2"/>
  <c r="A6420" i="2"/>
  <c r="A6421" i="2"/>
  <c r="A6422" i="2"/>
  <c r="A6423" i="2"/>
  <c r="A6424" i="2"/>
  <c r="A6425" i="2"/>
  <c r="A6426" i="2"/>
  <c r="A6427" i="2"/>
  <c r="A6428" i="2"/>
  <c r="A6429" i="2"/>
  <c r="A6430" i="2"/>
  <c r="A6431" i="2"/>
  <c r="A6432" i="2"/>
  <c r="A6433" i="2"/>
  <c r="A6434" i="2"/>
  <c r="A6435" i="2"/>
  <c r="A6436" i="2"/>
  <c r="A6437" i="2"/>
  <c r="A6438" i="2"/>
  <c r="A6439" i="2"/>
  <c r="A6440" i="2"/>
  <c r="A6441" i="2"/>
  <c r="A6442" i="2"/>
  <c r="A6443" i="2"/>
  <c r="A6444" i="2"/>
  <c r="A6445" i="2"/>
  <c r="A6446" i="2"/>
  <c r="A6447" i="2"/>
  <c r="A6448" i="2"/>
  <c r="A6449" i="2"/>
  <c r="A6450" i="2"/>
  <c r="A6451" i="2"/>
  <c r="A6452" i="2"/>
  <c r="A6453" i="2"/>
  <c r="A6454" i="2"/>
  <c r="A6455" i="2"/>
  <c r="A6456" i="2"/>
  <c r="A6457" i="2"/>
  <c r="A6458" i="2"/>
  <c r="A6459" i="2"/>
  <c r="A6460" i="2"/>
  <c r="A6461" i="2"/>
  <c r="A6462" i="2"/>
  <c r="A6463" i="2"/>
  <c r="A6464" i="2"/>
  <c r="A6465" i="2"/>
  <c r="A6466" i="2"/>
  <c r="A6467" i="2"/>
  <c r="A6468" i="2"/>
  <c r="A6469" i="2"/>
  <c r="A6470" i="2"/>
  <c r="A6471" i="2"/>
  <c r="A6472" i="2"/>
  <c r="A6473" i="2"/>
  <c r="A6474" i="2"/>
  <c r="A6475" i="2"/>
  <c r="A6476" i="2"/>
  <c r="A6477" i="2"/>
  <c r="A6478" i="2"/>
  <c r="A6479" i="2"/>
  <c r="A6480" i="2"/>
  <c r="A6481" i="2"/>
  <c r="A6482" i="2"/>
  <c r="A6483" i="2"/>
  <c r="A6484" i="2"/>
  <c r="A6485" i="2"/>
  <c r="A6486" i="2"/>
  <c r="A6487" i="2"/>
  <c r="A6488" i="2"/>
  <c r="A6489" i="2"/>
  <c r="A6490" i="2"/>
  <c r="A6491" i="2"/>
  <c r="A6492" i="2"/>
  <c r="A6493" i="2"/>
  <c r="A6494" i="2"/>
  <c r="A6495" i="2"/>
  <c r="A6496" i="2"/>
  <c r="A6497" i="2"/>
  <c r="A6498" i="2"/>
  <c r="A6499" i="2"/>
  <c r="A6500" i="2"/>
  <c r="A6501" i="2"/>
  <c r="A6502" i="2"/>
  <c r="A6503" i="2"/>
  <c r="A6504" i="2"/>
  <c r="A6505" i="2"/>
  <c r="A6506" i="2"/>
  <c r="A6507" i="2"/>
  <c r="A6508" i="2"/>
  <c r="A6509" i="2"/>
  <c r="A6510" i="2"/>
  <c r="A6511" i="2"/>
  <c r="A6512" i="2"/>
  <c r="A6513" i="2"/>
  <c r="A6514" i="2"/>
  <c r="A6515" i="2"/>
  <c r="A6516" i="2"/>
  <c r="A6517" i="2"/>
  <c r="A6518" i="2"/>
  <c r="A6519" i="2"/>
  <c r="A6520" i="2"/>
  <c r="A6521" i="2"/>
  <c r="A6522" i="2"/>
  <c r="A6523" i="2"/>
  <c r="A6524" i="2"/>
  <c r="A6525" i="2"/>
  <c r="A6526" i="2"/>
  <c r="A6527" i="2"/>
  <c r="A6528" i="2"/>
  <c r="A6529" i="2"/>
  <c r="A6530" i="2"/>
  <c r="A6531" i="2"/>
  <c r="A6532" i="2"/>
  <c r="A6533" i="2"/>
  <c r="A6534" i="2"/>
  <c r="A6535" i="2"/>
  <c r="A6536" i="2"/>
  <c r="A6537" i="2"/>
  <c r="A6538" i="2"/>
  <c r="A6539" i="2"/>
  <c r="A6540" i="2"/>
  <c r="A6541" i="2"/>
  <c r="A6542" i="2"/>
  <c r="A6543" i="2"/>
  <c r="A6544" i="2"/>
  <c r="A6545" i="2"/>
  <c r="A6546" i="2"/>
  <c r="A6547" i="2"/>
  <c r="A6548" i="2"/>
  <c r="A6549" i="2"/>
  <c r="A6550" i="2"/>
  <c r="A6551" i="2"/>
  <c r="A6552" i="2"/>
  <c r="A6553" i="2"/>
  <c r="A6554" i="2"/>
  <c r="A6555" i="2"/>
  <c r="A6556" i="2"/>
  <c r="A6557" i="2"/>
  <c r="A6558" i="2"/>
  <c r="A6559" i="2"/>
  <c r="A6560" i="2"/>
  <c r="A6561" i="2"/>
  <c r="A6562" i="2"/>
  <c r="A6563" i="2"/>
  <c r="A6564" i="2"/>
  <c r="A6565" i="2"/>
  <c r="A6566" i="2"/>
  <c r="A6567" i="2"/>
  <c r="A6568" i="2"/>
  <c r="A6569" i="2"/>
  <c r="A6570" i="2"/>
  <c r="A6571" i="2"/>
  <c r="A6572" i="2"/>
  <c r="A6573" i="2"/>
  <c r="A6574" i="2"/>
  <c r="A6575" i="2"/>
  <c r="A6576" i="2"/>
  <c r="A6577" i="2"/>
  <c r="A6578" i="2"/>
  <c r="A6579" i="2"/>
  <c r="A6580" i="2"/>
  <c r="A6581" i="2"/>
  <c r="A6582" i="2"/>
  <c r="A6583" i="2"/>
  <c r="A6584" i="2"/>
  <c r="A6585" i="2"/>
  <c r="A6586" i="2"/>
  <c r="A6587" i="2"/>
  <c r="A6588" i="2"/>
  <c r="A6589" i="2"/>
  <c r="A6590" i="2"/>
  <c r="A6591" i="2"/>
  <c r="A6592" i="2"/>
  <c r="A6593" i="2"/>
  <c r="A6594" i="2"/>
  <c r="A6595" i="2"/>
  <c r="A6596" i="2"/>
  <c r="A6597" i="2"/>
  <c r="A6598" i="2"/>
  <c r="A6599" i="2"/>
  <c r="A6600" i="2"/>
  <c r="A6601" i="2"/>
  <c r="A6602" i="2"/>
  <c r="A6603" i="2"/>
  <c r="A6604" i="2"/>
  <c r="A6605" i="2"/>
  <c r="A6606" i="2"/>
  <c r="A6607" i="2"/>
  <c r="A6608" i="2"/>
  <c r="A6609" i="2"/>
  <c r="A6610" i="2"/>
  <c r="A6611" i="2"/>
  <c r="A6612" i="2"/>
  <c r="A6613" i="2"/>
  <c r="A6614" i="2"/>
  <c r="A6615" i="2"/>
  <c r="A6616" i="2"/>
  <c r="A6617" i="2"/>
  <c r="A6618" i="2"/>
  <c r="A6619" i="2"/>
  <c r="A6620" i="2"/>
  <c r="A6621" i="2"/>
  <c r="A6622" i="2"/>
  <c r="A6623" i="2"/>
  <c r="A6624" i="2"/>
  <c r="A6625" i="2"/>
  <c r="A6626" i="2"/>
  <c r="A6627" i="2"/>
  <c r="A6628" i="2"/>
  <c r="A6629" i="2"/>
  <c r="A6630" i="2"/>
  <c r="A6631" i="2"/>
  <c r="A6632" i="2"/>
  <c r="A6633" i="2"/>
  <c r="A6634" i="2"/>
  <c r="A6635" i="2"/>
  <c r="A6636" i="2"/>
  <c r="A6637" i="2"/>
  <c r="A6638" i="2"/>
  <c r="A6639" i="2"/>
  <c r="A6640" i="2"/>
  <c r="A6641" i="2"/>
  <c r="A6642" i="2"/>
  <c r="A6643" i="2"/>
  <c r="A6644" i="2"/>
  <c r="A6645" i="2"/>
  <c r="A6646" i="2"/>
  <c r="A6647" i="2"/>
  <c r="A6648" i="2"/>
  <c r="A6649" i="2"/>
  <c r="A6650" i="2"/>
  <c r="A6651" i="2"/>
  <c r="A6652" i="2"/>
  <c r="A6653" i="2"/>
  <c r="A6654" i="2"/>
  <c r="A6655" i="2"/>
  <c r="A6656" i="2"/>
  <c r="A6657" i="2"/>
  <c r="A6658" i="2"/>
  <c r="A6659" i="2"/>
  <c r="A6660" i="2"/>
  <c r="A6661" i="2"/>
  <c r="A6662" i="2"/>
  <c r="A6663" i="2"/>
  <c r="A6664" i="2"/>
  <c r="A6665" i="2"/>
  <c r="A6666" i="2"/>
  <c r="A6667" i="2"/>
  <c r="A6668" i="2"/>
  <c r="A6669" i="2"/>
  <c r="A6670" i="2"/>
  <c r="A6671" i="2"/>
  <c r="A6672" i="2"/>
  <c r="A6673" i="2"/>
  <c r="A6674" i="2"/>
  <c r="A6675" i="2"/>
  <c r="A6676" i="2"/>
  <c r="A6677" i="2"/>
  <c r="A6678" i="2"/>
  <c r="A6679" i="2"/>
  <c r="A6680" i="2"/>
  <c r="A6681" i="2"/>
  <c r="A6682" i="2"/>
  <c r="A6683" i="2"/>
  <c r="A6684" i="2"/>
  <c r="A6685" i="2"/>
  <c r="A6686" i="2"/>
  <c r="A6687" i="2"/>
  <c r="A6688" i="2"/>
  <c r="A6689" i="2"/>
  <c r="A6690" i="2"/>
  <c r="A6691" i="2"/>
  <c r="A6692" i="2"/>
  <c r="A6693" i="2"/>
  <c r="A6694" i="2"/>
  <c r="A6695" i="2"/>
  <c r="A6696" i="2"/>
  <c r="A6697" i="2"/>
  <c r="A6698" i="2"/>
  <c r="A6699" i="2"/>
  <c r="A6700" i="2"/>
  <c r="A6701" i="2"/>
  <c r="A6702" i="2"/>
  <c r="A6703" i="2"/>
  <c r="A6704" i="2"/>
  <c r="A6705" i="2"/>
  <c r="A6706" i="2"/>
  <c r="A6707" i="2"/>
  <c r="A6708" i="2"/>
  <c r="A6709" i="2"/>
  <c r="A6710" i="2"/>
  <c r="A6711" i="2"/>
  <c r="A6712" i="2"/>
  <c r="A6713" i="2"/>
  <c r="A6714" i="2"/>
  <c r="A6715" i="2"/>
  <c r="A6716" i="2"/>
  <c r="A6717" i="2"/>
  <c r="A6718" i="2"/>
  <c r="A6719" i="2"/>
  <c r="A6720" i="2"/>
  <c r="A6721" i="2"/>
  <c r="A6722" i="2"/>
  <c r="A6723" i="2"/>
  <c r="A6724" i="2"/>
  <c r="A6725" i="2"/>
  <c r="A6726" i="2"/>
  <c r="A6727" i="2"/>
  <c r="A6728" i="2"/>
  <c r="A6729" i="2"/>
  <c r="A6730" i="2"/>
  <c r="A6731" i="2"/>
  <c r="A6732" i="2"/>
  <c r="A6733" i="2"/>
  <c r="A6734" i="2"/>
  <c r="A6735" i="2"/>
  <c r="A6736" i="2"/>
  <c r="A6737" i="2"/>
  <c r="A6738" i="2"/>
  <c r="A6739" i="2"/>
  <c r="A6740" i="2"/>
  <c r="A6741" i="2"/>
  <c r="A6742" i="2"/>
  <c r="A6743" i="2"/>
  <c r="A6744" i="2"/>
  <c r="A6745" i="2"/>
  <c r="A6746" i="2"/>
  <c r="A6747" i="2"/>
  <c r="A6748" i="2"/>
  <c r="A6749" i="2"/>
  <c r="A6750" i="2"/>
  <c r="A6751" i="2"/>
  <c r="A6752" i="2"/>
  <c r="A6753" i="2"/>
  <c r="A6754" i="2"/>
  <c r="A6755" i="2"/>
  <c r="A6756" i="2"/>
  <c r="A6757" i="2"/>
  <c r="A6758" i="2"/>
  <c r="A6759" i="2"/>
  <c r="A6760" i="2"/>
  <c r="A6761" i="2"/>
  <c r="A6762" i="2"/>
  <c r="A6763" i="2"/>
  <c r="A6764" i="2"/>
  <c r="A6765" i="2"/>
  <c r="A6766" i="2"/>
  <c r="A6767" i="2"/>
  <c r="A6768" i="2"/>
  <c r="A6769" i="2"/>
  <c r="A6770" i="2"/>
  <c r="A6771" i="2"/>
  <c r="A6772" i="2"/>
  <c r="A6773" i="2"/>
  <c r="A6774" i="2"/>
  <c r="A6775" i="2"/>
  <c r="A6776" i="2"/>
  <c r="A6777" i="2"/>
  <c r="A6778" i="2"/>
  <c r="A6779" i="2"/>
  <c r="A6780" i="2"/>
  <c r="A6781" i="2"/>
  <c r="A6782" i="2"/>
  <c r="A6783" i="2"/>
  <c r="A6784" i="2"/>
  <c r="A6785" i="2"/>
  <c r="A6786" i="2"/>
  <c r="A6787" i="2"/>
  <c r="A6788" i="2"/>
  <c r="A6789" i="2"/>
  <c r="A6790" i="2"/>
  <c r="A6791" i="2"/>
  <c r="A6792" i="2"/>
  <c r="A6793" i="2"/>
  <c r="A6794" i="2"/>
  <c r="A6795" i="2"/>
  <c r="A6796" i="2"/>
  <c r="A6797" i="2"/>
  <c r="A6798" i="2"/>
  <c r="A6799" i="2"/>
  <c r="A6800" i="2"/>
  <c r="A6801" i="2"/>
  <c r="A6802" i="2"/>
  <c r="A6803" i="2"/>
  <c r="A6804" i="2"/>
  <c r="A6805" i="2"/>
  <c r="A6806" i="2"/>
  <c r="A6807" i="2"/>
  <c r="A6808" i="2"/>
  <c r="A6809" i="2"/>
  <c r="A6810" i="2"/>
  <c r="A6811" i="2"/>
  <c r="A6812" i="2"/>
  <c r="A6813" i="2"/>
  <c r="A6814" i="2"/>
  <c r="A6815" i="2"/>
  <c r="A6816" i="2"/>
  <c r="A6817" i="2"/>
  <c r="A6818" i="2"/>
  <c r="A6819" i="2"/>
  <c r="A6820" i="2"/>
  <c r="A6821" i="2"/>
  <c r="A6822" i="2"/>
  <c r="A6823" i="2"/>
  <c r="A6824" i="2"/>
  <c r="A6825" i="2"/>
  <c r="A6826" i="2"/>
  <c r="A6827" i="2"/>
  <c r="A6828" i="2"/>
  <c r="A6829" i="2"/>
  <c r="A6830" i="2"/>
  <c r="A6831" i="2"/>
  <c r="A6832" i="2"/>
  <c r="A6833" i="2"/>
  <c r="A6834" i="2"/>
  <c r="A6835" i="2"/>
  <c r="A6836" i="2"/>
  <c r="A6837" i="2"/>
  <c r="A6838" i="2"/>
  <c r="A6839" i="2"/>
  <c r="A6840" i="2"/>
  <c r="A6841" i="2"/>
  <c r="A6842" i="2"/>
  <c r="A6843" i="2"/>
  <c r="A6844" i="2"/>
  <c r="A6845" i="2"/>
  <c r="A6846" i="2"/>
  <c r="A6847" i="2"/>
  <c r="A6848" i="2"/>
  <c r="A6849" i="2"/>
  <c r="A6850" i="2"/>
  <c r="A6851" i="2"/>
  <c r="A6852" i="2"/>
  <c r="A6853" i="2"/>
  <c r="A6854" i="2"/>
  <c r="A6855" i="2"/>
  <c r="A6856" i="2"/>
  <c r="A6857" i="2"/>
  <c r="A6858" i="2"/>
  <c r="A6859" i="2"/>
  <c r="A6860" i="2"/>
  <c r="A6861" i="2"/>
  <c r="A6862" i="2"/>
  <c r="A6863" i="2"/>
  <c r="A6864" i="2"/>
  <c r="A6865" i="2"/>
  <c r="A6866" i="2"/>
  <c r="A6867" i="2"/>
  <c r="A6868" i="2"/>
  <c r="A6869" i="2"/>
  <c r="A6870" i="2"/>
  <c r="A6871" i="2"/>
  <c r="A6872" i="2"/>
  <c r="A6873" i="2"/>
  <c r="A6874" i="2"/>
  <c r="A6875" i="2"/>
  <c r="A6876" i="2"/>
  <c r="A6877" i="2"/>
  <c r="A6878" i="2"/>
  <c r="A6879" i="2"/>
  <c r="A6880" i="2"/>
  <c r="A6881" i="2"/>
  <c r="A6882" i="2"/>
  <c r="A6883" i="2"/>
  <c r="A6884" i="2"/>
  <c r="A6885" i="2"/>
  <c r="A6886" i="2"/>
  <c r="A6887" i="2"/>
  <c r="A6888" i="2"/>
  <c r="A6889" i="2"/>
  <c r="A6890" i="2"/>
  <c r="A6891" i="2"/>
  <c r="A6892" i="2"/>
  <c r="A6893" i="2"/>
  <c r="A6894" i="2"/>
  <c r="A6895" i="2"/>
  <c r="A6896" i="2"/>
  <c r="A6897" i="2"/>
  <c r="A6898" i="2"/>
  <c r="A6899" i="2"/>
  <c r="A6900" i="2"/>
  <c r="A6901" i="2"/>
  <c r="A6902" i="2"/>
  <c r="A6903" i="2"/>
  <c r="A6904" i="2"/>
  <c r="A6905" i="2"/>
  <c r="A6906" i="2"/>
  <c r="A6907" i="2"/>
  <c r="A6908" i="2"/>
  <c r="A6909" i="2"/>
  <c r="A6910" i="2"/>
  <c r="A6911" i="2"/>
  <c r="A6912" i="2"/>
  <c r="A6913" i="2"/>
  <c r="A6914" i="2"/>
  <c r="A6915" i="2"/>
  <c r="A6916" i="2"/>
  <c r="A6917" i="2"/>
  <c r="A6918" i="2"/>
  <c r="A6919" i="2"/>
  <c r="A6920" i="2"/>
  <c r="A6921" i="2"/>
  <c r="A6922" i="2"/>
  <c r="A6923" i="2"/>
  <c r="A6924" i="2"/>
  <c r="A6925" i="2"/>
  <c r="A6926" i="2"/>
  <c r="A6927" i="2"/>
  <c r="A6928" i="2"/>
  <c r="A6929" i="2"/>
  <c r="A6930" i="2"/>
  <c r="A6931" i="2"/>
  <c r="A6932" i="2"/>
  <c r="A6933" i="2"/>
  <c r="A6934" i="2"/>
  <c r="A6935" i="2"/>
  <c r="A6936" i="2"/>
  <c r="A6937" i="2"/>
  <c r="A6938" i="2"/>
  <c r="A6939" i="2"/>
  <c r="A6940" i="2"/>
  <c r="A6941" i="2"/>
  <c r="A6942" i="2"/>
  <c r="A6943" i="2"/>
  <c r="A6944" i="2"/>
  <c r="A6945" i="2"/>
  <c r="A6946" i="2"/>
  <c r="A6947" i="2"/>
  <c r="A6948" i="2"/>
  <c r="A6949" i="2"/>
  <c r="A6950" i="2"/>
  <c r="A6951" i="2"/>
  <c r="A6952" i="2"/>
  <c r="A6953" i="2"/>
  <c r="A6954" i="2"/>
  <c r="A6955" i="2"/>
  <c r="A6956" i="2"/>
  <c r="A6957" i="2"/>
  <c r="A6958" i="2"/>
  <c r="A6959" i="2"/>
  <c r="A6960" i="2"/>
  <c r="A6961" i="2"/>
  <c r="A6962" i="2"/>
  <c r="A6963" i="2"/>
  <c r="A6964" i="2"/>
  <c r="A6965" i="2"/>
  <c r="A6966" i="2"/>
  <c r="A6967" i="2"/>
  <c r="A6968" i="2"/>
  <c r="A6969" i="2"/>
  <c r="A6970" i="2"/>
  <c r="A6971" i="2"/>
  <c r="A6972" i="2"/>
  <c r="A6973" i="2"/>
  <c r="A6974" i="2"/>
  <c r="A6975" i="2"/>
  <c r="A6976" i="2"/>
  <c r="A6977" i="2"/>
  <c r="A6978" i="2"/>
  <c r="A6979" i="2"/>
  <c r="A6980" i="2"/>
  <c r="A6981" i="2"/>
  <c r="A6982" i="2"/>
  <c r="A6983" i="2"/>
  <c r="A6984" i="2"/>
  <c r="A6985" i="2"/>
  <c r="A6986" i="2"/>
  <c r="A6987" i="2"/>
  <c r="A6988" i="2"/>
  <c r="A6989" i="2"/>
  <c r="A6990" i="2"/>
  <c r="A6991" i="2"/>
  <c r="A6992" i="2"/>
  <c r="A6993" i="2"/>
  <c r="A6994" i="2"/>
  <c r="A6995" i="2"/>
  <c r="A6996" i="2"/>
  <c r="A6997" i="2"/>
  <c r="A6998" i="2"/>
  <c r="A6999" i="2"/>
  <c r="A7000" i="2"/>
  <c r="A7001" i="2"/>
  <c r="A7002" i="2"/>
  <c r="A7003" i="2"/>
  <c r="A7004" i="2"/>
  <c r="A7005" i="2"/>
  <c r="A7006" i="2"/>
  <c r="A7007" i="2"/>
  <c r="A7008" i="2"/>
  <c r="A7009" i="2"/>
  <c r="A7010" i="2"/>
  <c r="A7011" i="2"/>
  <c r="A7012" i="2"/>
  <c r="A7013" i="2"/>
  <c r="A7014" i="2"/>
  <c r="A7015" i="2"/>
  <c r="A7016" i="2"/>
  <c r="A7017" i="2"/>
  <c r="A7018" i="2"/>
  <c r="A7019" i="2"/>
  <c r="A7020" i="2"/>
  <c r="A7021" i="2"/>
  <c r="A7022" i="2"/>
  <c r="A7023" i="2"/>
  <c r="A7024" i="2"/>
  <c r="A7025" i="2"/>
  <c r="A7026" i="2"/>
  <c r="A7027" i="2"/>
  <c r="A7028" i="2"/>
  <c r="A7029" i="2"/>
  <c r="A7030" i="2"/>
  <c r="A7031" i="2"/>
  <c r="A7032" i="2"/>
  <c r="A7033" i="2"/>
  <c r="A7034" i="2"/>
  <c r="A7035" i="2"/>
  <c r="A7036" i="2"/>
  <c r="A7037" i="2"/>
  <c r="A7038" i="2"/>
  <c r="A7039" i="2"/>
  <c r="A7040" i="2"/>
  <c r="A7041" i="2"/>
  <c r="A7042" i="2"/>
  <c r="A7043" i="2"/>
  <c r="A7044" i="2"/>
  <c r="A7045" i="2"/>
  <c r="A7046" i="2"/>
  <c r="A7047" i="2"/>
  <c r="A7048" i="2"/>
  <c r="A7049" i="2"/>
  <c r="A7050" i="2"/>
  <c r="A7051" i="2"/>
  <c r="A7052" i="2"/>
  <c r="A7053" i="2"/>
  <c r="A7054" i="2"/>
  <c r="A7055" i="2"/>
  <c r="A7056" i="2"/>
  <c r="A7057" i="2"/>
  <c r="A7058" i="2"/>
  <c r="A7059" i="2"/>
  <c r="A7060" i="2"/>
  <c r="A7061" i="2"/>
  <c r="A7062" i="2"/>
  <c r="A7063" i="2"/>
  <c r="A7064" i="2"/>
  <c r="A7065" i="2"/>
  <c r="A7066" i="2"/>
  <c r="A7067" i="2"/>
  <c r="A7068" i="2"/>
  <c r="A7069" i="2"/>
  <c r="A7070" i="2"/>
  <c r="A7071" i="2"/>
  <c r="A7072" i="2"/>
  <c r="A7073" i="2"/>
  <c r="A7074" i="2"/>
  <c r="A7075" i="2"/>
  <c r="A7076" i="2"/>
  <c r="A7077" i="2"/>
  <c r="A7078" i="2"/>
  <c r="A7079" i="2"/>
  <c r="A7080" i="2"/>
  <c r="A7081" i="2"/>
  <c r="A7082" i="2"/>
  <c r="A7083" i="2"/>
  <c r="A7084" i="2"/>
  <c r="A7085" i="2"/>
  <c r="A7086" i="2"/>
  <c r="A7087" i="2"/>
  <c r="A7088" i="2"/>
  <c r="A7089" i="2"/>
  <c r="A7090" i="2"/>
  <c r="A7091" i="2"/>
  <c r="A7092" i="2"/>
  <c r="A7093" i="2"/>
  <c r="A7094" i="2"/>
  <c r="A7095" i="2"/>
  <c r="A7096" i="2"/>
  <c r="A7097" i="2"/>
  <c r="A7098" i="2"/>
  <c r="A7099" i="2"/>
  <c r="A7100" i="2"/>
  <c r="A7101" i="2"/>
  <c r="A7102" i="2"/>
  <c r="A7103" i="2"/>
  <c r="A7104" i="2"/>
  <c r="A7105" i="2"/>
  <c r="A7106" i="2"/>
  <c r="A7107" i="2"/>
  <c r="A7108" i="2"/>
  <c r="A7109" i="2"/>
  <c r="A7110" i="2"/>
  <c r="A7111" i="2"/>
  <c r="A7112" i="2"/>
  <c r="A7113" i="2"/>
  <c r="A7114" i="2"/>
  <c r="A7115" i="2"/>
  <c r="A7116" i="2"/>
  <c r="A7117" i="2"/>
  <c r="A7118" i="2"/>
  <c r="A7119" i="2"/>
  <c r="A7120" i="2"/>
  <c r="A7121" i="2"/>
  <c r="A7122" i="2"/>
  <c r="A7123" i="2"/>
  <c r="A7124" i="2"/>
  <c r="A7125" i="2"/>
  <c r="A7126" i="2"/>
  <c r="A7127" i="2"/>
  <c r="A7128" i="2"/>
  <c r="A7129" i="2"/>
  <c r="A7130" i="2"/>
  <c r="A7131" i="2"/>
  <c r="A7132" i="2"/>
  <c r="A7133" i="2"/>
  <c r="A7134" i="2"/>
  <c r="A7135" i="2"/>
  <c r="A7136" i="2"/>
  <c r="A7137" i="2"/>
  <c r="A7138" i="2"/>
  <c r="A7139" i="2"/>
  <c r="A7140" i="2"/>
  <c r="A7141" i="2"/>
  <c r="A7142" i="2"/>
  <c r="A7143" i="2"/>
  <c r="A7144" i="2"/>
  <c r="A7145" i="2"/>
  <c r="A7146" i="2"/>
  <c r="A7147" i="2"/>
  <c r="A7148" i="2"/>
  <c r="A7149" i="2"/>
  <c r="A7150" i="2"/>
  <c r="A7151" i="2"/>
  <c r="A7152" i="2"/>
  <c r="A7153" i="2"/>
  <c r="A7154" i="2"/>
  <c r="A7155" i="2"/>
  <c r="A7156" i="2"/>
  <c r="A7157" i="2"/>
  <c r="A7158" i="2"/>
  <c r="A7159" i="2"/>
  <c r="A7160" i="2"/>
  <c r="A7161" i="2"/>
  <c r="A7162" i="2"/>
  <c r="A7163" i="2"/>
  <c r="A7164" i="2"/>
  <c r="A7165" i="2"/>
  <c r="A7166" i="2"/>
  <c r="A7167" i="2"/>
  <c r="A7168" i="2"/>
  <c r="A7169" i="2"/>
  <c r="A7170" i="2"/>
  <c r="A7171" i="2"/>
  <c r="A7172" i="2"/>
  <c r="A7173" i="2"/>
  <c r="A7174" i="2"/>
  <c r="A7175" i="2"/>
  <c r="A7176" i="2"/>
  <c r="A7177" i="2"/>
  <c r="A7178" i="2"/>
  <c r="A7179" i="2"/>
  <c r="A7180" i="2"/>
  <c r="A7181" i="2"/>
  <c r="A7182" i="2"/>
  <c r="A7183" i="2"/>
  <c r="A7184" i="2"/>
  <c r="A7185" i="2"/>
  <c r="A7186" i="2"/>
  <c r="A7187" i="2"/>
  <c r="A7188" i="2"/>
  <c r="A7189" i="2"/>
  <c r="A7190" i="2"/>
  <c r="A7191" i="2"/>
  <c r="A7192" i="2"/>
  <c r="A7193" i="2"/>
  <c r="A7194" i="2"/>
  <c r="A7195" i="2"/>
  <c r="A7196" i="2"/>
  <c r="A7197" i="2"/>
  <c r="A7198" i="2"/>
  <c r="A7199" i="2"/>
  <c r="A7200" i="2"/>
  <c r="A7201" i="2"/>
  <c r="A7202" i="2"/>
  <c r="A7203" i="2"/>
  <c r="A7204" i="2"/>
  <c r="A7205" i="2"/>
  <c r="A7206" i="2"/>
  <c r="A7207" i="2"/>
  <c r="A7208" i="2"/>
  <c r="A7209" i="2"/>
  <c r="A7210" i="2"/>
  <c r="A7211" i="2"/>
  <c r="A7212" i="2"/>
  <c r="A7213" i="2"/>
  <c r="A7214" i="2"/>
  <c r="A7215" i="2"/>
  <c r="A7216" i="2"/>
  <c r="A7217" i="2"/>
  <c r="A7218" i="2"/>
  <c r="A7219" i="2"/>
  <c r="A7220" i="2"/>
  <c r="A7221" i="2"/>
  <c r="A7222" i="2"/>
  <c r="A7223" i="2"/>
  <c r="A7224" i="2"/>
  <c r="A7225" i="2"/>
  <c r="A7226" i="2"/>
  <c r="A7227" i="2"/>
  <c r="A7228" i="2"/>
  <c r="A7229" i="2"/>
  <c r="A7230" i="2"/>
  <c r="A7231" i="2"/>
  <c r="A7232" i="2"/>
  <c r="A7233" i="2"/>
  <c r="A7234" i="2"/>
  <c r="A7235" i="2"/>
  <c r="A7236" i="2"/>
  <c r="A7237" i="2"/>
  <c r="A7238" i="2"/>
  <c r="A7239" i="2"/>
  <c r="A7240" i="2"/>
  <c r="A7241" i="2"/>
  <c r="A7242" i="2"/>
  <c r="A7243" i="2"/>
  <c r="A7244" i="2"/>
  <c r="A7245" i="2"/>
  <c r="A7246" i="2"/>
  <c r="A7247" i="2"/>
  <c r="A7248" i="2"/>
  <c r="A7249" i="2"/>
  <c r="A7250" i="2"/>
  <c r="A7251" i="2"/>
  <c r="A7252" i="2"/>
  <c r="A7253" i="2"/>
  <c r="A7254" i="2"/>
  <c r="A7255" i="2"/>
  <c r="A7256" i="2"/>
  <c r="A7257" i="2"/>
  <c r="A7258" i="2"/>
  <c r="A7259" i="2"/>
  <c r="A7260" i="2"/>
  <c r="A7261" i="2"/>
  <c r="A7262" i="2"/>
  <c r="A7263" i="2"/>
  <c r="A7264" i="2"/>
  <c r="A7265" i="2"/>
  <c r="A7266" i="2"/>
  <c r="A7267" i="2"/>
  <c r="A7268" i="2"/>
  <c r="A7269" i="2"/>
  <c r="A7270" i="2"/>
  <c r="A7271" i="2"/>
  <c r="A7272" i="2"/>
  <c r="A7273" i="2"/>
  <c r="A7274" i="2"/>
  <c r="A7275" i="2"/>
  <c r="A7276" i="2"/>
  <c r="A7277" i="2"/>
  <c r="A7278" i="2"/>
  <c r="A7279" i="2"/>
  <c r="A7280" i="2"/>
  <c r="A7281" i="2"/>
  <c r="A7282" i="2"/>
  <c r="A7283" i="2"/>
  <c r="A7284" i="2"/>
  <c r="A7285" i="2"/>
  <c r="A7286" i="2"/>
  <c r="A7287" i="2"/>
  <c r="A7288" i="2"/>
  <c r="A7289" i="2"/>
  <c r="A7290" i="2"/>
  <c r="A7291" i="2"/>
  <c r="A7292" i="2"/>
  <c r="A7293" i="2"/>
  <c r="A7294" i="2"/>
  <c r="A7295" i="2"/>
  <c r="A7296" i="2"/>
  <c r="A7297" i="2"/>
  <c r="A7298" i="2"/>
  <c r="A7299" i="2"/>
  <c r="A7300" i="2"/>
  <c r="A7301" i="2"/>
  <c r="A7302" i="2"/>
  <c r="A7303" i="2"/>
  <c r="A7304" i="2"/>
  <c r="A7305" i="2"/>
  <c r="A7306" i="2"/>
  <c r="A7307" i="2"/>
  <c r="A7308" i="2"/>
  <c r="A7309" i="2"/>
  <c r="A7310" i="2"/>
  <c r="A7311" i="2"/>
  <c r="A7312" i="2"/>
  <c r="A7313" i="2"/>
  <c r="A7314" i="2"/>
  <c r="A7315" i="2"/>
  <c r="A7316" i="2"/>
  <c r="A7317" i="2"/>
  <c r="A7318" i="2"/>
  <c r="A7319" i="2"/>
  <c r="A7320" i="2"/>
  <c r="A7321" i="2"/>
  <c r="A7322" i="2"/>
  <c r="A7323" i="2"/>
  <c r="A7324" i="2"/>
  <c r="A7325" i="2"/>
  <c r="A7326" i="2"/>
  <c r="A7327" i="2"/>
  <c r="A7328" i="2"/>
  <c r="A7329" i="2"/>
  <c r="A7330" i="2"/>
  <c r="A7331" i="2"/>
  <c r="A7332" i="2"/>
  <c r="A7333" i="2"/>
  <c r="A7334" i="2"/>
  <c r="A7335" i="2"/>
  <c r="A7336" i="2"/>
  <c r="A7337" i="2"/>
  <c r="A7338" i="2"/>
  <c r="A7339" i="2"/>
  <c r="A7340" i="2"/>
  <c r="A7341" i="2"/>
  <c r="A7342" i="2"/>
  <c r="A7343" i="2"/>
  <c r="A7344" i="2"/>
  <c r="A7345" i="2"/>
  <c r="A7346" i="2"/>
  <c r="A7347" i="2"/>
  <c r="A7348" i="2"/>
  <c r="A7349" i="2"/>
  <c r="A7350" i="2"/>
  <c r="A7351" i="2"/>
  <c r="A7352" i="2"/>
  <c r="A7353" i="2"/>
  <c r="A7354" i="2"/>
  <c r="A7355" i="2"/>
  <c r="A7356" i="2"/>
  <c r="A7357" i="2"/>
  <c r="A7358" i="2"/>
  <c r="A7359" i="2"/>
  <c r="A7360" i="2"/>
  <c r="A7361" i="2"/>
  <c r="A7362" i="2"/>
  <c r="A7363" i="2"/>
  <c r="A7364" i="2"/>
  <c r="A7365" i="2"/>
  <c r="A7366" i="2"/>
  <c r="A7367" i="2"/>
  <c r="A7368" i="2"/>
  <c r="A7369" i="2"/>
  <c r="A7370" i="2"/>
  <c r="A7371" i="2"/>
  <c r="A7372" i="2"/>
  <c r="A7373" i="2"/>
  <c r="A7374" i="2"/>
  <c r="A7375" i="2"/>
  <c r="A7376" i="2"/>
  <c r="A7377" i="2"/>
  <c r="A7378" i="2"/>
  <c r="A7379" i="2"/>
  <c r="A7380" i="2"/>
  <c r="A7381" i="2"/>
  <c r="A7382" i="2"/>
  <c r="A7383" i="2"/>
  <c r="A7384" i="2"/>
  <c r="A7385" i="2"/>
  <c r="A7386" i="2"/>
  <c r="A7387" i="2"/>
  <c r="A7388" i="2"/>
  <c r="A7389" i="2"/>
  <c r="A7390" i="2"/>
  <c r="A7391" i="2"/>
  <c r="A7392" i="2"/>
  <c r="A7393" i="2"/>
  <c r="A7394" i="2"/>
  <c r="A7395" i="2"/>
  <c r="A7396" i="2"/>
  <c r="A7397" i="2"/>
  <c r="A7398" i="2"/>
  <c r="A7399" i="2"/>
  <c r="A7400" i="2"/>
  <c r="A7401" i="2"/>
  <c r="A7402" i="2"/>
  <c r="A7403" i="2"/>
  <c r="A7404" i="2"/>
  <c r="A7405" i="2"/>
  <c r="A7406" i="2"/>
  <c r="A7407" i="2"/>
  <c r="A7408" i="2"/>
  <c r="A7409" i="2"/>
  <c r="A7410" i="2"/>
  <c r="A7411" i="2"/>
  <c r="A7412" i="2"/>
  <c r="A7413" i="2"/>
  <c r="A7414" i="2"/>
  <c r="A7415" i="2"/>
  <c r="A7416" i="2"/>
  <c r="A7417" i="2"/>
  <c r="A7418" i="2"/>
  <c r="A7419" i="2"/>
  <c r="A7420" i="2"/>
  <c r="A7421" i="2"/>
  <c r="A7422" i="2"/>
  <c r="A7423" i="2"/>
  <c r="A7424" i="2"/>
  <c r="A7425" i="2"/>
  <c r="A7426" i="2"/>
  <c r="A7427" i="2"/>
  <c r="A7428" i="2"/>
  <c r="A7429" i="2"/>
  <c r="A7430" i="2"/>
  <c r="A7431" i="2"/>
  <c r="A7432" i="2"/>
  <c r="A7433" i="2"/>
  <c r="A7434" i="2"/>
  <c r="A7435" i="2"/>
  <c r="A7436" i="2"/>
  <c r="A7437" i="2"/>
  <c r="A7438" i="2"/>
  <c r="A7439" i="2"/>
  <c r="A7440" i="2"/>
  <c r="A7441" i="2"/>
  <c r="A7442" i="2"/>
  <c r="A7443" i="2"/>
  <c r="A7444" i="2"/>
  <c r="A7445" i="2"/>
  <c r="A7446" i="2"/>
  <c r="A7447" i="2"/>
  <c r="A7448" i="2"/>
  <c r="A7449" i="2"/>
  <c r="A7450" i="2"/>
  <c r="A7451" i="2"/>
  <c r="A7452" i="2"/>
  <c r="A7453" i="2"/>
  <c r="A7454" i="2"/>
  <c r="A7455" i="2"/>
  <c r="A7456" i="2"/>
  <c r="A7457" i="2"/>
  <c r="A7458" i="2"/>
  <c r="A7459" i="2"/>
  <c r="A7460" i="2"/>
  <c r="A7461" i="2"/>
  <c r="A7462" i="2"/>
  <c r="A7463" i="2"/>
  <c r="A7464" i="2"/>
  <c r="A7465" i="2"/>
  <c r="A7466" i="2"/>
  <c r="A7467" i="2"/>
  <c r="A7468" i="2"/>
  <c r="A7469" i="2"/>
  <c r="A7470" i="2"/>
  <c r="A7471" i="2"/>
  <c r="A7472" i="2"/>
  <c r="A7473" i="2"/>
  <c r="A7474" i="2"/>
  <c r="A7475" i="2"/>
  <c r="A7476" i="2"/>
  <c r="A7477" i="2"/>
  <c r="A7478" i="2"/>
  <c r="A7479" i="2"/>
  <c r="A7480" i="2"/>
  <c r="A7481" i="2"/>
  <c r="A7482" i="2"/>
  <c r="A7483" i="2"/>
  <c r="A7484" i="2"/>
  <c r="A7485" i="2"/>
  <c r="A7486" i="2"/>
  <c r="A7487" i="2"/>
  <c r="A7488" i="2"/>
  <c r="A7489" i="2"/>
  <c r="A7490" i="2"/>
  <c r="A7491" i="2"/>
  <c r="A7492" i="2"/>
  <c r="A7493" i="2"/>
  <c r="A7494" i="2"/>
  <c r="A7495" i="2"/>
  <c r="A7496" i="2"/>
  <c r="A7497" i="2"/>
  <c r="A7498" i="2"/>
  <c r="A7499" i="2"/>
  <c r="A7500" i="2"/>
  <c r="A7501" i="2"/>
  <c r="A7502" i="2"/>
  <c r="A7503" i="2"/>
  <c r="A7504" i="2"/>
  <c r="A7505" i="2"/>
  <c r="A7506" i="2"/>
  <c r="A7507" i="2"/>
  <c r="A7508" i="2"/>
  <c r="A7509" i="2"/>
  <c r="A7510" i="2"/>
  <c r="A7511" i="2"/>
  <c r="A7512" i="2"/>
  <c r="A7513" i="2"/>
  <c r="A7514" i="2"/>
  <c r="A7515" i="2"/>
  <c r="A7516" i="2"/>
  <c r="A7517" i="2"/>
  <c r="A7518" i="2"/>
  <c r="A7519" i="2"/>
  <c r="A7520" i="2"/>
  <c r="A7521" i="2"/>
  <c r="A7522" i="2"/>
  <c r="A7523" i="2"/>
  <c r="A7524" i="2"/>
  <c r="A7525" i="2"/>
  <c r="A7526" i="2"/>
  <c r="A7527" i="2"/>
  <c r="A7528" i="2"/>
  <c r="A7529" i="2"/>
  <c r="A7530" i="2"/>
  <c r="A7531" i="2"/>
  <c r="A7532" i="2"/>
  <c r="A7533" i="2"/>
  <c r="A7534" i="2"/>
  <c r="A7535" i="2"/>
  <c r="A7536" i="2"/>
  <c r="A7537" i="2"/>
  <c r="A7538" i="2"/>
  <c r="A7539" i="2"/>
  <c r="A7540" i="2"/>
  <c r="A7541" i="2"/>
  <c r="A7542" i="2"/>
  <c r="A7543" i="2"/>
  <c r="A7544" i="2"/>
  <c r="A7545" i="2"/>
  <c r="A7546" i="2"/>
  <c r="A7547" i="2"/>
  <c r="A7548" i="2"/>
  <c r="A7549" i="2"/>
  <c r="A7550" i="2"/>
  <c r="A7551" i="2"/>
  <c r="A7552" i="2"/>
  <c r="A7553" i="2"/>
  <c r="A7554" i="2"/>
  <c r="A7555" i="2"/>
  <c r="A7556" i="2"/>
  <c r="A7557" i="2"/>
  <c r="A7558" i="2"/>
  <c r="A7559" i="2"/>
  <c r="A7560" i="2"/>
  <c r="A7561" i="2"/>
  <c r="A7562" i="2"/>
  <c r="A7563" i="2"/>
  <c r="A7564" i="2"/>
  <c r="A7565" i="2"/>
  <c r="A7566" i="2"/>
  <c r="A7567" i="2"/>
  <c r="A7568" i="2"/>
  <c r="A7569" i="2"/>
  <c r="A7570" i="2"/>
  <c r="A7571" i="2"/>
  <c r="A7572" i="2"/>
  <c r="A7573" i="2"/>
  <c r="A7574" i="2"/>
  <c r="A7575" i="2"/>
  <c r="A7576" i="2"/>
  <c r="A7577" i="2"/>
  <c r="A7578" i="2"/>
  <c r="A7579" i="2"/>
  <c r="A7580" i="2"/>
  <c r="A7581" i="2"/>
  <c r="A7582" i="2"/>
  <c r="A7583" i="2"/>
  <c r="A7584" i="2"/>
  <c r="A7585" i="2"/>
  <c r="A7586" i="2"/>
  <c r="A7587" i="2"/>
  <c r="A7588" i="2"/>
  <c r="A7589" i="2"/>
  <c r="A7590" i="2"/>
  <c r="A7591" i="2"/>
  <c r="A7592" i="2"/>
  <c r="A7593" i="2"/>
  <c r="A7594" i="2"/>
  <c r="A7595" i="2"/>
  <c r="A7596" i="2"/>
  <c r="A7597" i="2"/>
  <c r="A7598" i="2"/>
  <c r="A7599" i="2"/>
  <c r="A7600" i="2"/>
  <c r="A7601" i="2"/>
  <c r="A7602" i="2"/>
  <c r="A7603" i="2"/>
  <c r="A7604" i="2"/>
  <c r="A7605" i="2"/>
  <c r="A7606" i="2"/>
  <c r="A7607" i="2"/>
  <c r="A7608" i="2"/>
  <c r="A7609" i="2"/>
  <c r="A7610" i="2"/>
  <c r="A7611" i="2"/>
  <c r="A7612" i="2"/>
  <c r="A7613" i="2"/>
  <c r="A7614" i="2"/>
  <c r="A7615" i="2"/>
  <c r="A7616" i="2"/>
  <c r="A7617" i="2"/>
  <c r="A7618" i="2"/>
  <c r="A7619" i="2"/>
  <c r="A7620" i="2"/>
  <c r="A7621" i="2"/>
  <c r="A7622" i="2"/>
  <c r="A7623" i="2"/>
  <c r="A7624" i="2"/>
  <c r="A7625" i="2"/>
  <c r="A7626" i="2"/>
  <c r="A7627" i="2"/>
  <c r="A7628" i="2"/>
  <c r="A7629" i="2"/>
  <c r="A7630" i="2"/>
  <c r="A7631" i="2"/>
  <c r="A7632" i="2"/>
  <c r="A7633" i="2"/>
  <c r="A7634" i="2"/>
  <c r="A7635" i="2"/>
  <c r="A7636" i="2"/>
  <c r="A7637" i="2"/>
  <c r="A7638" i="2"/>
  <c r="A7639" i="2"/>
  <c r="A7640" i="2"/>
  <c r="A7641" i="2"/>
  <c r="A7642" i="2"/>
  <c r="A7643" i="2"/>
  <c r="A7644" i="2"/>
  <c r="A7645" i="2"/>
  <c r="A7646" i="2"/>
  <c r="A7647" i="2"/>
  <c r="A7648" i="2"/>
  <c r="A7649" i="2"/>
  <c r="A7650" i="2"/>
  <c r="A7651" i="2"/>
  <c r="A7652" i="2"/>
  <c r="A7653" i="2"/>
  <c r="A7654" i="2"/>
  <c r="A7655" i="2"/>
  <c r="A7656" i="2"/>
  <c r="A7657" i="2"/>
  <c r="A7658" i="2"/>
  <c r="A7659" i="2"/>
  <c r="A7660" i="2"/>
  <c r="A7661" i="2"/>
  <c r="A7662" i="2"/>
  <c r="A7663" i="2"/>
  <c r="A7664" i="2"/>
  <c r="A7665" i="2"/>
  <c r="A7666" i="2"/>
  <c r="A7667" i="2"/>
  <c r="A7668" i="2"/>
  <c r="A7669" i="2"/>
  <c r="A7670" i="2"/>
  <c r="A7671" i="2"/>
  <c r="A7672" i="2"/>
  <c r="A7673" i="2"/>
  <c r="A7674" i="2"/>
  <c r="A7675" i="2"/>
  <c r="A7676" i="2"/>
  <c r="A7677" i="2"/>
  <c r="A7678" i="2"/>
  <c r="A7679" i="2"/>
  <c r="A7680" i="2"/>
  <c r="A7681" i="2"/>
  <c r="A7682" i="2"/>
  <c r="A7683" i="2"/>
  <c r="A7684" i="2"/>
  <c r="A7685" i="2"/>
  <c r="A7686" i="2"/>
  <c r="A7687" i="2"/>
  <c r="A7688" i="2"/>
  <c r="A7689" i="2"/>
  <c r="A7690" i="2"/>
  <c r="A7691" i="2"/>
  <c r="A7692" i="2"/>
  <c r="A7693" i="2"/>
  <c r="A7694" i="2"/>
  <c r="A7695" i="2"/>
  <c r="A7696" i="2"/>
  <c r="A7697" i="2"/>
  <c r="A7698" i="2"/>
  <c r="A7699" i="2"/>
  <c r="A7700" i="2"/>
  <c r="A7701" i="2"/>
  <c r="A7702" i="2"/>
  <c r="A7703" i="2"/>
  <c r="A7704" i="2"/>
  <c r="A7705" i="2"/>
  <c r="A7706" i="2"/>
  <c r="A7707" i="2"/>
  <c r="A7708" i="2"/>
  <c r="A7709" i="2"/>
  <c r="A7710" i="2"/>
  <c r="A7711" i="2"/>
  <c r="A7712" i="2"/>
  <c r="A7713" i="2"/>
  <c r="A7714" i="2"/>
  <c r="A7715" i="2"/>
  <c r="A7716" i="2"/>
  <c r="A7717" i="2"/>
  <c r="A7718" i="2"/>
  <c r="A7719" i="2"/>
  <c r="A7720" i="2"/>
  <c r="A7721" i="2"/>
  <c r="A7722" i="2"/>
  <c r="A7723" i="2"/>
  <c r="A7724" i="2"/>
  <c r="A7725" i="2"/>
  <c r="A7726" i="2"/>
  <c r="A7727" i="2"/>
  <c r="A7728" i="2"/>
  <c r="A7729" i="2"/>
  <c r="A7730" i="2"/>
  <c r="A7731" i="2"/>
  <c r="A7732" i="2"/>
  <c r="A7733" i="2"/>
  <c r="A7734" i="2"/>
  <c r="A7735" i="2"/>
  <c r="A7736" i="2"/>
  <c r="A7737" i="2"/>
  <c r="A7738" i="2"/>
  <c r="A7739" i="2"/>
  <c r="A7740" i="2"/>
  <c r="A7741" i="2"/>
  <c r="A7742" i="2"/>
  <c r="A7743" i="2"/>
  <c r="A7744" i="2"/>
  <c r="A7745" i="2"/>
  <c r="A7746" i="2"/>
  <c r="A7747" i="2"/>
  <c r="A7748" i="2"/>
  <c r="A7749" i="2"/>
  <c r="A7750" i="2"/>
  <c r="A7751" i="2"/>
  <c r="A7752" i="2"/>
  <c r="A7753" i="2"/>
  <c r="A7754" i="2"/>
  <c r="A7755" i="2"/>
  <c r="A7756" i="2"/>
  <c r="A7757" i="2"/>
  <c r="A7758" i="2"/>
  <c r="A7759" i="2"/>
  <c r="A7760" i="2"/>
  <c r="A7761" i="2"/>
  <c r="A7762" i="2"/>
  <c r="A7763" i="2"/>
  <c r="A7764" i="2"/>
  <c r="A7765" i="2"/>
  <c r="A7766" i="2"/>
  <c r="A7767" i="2"/>
  <c r="A7768" i="2"/>
  <c r="A7769" i="2"/>
  <c r="A7770" i="2"/>
  <c r="A7771" i="2"/>
  <c r="A7772" i="2"/>
  <c r="A7773" i="2"/>
  <c r="A7774" i="2"/>
  <c r="A7775" i="2"/>
  <c r="A7776" i="2"/>
  <c r="A7777" i="2"/>
  <c r="A7778" i="2"/>
  <c r="A7779" i="2"/>
  <c r="A7780" i="2"/>
  <c r="A7781" i="2"/>
  <c r="A7782" i="2"/>
  <c r="A7783" i="2"/>
  <c r="A7784" i="2"/>
  <c r="A7785" i="2"/>
  <c r="A7786" i="2"/>
  <c r="A7787" i="2"/>
  <c r="A7788" i="2"/>
  <c r="A7789" i="2"/>
  <c r="A7790" i="2"/>
  <c r="A7791" i="2"/>
  <c r="A7792" i="2"/>
  <c r="A7793" i="2"/>
  <c r="A7794" i="2"/>
  <c r="A7795" i="2"/>
  <c r="A7796" i="2"/>
  <c r="A7797" i="2"/>
  <c r="A7798" i="2"/>
  <c r="A7799" i="2"/>
  <c r="A7800" i="2"/>
  <c r="A7801" i="2"/>
  <c r="A7802" i="2"/>
  <c r="A7803" i="2"/>
  <c r="A7804" i="2"/>
  <c r="A7805" i="2"/>
  <c r="A7806" i="2"/>
  <c r="A7807" i="2"/>
  <c r="A7808" i="2"/>
  <c r="A7809" i="2"/>
  <c r="A7810" i="2"/>
  <c r="A7811" i="2"/>
  <c r="A7812" i="2"/>
  <c r="A7813" i="2"/>
  <c r="A7814" i="2"/>
  <c r="A7815" i="2"/>
  <c r="A7816" i="2"/>
  <c r="A7817" i="2"/>
  <c r="A7818" i="2"/>
  <c r="A7819" i="2"/>
  <c r="A7820" i="2"/>
  <c r="A7821" i="2"/>
  <c r="A7822" i="2"/>
  <c r="A7823" i="2"/>
  <c r="A7824" i="2"/>
  <c r="A7825" i="2"/>
  <c r="A7826" i="2"/>
  <c r="A7827" i="2"/>
  <c r="A7828" i="2"/>
  <c r="A7829" i="2"/>
  <c r="A7830" i="2"/>
  <c r="A7831" i="2"/>
  <c r="A7832" i="2"/>
  <c r="A7833" i="2"/>
  <c r="A7834" i="2"/>
  <c r="A7835" i="2"/>
  <c r="A7836" i="2"/>
  <c r="A7837" i="2"/>
  <c r="A7838" i="2"/>
  <c r="A7839" i="2"/>
  <c r="A7840" i="2"/>
  <c r="A7841" i="2"/>
  <c r="A7842" i="2"/>
  <c r="A7843" i="2"/>
  <c r="A7844" i="2"/>
  <c r="A7845" i="2"/>
  <c r="A7846" i="2"/>
  <c r="A7847" i="2"/>
  <c r="A7848" i="2"/>
  <c r="A7849" i="2"/>
  <c r="A7850" i="2"/>
  <c r="A7851" i="2"/>
  <c r="A7852" i="2"/>
  <c r="A7853" i="2"/>
  <c r="A7854" i="2"/>
  <c r="A7855" i="2"/>
  <c r="A7856" i="2"/>
  <c r="A7857" i="2"/>
  <c r="A7858" i="2"/>
  <c r="A7859" i="2"/>
  <c r="A7860" i="2"/>
  <c r="A7861" i="2"/>
  <c r="A7862" i="2"/>
  <c r="A7863" i="2"/>
  <c r="A7864" i="2"/>
  <c r="A7865" i="2"/>
  <c r="A7866" i="2"/>
  <c r="A7867" i="2"/>
  <c r="A7868" i="2"/>
  <c r="A7869" i="2"/>
  <c r="A7870" i="2"/>
  <c r="A7871" i="2"/>
  <c r="A7872" i="2"/>
  <c r="A7873" i="2"/>
  <c r="A7874" i="2"/>
  <c r="A7875" i="2"/>
  <c r="A7876" i="2"/>
  <c r="A7877" i="2"/>
  <c r="A7878" i="2"/>
  <c r="A7879" i="2"/>
  <c r="A7880" i="2"/>
  <c r="A7881" i="2"/>
  <c r="A7882" i="2"/>
  <c r="A7883" i="2"/>
  <c r="A7884" i="2"/>
  <c r="A7885" i="2"/>
  <c r="A7886" i="2"/>
  <c r="A7887" i="2"/>
  <c r="A7888" i="2"/>
  <c r="A7889" i="2"/>
  <c r="A7890" i="2"/>
  <c r="A7891" i="2"/>
  <c r="A7892" i="2"/>
  <c r="A7893" i="2"/>
  <c r="A7894" i="2"/>
  <c r="A7895" i="2"/>
  <c r="A7896" i="2"/>
  <c r="A7897" i="2"/>
  <c r="A7898" i="2"/>
  <c r="A7899" i="2"/>
  <c r="A7900" i="2"/>
  <c r="A7901" i="2"/>
  <c r="A7902" i="2"/>
  <c r="A7903" i="2"/>
  <c r="A7904" i="2"/>
  <c r="A7905" i="2"/>
  <c r="A7906" i="2"/>
  <c r="A7907" i="2"/>
  <c r="A7908" i="2"/>
  <c r="A7909" i="2"/>
  <c r="A7910" i="2"/>
  <c r="A7911" i="2"/>
  <c r="A7912" i="2"/>
  <c r="A7913" i="2"/>
  <c r="A7914" i="2"/>
  <c r="A7915" i="2"/>
  <c r="A7916" i="2"/>
  <c r="A7917" i="2"/>
  <c r="A7918" i="2"/>
  <c r="A7919" i="2"/>
  <c r="A7920" i="2"/>
  <c r="A7921" i="2"/>
  <c r="A7922" i="2"/>
  <c r="A7923" i="2"/>
  <c r="A7924" i="2"/>
  <c r="A7925" i="2"/>
  <c r="A7926" i="2"/>
  <c r="A7927" i="2"/>
  <c r="A7928" i="2"/>
  <c r="A7929" i="2"/>
  <c r="A7930" i="2"/>
  <c r="A7931" i="2"/>
  <c r="A7932" i="2"/>
  <c r="A7933" i="2"/>
  <c r="A7934" i="2"/>
  <c r="A7935" i="2"/>
  <c r="A7936" i="2"/>
  <c r="A7937" i="2"/>
  <c r="A7938" i="2"/>
  <c r="A7939" i="2"/>
  <c r="A7940" i="2"/>
  <c r="A7941" i="2"/>
  <c r="A7942" i="2"/>
  <c r="A7943" i="2"/>
  <c r="A7944" i="2"/>
  <c r="A7945" i="2"/>
  <c r="A7946" i="2"/>
  <c r="A7947" i="2"/>
  <c r="A7948" i="2"/>
  <c r="A7949" i="2"/>
  <c r="A7950" i="2"/>
  <c r="A7951" i="2"/>
  <c r="A7952" i="2"/>
  <c r="A7953" i="2"/>
  <c r="A7954" i="2"/>
  <c r="A7955" i="2"/>
  <c r="A7956" i="2"/>
  <c r="A7957" i="2"/>
  <c r="A7958" i="2"/>
  <c r="A7959" i="2"/>
  <c r="A7960" i="2"/>
  <c r="A7961" i="2"/>
  <c r="A7962" i="2"/>
  <c r="A7963" i="2"/>
  <c r="A7964" i="2"/>
  <c r="A7965" i="2"/>
  <c r="A7966" i="2"/>
  <c r="A7967" i="2"/>
  <c r="A7968" i="2"/>
  <c r="A7969" i="2"/>
  <c r="A7970" i="2"/>
  <c r="A7971" i="2"/>
  <c r="A7972" i="2"/>
  <c r="A7973" i="2"/>
  <c r="A7974" i="2"/>
  <c r="A7975" i="2"/>
  <c r="A7976" i="2"/>
  <c r="A7977" i="2"/>
  <c r="A7978" i="2"/>
  <c r="A7979" i="2"/>
  <c r="A7980" i="2"/>
  <c r="A7981" i="2"/>
  <c r="A7982" i="2"/>
  <c r="A7983" i="2"/>
  <c r="A7984" i="2"/>
  <c r="A7985" i="2"/>
  <c r="A7986" i="2"/>
  <c r="A7987" i="2"/>
  <c r="A7988" i="2"/>
  <c r="A7989" i="2"/>
  <c r="A7990" i="2"/>
  <c r="A7991" i="2"/>
  <c r="A7992" i="2"/>
  <c r="A7993" i="2"/>
  <c r="A7994" i="2"/>
  <c r="A7995" i="2"/>
  <c r="A7996" i="2"/>
  <c r="A7997" i="2"/>
  <c r="A7998" i="2"/>
  <c r="A7999" i="2"/>
  <c r="A8000" i="2"/>
  <c r="A8001" i="2"/>
  <c r="A8002" i="2"/>
  <c r="A8003" i="2"/>
  <c r="A8004" i="2"/>
  <c r="A8005" i="2"/>
  <c r="A8006" i="2"/>
  <c r="A8007" i="2"/>
  <c r="A8008" i="2"/>
  <c r="A8009" i="2"/>
  <c r="A8010" i="2"/>
  <c r="A8011" i="2"/>
  <c r="A8012" i="2"/>
  <c r="A8013" i="2"/>
  <c r="A8014" i="2"/>
  <c r="A8015" i="2"/>
  <c r="A8016" i="2"/>
  <c r="A8017" i="2"/>
  <c r="A8018" i="2"/>
  <c r="A8019" i="2"/>
  <c r="A8020" i="2"/>
  <c r="A8021" i="2"/>
  <c r="A8022" i="2"/>
  <c r="A8023" i="2"/>
  <c r="A8024" i="2"/>
  <c r="A8025" i="2"/>
  <c r="A8026" i="2"/>
  <c r="A8027" i="2"/>
  <c r="A8028" i="2"/>
  <c r="A8029" i="2"/>
  <c r="A8030" i="2"/>
  <c r="A8031" i="2"/>
  <c r="A8032" i="2"/>
  <c r="A8033" i="2"/>
  <c r="A8034" i="2"/>
  <c r="A8035" i="2"/>
  <c r="A8036" i="2"/>
  <c r="A8037" i="2"/>
  <c r="A8038" i="2"/>
  <c r="A8039" i="2"/>
  <c r="A8040" i="2"/>
  <c r="A8041" i="2"/>
  <c r="A8042" i="2"/>
  <c r="A8043" i="2"/>
  <c r="A8044" i="2"/>
  <c r="A8045" i="2"/>
  <c r="A8046" i="2"/>
  <c r="A8047" i="2"/>
  <c r="A8048" i="2"/>
  <c r="A8049" i="2"/>
  <c r="A8050" i="2"/>
  <c r="A8051" i="2"/>
  <c r="A8052" i="2"/>
  <c r="A8053" i="2"/>
  <c r="A8054" i="2"/>
  <c r="A8055" i="2"/>
  <c r="A8056" i="2"/>
  <c r="A8057" i="2"/>
  <c r="A8058" i="2"/>
  <c r="A8059" i="2"/>
  <c r="A8060" i="2"/>
  <c r="A8061" i="2"/>
  <c r="A8062" i="2"/>
  <c r="A8063" i="2"/>
  <c r="A8064" i="2"/>
  <c r="A8065" i="2"/>
  <c r="A8066" i="2"/>
  <c r="A8067" i="2"/>
  <c r="A8068" i="2"/>
  <c r="A8069" i="2"/>
  <c r="A8070" i="2"/>
  <c r="A8071" i="2"/>
  <c r="A8072" i="2"/>
  <c r="A8073" i="2"/>
  <c r="A8074" i="2"/>
  <c r="A8075" i="2"/>
  <c r="A8076" i="2"/>
  <c r="A8077" i="2"/>
  <c r="A8078" i="2"/>
  <c r="A8079" i="2"/>
  <c r="A8080" i="2"/>
  <c r="A8081" i="2"/>
  <c r="A8082" i="2"/>
  <c r="A8083" i="2"/>
  <c r="A8084" i="2"/>
  <c r="A8085" i="2"/>
  <c r="A8086" i="2"/>
  <c r="A8087" i="2"/>
  <c r="A8088" i="2"/>
  <c r="A8089" i="2"/>
  <c r="A8090" i="2"/>
  <c r="A8091" i="2"/>
  <c r="A8092" i="2"/>
  <c r="A8093" i="2"/>
  <c r="A8094" i="2"/>
  <c r="A8095" i="2"/>
  <c r="A8096" i="2"/>
  <c r="A8097" i="2"/>
  <c r="A8098" i="2"/>
  <c r="A8099" i="2"/>
  <c r="A8100" i="2"/>
  <c r="A8101" i="2"/>
  <c r="A8102" i="2"/>
  <c r="A8103" i="2"/>
  <c r="A8104" i="2"/>
  <c r="A8105" i="2"/>
  <c r="A8106" i="2"/>
  <c r="A8107" i="2"/>
  <c r="A8108" i="2"/>
  <c r="A8109" i="2"/>
  <c r="A8110" i="2"/>
  <c r="A8111" i="2"/>
  <c r="A8112" i="2"/>
  <c r="A8113" i="2"/>
  <c r="A8114" i="2"/>
  <c r="A8115" i="2"/>
  <c r="A8116" i="2"/>
  <c r="A8117" i="2"/>
  <c r="A8118" i="2"/>
  <c r="A8119" i="2"/>
  <c r="A8120" i="2"/>
  <c r="A8121" i="2"/>
  <c r="A8122" i="2"/>
  <c r="A8123" i="2"/>
  <c r="A8124" i="2"/>
  <c r="A8125" i="2"/>
  <c r="A8126" i="2"/>
  <c r="A8127" i="2"/>
  <c r="A8128" i="2"/>
  <c r="A8129" i="2"/>
  <c r="A8130" i="2"/>
  <c r="A8131" i="2"/>
  <c r="A8132" i="2"/>
  <c r="A8133" i="2"/>
  <c r="A8134" i="2"/>
  <c r="A8135" i="2"/>
  <c r="A8136" i="2"/>
  <c r="A8137" i="2"/>
  <c r="A8138" i="2"/>
  <c r="A8139" i="2"/>
  <c r="A8140" i="2"/>
  <c r="A8141" i="2"/>
  <c r="A8142" i="2"/>
  <c r="A8143" i="2"/>
  <c r="A8144" i="2"/>
  <c r="A8145" i="2"/>
  <c r="A8146" i="2"/>
  <c r="A8147" i="2"/>
  <c r="A8148" i="2"/>
  <c r="A8149" i="2"/>
  <c r="A8150" i="2"/>
  <c r="A8151" i="2"/>
  <c r="A8152" i="2"/>
  <c r="A8153" i="2"/>
  <c r="A8154" i="2"/>
  <c r="A8155" i="2"/>
  <c r="A8156" i="2"/>
  <c r="A8157" i="2"/>
  <c r="A8158" i="2"/>
  <c r="A8159" i="2"/>
  <c r="A8160" i="2"/>
  <c r="A8161" i="2"/>
  <c r="A8162" i="2"/>
  <c r="A8163" i="2"/>
  <c r="A8164" i="2"/>
  <c r="A8165" i="2"/>
  <c r="A8166" i="2"/>
  <c r="A8167" i="2"/>
  <c r="A8168" i="2"/>
  <c r="A8169" i="2"/>
  <c r="A8170" i="2"/>
  <c r="A8171" i="2"/>
  <c r="A8172" i="2"/>
  <c r="A8173" i="2"/>
  <c r="A8174" i="2"/>
  <c r="A8175" i="2"/>
  <c r="A8176" i="2"/>
  <c r="A8177" i="2"/>
  <c r="A8178" i="2"/>
  <c r="A8179" i="2"/>
  <c r="A8180" i="2"/>
  <c r="A8181" i="2"/>
  <c r="A8182" i="2"/>
  <c r="A8183" i="2"/>
  <c r="A8184" i="2"/>
  <c r="A8185" i="2"/>
  <c r="A8186" i="2"/>
  <c r="A8187" i="2"/>
  <c r="A8188" i="2"/>
  <c r="A8189" i="2"/>
  <c r="A8190" i="2"/>
  <c r="A8191" i="2"/>
  <c r="A8192" i="2"/>
  <c r="A8193" i="2"/>
  <c r="A8194" i="2"/>
  <c r="A8195" i="2"/>
  <c r="A8196" i="2"/>
  <c r="A8197" i="2"/>
  <c r="A8198" i="2"/>
  <c r="A8199" i="2"/>
  <c r="A8200" i="2"/>
  <c r="A8201" i="2"/>
  <c r="A8202" i="2"/>
  <c r="A8203" i="2"/>
  <c r="A8204" i="2"/>
  <c r="A8205" i="2"/>
  <c r="A8206" i="2"/>
  <c r="A8207" i="2"/>
  <c r="A8208" i="2"/>
  <c r="A8209" i="2"/>
  <c r="A8210" i="2"/>
  <c r="A8211" i="2"/>
  <c r="A8212" i="2"/>
  <c r="A8213" i="2"/>
  <c r="A8214" i="2"/>
  <c r="A8215" i="2"/>
  <c r="A8216" i="2"/>
  <c r="A8217" i="2"/>
  <c r="A8218" i="2"/>
  <c r="A8219" i="2"/>
  <c r="A8220" i="2"/>
  <c r="A8221" i="2"/>
  <c r="A8222" i="2"/>
  <c r="A8223" i="2"/>
  <c r="A8224" i="2"/>
  <c r="A8225" i="2"/>
  <c r="A8226" i="2"/>
  <c r="A8227" i="2"/>
  <c r="A8228" i="2"/>
  <c r="A8229" i="2"/>
  <c r="A8230" i="2"/>
  <c r="A8231" i="2"/>
  <c r="A8232" i="2"/>
  <c r="A8233" i="2"/>
  <c r="A8234" i="2"/>
  <c r="A8235" i="2"/>
  <c r="A8236" i="2"/>
  <c r="A8237" i="2"/>
  <c r="A8238" i="2"/>
  <c r="A8239" i="2"/>
  <c r="A8240" i="2"/>
  <c r="A8241" i="2"/>
  <c r="A8242" i="2"/>
  <c r="A8243" i="2"/>
  <c r="A8244" i="2"/>
  <c r="A8245" i="2"/>
  <c r="A8246" i="2"/>
  <c r="A8247" i="2"/>
  <c r="A8248" i="2"/>
  <c r="A8249" i="2"/>
  <c r="A8250" i="2"/>
  <c r="A8251" i="2"/>
  <c r="A8252" i="2"/>
  <c r="A8253" i="2"/>
  <c r="A8254" i="2"/>
  <c r="A8255" i="2"/>
  <c r="A8256" i="2"/>
  <c r="A8257" i="2"/>
  <c r="A8258" i="2"/>
  <c r="A8259" i="2"/>
  <c r="A8260" i="2"/>
  <c r="A8261" i="2"/>
  <c r="A8262" i="2"/>
  <c r="A8263" i="2"/>
  <c r="A8264" i="2"/>
  <c r="A8265" i="2"/>
  <c r="A8266" i="2"/>
  <c r="A8267" i="2"/>
  <c r="A8268" i="2"/>
  <c r="A8269" i="2"/>
  <c r="A8270" i="2"/>
  <c r="A8271" i="2"/>
  <c r="A8272" i="2"/>
  <c r="A8273" i="2"/>
  <c r="A8274" i="2"/>
  <c r="A8275" i="2"/>
  <c r="A8276" i="2"/>
  <c r="A8277" i="2"/>
  <c r="A8278" i="2"/>
  <c r="A8279" i="2"/>
  <c r="A8280" i="2"/>
  <c r="A8281" i="2"/>
  <c r="A8282" i="2"/>
  <c r="A8283" i="2"/>
  <c r="A8284" i="2"/>
  <c r="A8285" i="2"/>
  <c r="A8286" i="2"/>
  <c r="A8287" i="2"/>
  <c r="A8288" i="2"/>
  <c r="A8289" i="2"/>
  <c r="A8290" i="2"/>
  <c r="A8291" i="2"/>
  <c r="A8292" i="2"/>
  <c r="A8293" i="2"/>
  <c r="A8294" i="2"/>
  <c r="A8295" i="2"/>
  <c r="A8296" i="2"/>
  <c r="A8297" i="2"/>
  <c r="A8298" i="2"/>
  <c r="A8299" i="2"/>
  <c r="A8300" i="2"/>
  <c r="A8301" i="2"/>
  <c r="A8302" i="2"/>
  <c r="A8303" i="2"/>
  <c r="A8304" i="2"/>
  <c r="A8305" i="2"/>
  <c r="A8306" i="2"/>
  <c r="A8307" i="2"/>
  <c r="A8308" i="2"/>
  <c r="A8309" i="2"/>
  <c r="A8310" i="2"/>
  <c r="A8311" i="2"/>
  <c r="A8312" i="2"/>
  <c r="A8313" i="2"/>
  <c r="A8314" i="2"/>
  <c r="A8315" i="2"/>
  <c r="A8316" i="2"/>
  <c r="A8317" i="2"/>
  <c r="A8318" i="2"/>
  <c r="A8319" i="2"/>
  <c r="A8320" i="2"/>
  <c r="A8321" i="2"/>
  <c r="A8322" i="2"/>
  <c r="A8323" i="2"/>
  <c r="A8324" i="2"/>
  <c r="A8325" i="2"/>
  <c r="A8326" i="2"/>
  <c r="A8327" i="2"/>
  <c r="A8328" i="2"/>
  <c r="A8329" i="2"/>
  <c r="A8330" i="2"/>
  <c r="A8331" i="2"/>
  <c r="A8332" i="2"/>
  <c r="A8333" i="2"/>
  <c r="A8334" i="2"/>
  <c r="A8335" i="2"/>
  <c r="A8336" i="2"/>
  <c r="A8337" i="2"/>
  <c r="A8338" i="2"/>
  <c r="A8339" i="2"/>
  <c r="A8340" i="2"/>
  <c r="A8341" i="2"/>
  <c r="A8342" i="2"/>
  <c r="A8343" i="2"/>
  <c r="A8344" i="2"/>
  <c r="A8345" i="2"/>
  <c r="A8346" i="2"/>
  <c r="A8347" i="2"/>
  <c r="A8348" i="2"/>
  <c r="A8349" i="2"/>
  <c r="A8350" i="2"/>
  <c r="A8351" i="2"/>
  <c r="A8352" i="2"/>
  <c r="A8353" i="2"/>
  <c r="A8354" i="2"/>
  <c r="A8355" i="2"/>
  <c r="A8356" i="2"/>
  <c r="A8357" i="2"/>
  <c r="A8358" i="2"/>
  <c r="A8359" i="2"/>
  <c r="A8360" i="2"/>
  <c r="A8361" i="2"/>
  <c r="A8362" i="2"/>
  <c r="A8363" i="2"/>
  <c r="A8364" i="2"/>
  <c r="A8365" i="2"/>
  <c r="A8366" i="2"/>
  <c r="A8367" i="2"/>
  <c r="A8368" i="2"/>
  <c r="A8369" i="2"/>
  <c r="A8370" i="2"/>
  <c r="A8371" i="2"/>
  <c r="A8372" i="2"/>
  <c r="A8373" i="2"/>
  <c r="A8374" i="2"/>
  <c r="A8375" i="2"/>
  <c r="A8376" i="2"/>
  <c r="A8377" i="2"/>
  <c r="A8378" i="2"/>
  <c r="A8379" i="2"/>
  <c r="A8380" i="2"/>
  <c r="A8381" i="2"/>
  <c r="A8382" i="2"/>
  <c r="A8383" i="2"/>
  <c r="A8384" i="2"/>
  <c r="A8385" i="2"/>
  <c r="A8386" i="2"/>
  <c r="A8387" i="2"/>
  <c r="A8388" i="2"/>
  <c r="A8389" i="2"/>
  <c r="A8390" i="2"/>
  <c r="A8391" i="2"/>
  <c r="A8392" i="2"/>
  <c r="A8393" i="2"/>
  <c r="A8394" i="2"/>
  <c r="A8395" i="2"/>
  <c r="A8396" i="2"/>
  <c r="A8397" i="2"/>
  <c r="A8398" i="2"/>
  <c r="A8399" i="2"/>
  <c r="A8400" i="2"/>
  <c r="A8401" i="2"/>
  <c r="A8402" i="2"/>
  <c r="A8403" i="2"/>
  <c r="A8404" i="2"/>
  <c r="A8405" i="2"/>
  <c r="A8406" i="2"/>
  <c r="A8407" i="2"/>
  <c r="A8408" i="2"/>
  <c r="A8409" i="2"/>
  <c r="A8410" i="2"/>
  <c r="A8411" i="2"/>
  <c r="A8412" i="2"/>
  <c r="A8413" i="2"/>
  <c r="A8414" i="2"/>
  <c r="A8415" i="2"/>
  <c r="A8416" i="2"/>
  <c r="A8417" i="2"/>
  <c r="A8418" i="2"/>
  <c r="A8419" i="2"/>
  <c r="A8420" i="2"/>
  <c r="A8421" i="2"/>
  <c r="A8422" i="2"/>
  <c r="A8423" i="2"/>
  <c r="A8424" i="2"/>
  <c r="A8425" i="2"/>
  <c r="A8426" i="2"/>
  <c r="A8427" i="2"/>
  <c r="A8428" i="2"/>
  <c r="A8429" i="2"/>
  <c r="A8430" i="2"/>
  <c r="A8431" i="2"/>
  <c r="A8432" i="2"/>
  <c r="A8433" i="2"/>
  <c r="A8434" i="2"/>
  <c r="A8435" i="2"/>
  <c r="A8436" i="2"/>
  <c r="A8437" i="2"/>
  <c r="A8438" i="2"/>
  <c r="A8439" i="2"/>
  <c r="A8440" i="2"/>
  <c r="A8441" i="2"/>
  <c r="A8442" i="2"/>
  <c r="A8443" i="2"/>
  <c r="A8444" i="2"/>
  <c r="A8445" i="2"/>
  <c r="A8446" i="2"/>
  <c r="A8447" i="2"/>
  <c r="A8448" i="2"/>
  <c r="A8449" i="2"/>
  <c r="A8450" i="2"/>
  <c r="A8451" i="2"/>
  <c r="A8452" i="2"/>
  <c r="A8453" i="2"/>
  <c r="A8454" i="2"/>
  <c r="A8455" i="2"/>
  <c r="A8456" i="2"/>
  <c r="A8457" i="2"/>
  <c r="A8458" i="2"/>
  <c r="A8459" i="2"/>
  <c r="A8460" i="2"/>
  <c r="A8461" i="2"/>
  <c r="A8462" i="2"/>
  <c r="A8463" i="2"/>
  <c r="A8464" i="2"/>
  <c r="A8465" i="2"/>
  <c r="A8466" i="2"/>
  <c r="A8467" i="2"/>
  <c r="A8468" i="2"/>
  <c r="A8469" i="2"/>
  <c r="A8470" i="2"/>
  <c r="A8471" i="2"/>
  <c r="A8472" i="2"/>
  <c r="A8473" i="2"/>
  <c r="A8474" i="2"/>
  <c r="A8475" i="2"/>
  <c r="A8476" i="2"/>
  <c r="A8477" i="2"/>
  <c r="A8478" i="2"/>
  <c r="A8479" i="2"/>
  <c r="A8480" i="2"/>
  <c r="A8481" i="2"/>
  <c r="A8482" i="2"/>
  <c r="A8483" i="2"/>
  <c r="A8484" i="2"/>
  <c r="A8485" i="2"/>
  <c r="A8486" i="2"/>
  <c r="A8487" i="2"/>
  <c r="A8488" i="2"/>
  <c r="A8489" i="2"/>
  <c r="A8490" i="2"/>
  <c r="A8491" i="2"/>
  <c r="A8492" i="2"/>
  <c r="A8493" i="2"/>
  <c r="A8494" i="2"/>
  <c r="A8495" i="2"/>
  <c r="A8496" i="2"/>
  <c r="A8497" i="2"/>
  <c r="A8498" i="2"/>
  <c r="A8499" i="2"/>
  <c r="A8500" i="2"/>
  <c r="A8501" i="2"/>
  <c r="A8502" i="2"/>
  <c r="A8503" i="2"/>
  <c r="A8504" i="2"/>
  <c r="A8505" i="2"/>
  <c r="A8506" i="2"/>
  <c r="A8507" i="2"/>
  <c r="A8508" i="2"/>
  <c r="A8509" i="2"/>
  <c r="A8510" i="2"/>
  <c r="A8511" i="2"/>
  <c r="A8512" i="2"/>
  <c r="A8513" i="2"/>
  <c r="A8514" i="2"/>
  <c r="A8515" i="2"/>
  <c r="A8516" i="2"/>
  <c r="A8517" i="2"/>
  <c r="A8518" i="2"/>
  <c r="A8519" i="2"/>
  <c r="A8520" i="2"/>
  <c r="A8521" i="2"/>
  <c r="A8522" i="2"/>
  <c r="A8523" i="2"/>
  <c r="A8524" i="2"/>
  <c r="A8525" i="2"/>
  <c r="A8526" i="2"/>
  <c r="A8527" i="2"/>
  <c r="A8528" i="2"/>
  <c r="A8529" i="2"/>
  <c r="A8530" i="2"/>
  <c r="A8531" i="2"/>
  <c r="A8532" i="2"/>
  <c r="A8533" i="2"/>
  <c r="A8534" i="2"/>
  <c r="A8535" i="2"/>
  <c r="A8536" i="2"/>
  <c r="A8537" i="2"/>
  <c r="A8538" i="2"/>
  <c r="A8539" i="2"/>
  <c r="A8540" i="2"/>
  <c r="A8541" i="2"/>
  <c r="A8542" i="2"/>
  <c r="A8543" i="2"/>
  <c r="A8544" i="2"/>
  <c r="A8545" i="2"/>
  <c r="A8546" i="2"/>
  <c r="A8547" i="2"/>
  <c r="A8548" i="2"/>
  <c r="A8549" i="2"/>
  <c r="A8550" i="2"/>
  <c r="A8551" i="2"/>
  <c r="A8552" i="2"/>
  <c r="A8553" i="2"/>
  <c r="A8554" i="2"/>
  <c r="A8555" i="2"/>
  <c r="A8556" i="2"/>
  <c r="A8557" i="2"/>
  <c r="A8558" i="2"/>
  <c r="A8559" i="2"/>
  <c r="A8560" i="2"/>
  <c r="A8561" i="2"/>
  <c r="A8562" i="2"/>
  <c r="A8563" i="2"/>
  <c r="A8564" i="2"/>
  <c r="A8565" i="2"/>
  <c r="A8566" i="2"/>
  <c r="A8567" i="2"/>
  <c r="A8568" i="2"/>
  <c r="A8569" i="2"/>
  <c r="A8570" i="2"/>
  <c r="A8571" i="2"/>
  <c r="A8572" i="2"/>
  <c r="A8573" i="2"/>
  <c r="A8574" i="2"/>
  <c r="A8575" i="2"/>
  <c r="A8576" i="2"/>
  <c r="A8577" i="2"/>
  <c r="A8578" i="2"/>
  <c r="A8579" i="2"/>
  <c r="A8580" i="2"/>
  <c r="A8581" i="2"/>
  <c r="A8582" i="2"/>
  <c r="A8583" i="2"/>
  <c r="A8584" i="2"/>
  <c r="A8585" i="2"/>
  <c r="A8586" i="2"/>
  <c r="A8587" i="2"/>
  <c r="A8588" i="2"/>
  <c r="A8589" i="2"/>
  <c r="A8590" i="2"/>
  <c r="A8591" i="2"/>
  <c r="A8592" i="2"/>
  <c r="A8593" i="2"/>
  <c r="A8594" i="2"/>
  <c r="A8595" i="2"/>
  <c r="A8596" i="2"/>
  <c r="A8597" i="2"/>
  <c r="A8598" i="2"/>
  <c r="A8599" i="2"/>
  <c r="A8600" i="2"/>
  <c r="A8601" i="2"/>
  <c r="A8602" i="2"/>
  <c r="A8603" i="2"/>
  <c r="A8604" i="2"/>
  <c r="A8605" i="2"/>
  <c r="A8606" i="2"/>
  <c r="A8607" i="2"/>
  <c r="A8608" i="2"/>
  <c r="A8609" i="2"/>
  <c r="A8610" i="2"/>
  <c r="A8611" i="2"/>
  <c r="A8612" i="2"/>
  <c r="A8613" i="2"/>
  <c r="A8614" i="2"/>
  <c r="A8615" i="2"/>
  <c r="A8616" i="2"/>
  <c r="A8617" i="2"/>
  <c r="A8618" i="2"/>
  <c r="A8619" i="2"/>
  <c r="A8620" i="2"/>
  <c r="A8621" i="2"/>
  <c r="A8622" i="2"/>
  <c r="A8623" i="2"/>
  <c r="A8624" i="2"/>
  <c r="A8625" i="2"/>
  <c r="A8626" i="2"/>
  <c r="A8627" i="2"/>
  <c r="A8628" i="2"/>
  <c r="A8629" i="2"/>
  <c r="A8630" i="2"/>
  <c r="A8631" i="2"/>
  <c r="A8632" i="2"/>
  <c r="A8633" i="2"/>
  <c r="A8634" i="2"/>
  <c r="A8635" i="2"/>
  <c r="A8636" i="2"/>
  <c r="A8637" i="2"/>
  <c r="A8638" i="2"/>
  <c r="A8639" i="2"/>
  <c r="A8640" i="2"/>
  <c r="A8641" i="2"/>
  <c r="A8642" i="2"/>
  <c r="A8643" i="2"/>
  <c r="A8644" i="2"/>
  <c r="A8645" i="2"/>
  <c r="A8646" i="2"/>
  <c r="A8647" i="2"/>
  <c r="A8648" i="2"/>
  <c r="A8649" i="2"/>
  <c r="A8650" i="2"/>
  <c r="A8651" i="2"/>
  <c r="A8652" i="2"/>
  <c r="A8653" i="2"/>
  <c r="A8654" i="2"/>
  <c r="A8655" i="2"/>
  <c r="A8656" i="2"/>
  <c r="A8657" i="2"/>
  <c r="A8658" i="2"/>
  <c r="A8659" i="2"/>
  <c r="A8660" i="2"/>
  <c r="A8661" i="2"/>
  <c r="A8662" i="2"/>
  <c r="A8663" i="2"/>
  <c r="A8664" i="2"/>
  <c r="A8665" i="2"/>
  <c r="A8666" i="2"/>
  <c r="A8667" i="2"/>
  <c r="A8668" i="2"/>
  <c r="A8669" i="2"/>
  <c r="A8670" i="2"/>
  <c r="A8671" i="2"/>
  <c r="A8672" i="2"/>
  <c r="A8673" i="2"/>
  <c r="A8674" i="2"/>
  <c r="A8675" i="2"/>
  <c r="A8676" i="2"/>
  <c r="A8677" i="2"/>
  <c r="A8678" i="2"/>
  <c r="A8679" i="2"/>
  <c r="A8680" i="2"/>
  <c r="A8681" i="2"/>
  <c r="A8682" i="2"/>
  <c r="A8683" i="2"/>
  <c r="A8684" i="2"/>
  <c r="A8685" i="2"/>
  <c r="A8686" i="2"/>
  <c r="A8687" i="2"/>
  <c r="A8688" i="2"/>
  <c r="A8689" i="2"/>
  <c r="A8690" i="2"/>
  <c r="A8691" i="2"/>
  <c r="A8692" i="2"/>
  <c r="A8693" i="2"/>
  <c r="A8694" i="2"/>
  <c r="A8695" i="2"/>
  <c r="A8696" i="2"/>
  <c r="A8697" i="2"/>
  <c r="A8698" i="2"/>
  <c r="A8699" i="2"/>
  <c r="A8700" i="2"/>
  <c r="A8701" i="2"/>
  <c r="A8702" i="2"/>
  <c r="A8703" i="2"/>
  <c r="A8704" i="2"/>
  <c r="A8705" i="2"/>
  <c r="A8706" i="2"/>
  <c r="A8707" i="2"/>
  <c r="A8708" i="2"/>
  <c r="A8709" i="2"/>
  <c r="A8710" i="2"/>
  <c r="A8711" i="2"/>
  <c r="A8712" i="2"/>
  <c r="A8713" i="2"/>
  <c r="A8714" i="2"/>
  <c r="A8715" i="2"/>
  <c r="A8716" i="2"/>
  <c r="A8717" i="2"/>
  <c r="A8718" i="2"/>
  <c r="A8719" i="2"/>
  <c r="A8720" i="2"/>
  <c r="A8721" i="2"/>
  <c r="A8722" i="2"/>
  <c r="A8723" i="2"/>
  <c r="A8724" i="2"/>
  <c r="A8725" i="2"/>
  <c r="A8726" i="2"/>
  <c r="A8727" i="2"/>
  <c r="A8728" i="2"/>
  <c r="A8729" i="2"/>
  <c r="A8730" i="2"/>
  <c r="A8731" i="2"/>
  <c r="A8732" i="2"/>
  <c r="A8733" i="2"/>
  <c r="A8734" i="2"/>
  <c r="A8735" i="2"/>
  <c r="A8736" i="2"/>
  <c r="A8737" i="2"/>
  <c r="A8738" i="2"/>
  <c r="A8739" i="2"/>
  <c r="A8740" i="2"/>
  <c r="A8741" i="2"/>
  <c r="A8742" i="2"/>
  <c r="A8743" i="2"/>
  <c r="A8744" i="2"/>
  <c r="A8745" i="2"/>
  <c r="A8746" i="2"/>
  <c r="A8747" i="2"/>
  <c r="A8748" i="2"/>
  <c r="A8749" i="2"/>
  <c r="A8750" i="2"/>
  <c r="A8751" i="2"/>
  <c r="A8752" i="2"/>
  <c r="A8753" i="2"/>
  <c r="A8754" i="2"/>
  <c r="A8755" i="2"/>
  <c r="A8756" i="2"/>
  <c r="A8757" i="2"/>
  <c r="A8758" i="2"/>
  <c r="A8759" i="2"/>
  <c r="A8760" i="2"/>
  <c r="A8761" i="2"/>
  <c r="A8762" i="2"/>
  <c r="A8763" i="2"/>
  <c r="A8764" i="2"/>
  <c r="A8765" i="2"/>
  <c r="A8766" i="2"/>
  <c r="A8767" i="2"/>
  <c r="A8768" i="2"/>
  <c r="A8769" i="2"/>
  <c r="A8770" i="2"/>
  <c r="A8771" i="2"/>
  <c r="A8772" i="2"/>
  <c r="A8773" i="2"/>
  <c r="A8774" i="2"/>
  <c r="A8775" i="2"/>
  <c r="A8776" i="2"/>
  <c r="A8777" i="2"/>
  <c r="A8778" i="2"/>
  <c r="A8779" i="2"/>
  <c r="A8780" i="2"/>
  <c r="A8781" i="2"/>
  <c r="A8782" i="2"/>
  <c r="A8783" i="2"/>
  <c r="A8784" i="2"/>
  <c r="A8785" i="2"/>
  <c r="A8786" i="2"/>
  <c r="A8787" i="2"/>
  <c r="A8788" i="2"/>
  <c r="A8789" i="2"/>
  <c r="A8790" i="2"/>
  <c r="A8791" i="2"/>
  <c r="A8792" i="2"/>
  <c r="A8793" i="2"/>
  <c r="A8794" i="2"/>
  <c r="A8795" i="2"/>
  <c r="A8796" i="2"/>
  <c r="A8797" i="2"/>
  <c r="A8798" i="2"/>
  <c r="A8799" i="2"/>
  <c r="A8800" i="2"/>
  <c r="A8801" i="2"/>
  <c r="A8802" i="2"/>
  <c r="A8803" i="2"/>
  <c r="A8804" i="2"/>
  <c r="A8805" i="2"/>
  <c r="A8806" i="2"/>
  <c r="A8807" i="2"/>
  <c r="A8808" i="2"/>
  <c r="A8809" i="2"/>
  <c r="A8810" i="2"/>
  <c r="A8811" i="2"/>
  <c r="A8812" i="2"/>
  <c r="A8813" i="2"/>
  <c r="A8814" i="2"/>
  <c r="A8815" i="2"/>
  <c r="A8816" i="2"/>
  <c r="A8817" i="2"/>
  <c r="A8818" i="2"/>
  <c r="A8819" i="2"/>
  <c r="A8820" i="2"/>
  <c r="A8821" i="2"/>
  <c r="A8822" i="2"/>
  <c r="A8823" i="2"/>
  <c r="A8824" i="2"/>
  <c r="A8825" i="2"/>
  <c r="A8826" i="2"/>
  <c r="A8827" i="2"/>
  <c r="A8828" i="2"/>
  <c r="A8829" i="2"/>
  <c r="A8830" i="2"/>
  <c r="A8831" i="2"/>
  <c r="A8832" i="2"/>
  <c r="A8833" i="2"/>
  <c r="A8834" i="2"/>
  <c r="A8835" i="2"/>
  <c r="A8836" i="2"/>
  <c r="A8837" i="2"/>
  <c r="A8838" i="2"/>
  <c r="A8839" i="2"/>
  <c r="A8840" i="2"/>
  <c r="A8841" i="2"/>
  <c r="A8842" i="2"/>
  <c r="A8843" i="2"/>
  <c r="A8844" i="2"/>
  <c r="A8845" i="2"/>
  <c r="A8846" i="2"/>
  <c r="A8847" i="2"/>
  <c r="A8848" i="2"/>
  <c r="A8849" i="2"/>
  <c r="A8850" i="2"/>
  <c r="A8851" i="2"/>
  <c r="A8852" i="2"/>
  <c r="A8853" i="2"/>
  <c r="A8854" i="2"/>
  <c r="A8855" i="2"/>
  <c r="A8856" i="2"/>
  <c r="A8857" i="2"/>
  <c r="A8858" i="2"/>
  <c r="A8859" i="2"/>
  <c r="A8860" i="2"/>
  <c r="A8861" i="2"/>
  <c r="A8862" i="2"/>
  <c r="A8863" i="2"/>
  <c r="A8864" i="2"/>
  <c r="A8865" i="2"/>
  <c r="A8866" i="2"/>
  <c r="A8867" i="2"/>
  <c r="A8868" i="2"/>
  <c r="A8869" i="2"/>
  <c r="A8870" i="2"/>
  <c r="A8871" i="2"/>
  <c r="A8872" i="2"/>
  <c r="A8873" i="2"/>
  <c r="A8874" i="2"/>
  <c r="A8875" i="2"/>
  <c r="A8876" i="2"/>
  <c r="A8877" i="2"/>
  <c r="A8878" i="2"/>
  <c r="A8879" i="2"/>
  <c r="A8880" i="2"/>
  <c r="A8881" i="2"/>
  <c r="A8882" i="2"/>
  <c r="A8883" i="2"/>
  <c r="A8884" i="2"/>
  <c r="A8885" i="2"/>
  <c r="A8886" i="2"/>
  <c r="A8887" i="2"/>
  <c r="A8888" i="2"/>
  <c r="A8889" i="2"/>
  <c r="A8890" i="2"/>
  <c r="A8891" i="2"/>
  <c r="A8892" i="2"/>
  <c r="A8893" i="2"/>
  <c r="A8894" i="2"/>
  <c r="A8895" i="2"/>
  <c r="A8896" i="2"/>
  <c r="A8897" i="2"/>
  <c r="A8898" i="2"/>
  <c r="A8899" i="2"/>
  <c r="A8900" i="2"/>
  <c r="A8901" i="2"/>
  <c r="A8902" i="2"/>
  <c r="A8903" i="2"/>
  <c r="A8904" i="2"/>
  <c r="A8905" i="2"/>
  <c r="A8906" i="2"/>
  <c r="A8907" i="2"/>
  <c r="A8908" i="2"/>
  <c r="A8909" i="2"/>
  <c r="A8910" i="2"/>
  <c r="A8911" i="2"/>
  <c r="A8912" i="2"/>
  <c r="A8913" i="2"/>
  <c r="A8914" i="2"/>
  <c r="A8915" i="2"/>
  <c r="A8916" i="2"/>
  <c r="A8917" i="2"/>
  <c r="A8918" i="2"/>
  <c r="A8919" i="2"/>
  <c r="A8920" i="2"/>
  <c r="A8921" i="2"/>
  <c r="A8922" i="2"/>
  <c r="A8923" i="2"/>
  <c r="A8924" i="2"/>
  <c r="A8925" i="2"/>
  <c r="A8926" i="2"/>
  <c r="A8927" i="2"/>
  <c r="A8928" i="2"/>
  <c r="A8929" i="2"/>
  <c r="A8930" i="2"/>
  <c r="A8931" i="2"/>
  <c r="A8932" i="2"/>
  <c r="A8933" i="2"/>
  <c r="A8934" i="2"/>
  <c r="A8935" i="2"/>
  <c r="A8936" i="2"/>
  <c r="A8937" i="2"/>
  <c r="A8938" i="2"/>
  <c r="A8939" i="2"/>
  <c r="A8940" i="2"/>
  <c r="A8941" i="2"/>
  <c r="A8942" i="2"/>
  <c r="A8943" i="2"/>
  <c r="A8944" i="2"/>
  <c r="A8945" i="2"/>
  <c r="A8946" i="2"/>
  <c r="A8947" i="2"/>
  <c r="A8948" i="2"/>
  <c r="A8949" i="2"/>
  <c r="A8950" i="2"/>
  <c r="A8951" i="2"/>
  <c r="A8952" i="2"/>
  <c r="A8953" i="2"/>
  <c r="A8954" i="2"/>
  <c r="A8955" i="2"/>
  <c r="A8956" i="2"/>
  <c r="A8957" i="2"/>
  <c r="A8958" i="2"/>
  <c r="A8959" i="2"/>
  <c r="A8960" i="2"/>
  <c r="A8961" i="2"/>
  <c r="A8962" i="2"/>
  <c r="A8963" i="2"/>
  <c r="A8964" i="2"/>
  <c r="A8965" i="2"/>
  <c r="A8966" i="2"/>
  <c r="A8967" i="2"/>
  <c r="A8968" i="2"/>
  <c r="A8969" i="2"/>
  <c r="A8970" i="2"/>
  <c r="A8971" i="2"/>
  <c r="A8972" i="2"/>
  <c r="A8973" i="2"/>
  <c r="A8974" i="2"/>
  <c r="A8975" i="2"/>
  <c r="A8976" i="2"/>
  <c r="A8977" i="2"/>
  <c r="A8978" i="2"/>
  <c r="A8979" i="2"/>
  <c r="A8980" i="2"/>
  <c r="A8981" i="2"/>
  <c r="A8982" i="2"/>
  <c r="A8983" i="2"/>
  <c r="A8984" i="2"/>
  <c r="A8985" i="2"/>
  <c r="A8986" i="2"/>
  <c r="A8987" i="2"/>
  <c r="A8988" i="2"/>
  <c r="A8989" i="2"/>
  <c r="A8990" i="2"/>
  <c r="A8991" i="2"/>
  <c r="A8992" i="2"/>
  <c r="A8993" i="2"/>
  <c r="A8994" i="2"/>
  <c r="A8995" i="2"/>
  <c r="A8996" i="2"/>
  <c r="A8997" i="2"/>
  <c r="A8998" i="2"/>
  <c r="A8999" i="2"/>
  <c r="A9000" i="2"/>
  <c r="A9001" i="2"/>
  <c r="A9002" i="2"/>
  <c r="A9003" i="2"/>
  <c r="A9004" i="2"/>
  <c r="A9005" i="2"/>
  <c r="A9006" i="2"/>
  <c r="A9007" i="2"/>
  <c r="A9008" i="2"/>
  <c r="A9009" i="2"/>
  <c r="A9010" i="2"/>
  <c r="A9011" i="2"/>
  <c r="A9012" i="2"/>
  <c r="A9013" i="2"/>
  <c r="A9014" i="2"/>
  <c r="A9015" i="2"/>
  <c r="A9016" i="2"/>
  <c r="A9017" i="2"/>
  <c r="A9018" i="2"/>
  <c r="A9019" i="2"/>
  <c r="A9020" i="2"/>
  <c r="A9021" i="2"/>
  <c r="A9022" i="2"/>
  <c r="A9023" i="2"/>
  <c r="A9024" i="2"/>
  <c r="A9025" i="2"/>
  <c r="A9026" i="2"/>
  <c r="A9027" i="2"/>
  <c r="A9028" i="2"/>
  <c r="A9029" i="2"/>
  <c r="A9030" i="2"/>
  <c r="A9031" i="2"/>
  <c r="A9032" i="2"/>
  <c r="A9033" i="2"/>
  <c r="A9034" i="2"/>
  <c r="A9035" i="2"/>
  <c r="A9036" i="2"/>
  <c r="A9037" i="2"/>
  <c r="A9038" i="2"/>
  <c r="A9039" i="2"/>
  <c r="A9040" i="2"/>
  <c r="A9041" i="2"/>
  <c r="A9042" i="2"/>
  <c r="A9043" i="2"/>
  <c r="A9044" i="2"/>
  <c r="A9045" i="2"/>
  <c r="A9046" i="2"/>
  <c r="A9047" i="2"/>
  <c r="A9048" i="2"/>
  <c r="A9049" i="2"/>
  <c r="A9050" i="2"/>
  <c r="A9051" i="2"/>
  <c r="A9052" i="2"/>
  <c r="A9053" i="2"/>
  <c r="A9054" i="2"/>
  <c r="A9055" i="2"/>
  <c r="A9056" i="2"/>
  <c r="A9057" i="2"/>
  <c r="A9058" i="2"/>
  <c r="A9059" i="2"/>
  <c r="A9060" i="2"/>
  <c r="A9061" i="2"/>
  <c r="A9062" i="2"/>
  <c r="A9063" i="2"/>
  <c r="A9064" i="2"/>
  <c r="A9065" i="2"/>
  <c r="A9066" i="2"/>
  <c r="A9067" i="2"/>
  <c r="A9068" i="2"/>
  <c r="A9069" i="2"/>
  <c r="A9070" i="2"/>
  <c r="A9071" i="2"/>
  <c r="A9072" i="2"/>
  <c r="A9073" i="2"/>
  <c r="A9074" i="2"/>
  <c r="A9075" i="2"/>
  <c r="A9076" i="2"/>
  <c r="A9077" i="2"/>
  <c r="A9078" i="2"/>
  <c r="A9079" i="2"/>
  <c r="A9080" i="2"/>
  <c r="A9081" i="2"/>
  <c r="A9082" i="2"/>
  <c r="A9083" i="2"/>
  <c r="A9084" i="2"/>
  <c r="A9085" i="2"/>
  <c r="A9086" i="2"/>
  <c r="A9087" i="2"/>
  <c r="A9088" i="2"/>
  <c r="A9089" i="2"/>
  <c r="A9090" i="2"/>
  <c r="A9091" i="2"/>
  <c r="A9092" i="2"/>
  <c r="A9093" i="2"/>
  <c r="A9094" i="2"/>
  <c r="A9095" i="2"/>
  <c r="A9096" i="2"/>
  <c r="A9097" i="2"/>
  <c r="A9098" i="2"/>
  <c r="A9099" i="2"/>
  <c r="A9100" i="2"/>
  <c r="A9101" i="2"/>
  <c r="A9102" i="2"/>
  <c r="A9103" i="2"/>
  <c r="A9104" i="2"/>
  <c r="A9105" i="2"/>
  <c r="A9106" i="2"/>
  <c r="A9107" i="2"/>
  <c r="A9108" i="2"/>
  <c r="A9109" i="2"/>
  <c r="A9110" i="2"/>
  <c r="A9111" i="2"/>
  <c r="A9112" i="2"/>
  <c r="A9113" i="2"/>
  <c r="A9114" i="2"/>
  <c r="A9115" i="2"/>
  <c r="A9116" i="2"/>
  <c r="A9117" i="2"/>
  <c r="A9118" i="2"/>
  <c r="A9119" i="2"/>
  <c r="A9120" i="2"/>
  <c r="A9121" i="2"/>
  <c r="A9122" i="2"/>
  <c r="A9123" i="2"/>
  <c r="A9124" i="2"/>
  <c r="A9125" i="2"/>
  <c r="A9126" i="2"/>
  <c r="A9127" i="2"/>
  <c r="A9128" i="2"/>
  <c r="A9129" i="2"/>
  <c r="A9130" i="2"/>
  <c r="A9131" i="2"/>
  <c r="A9132" i="2"/>
  <c r="A9133" i="2"/>
  <c r="A9134" i="2"/>
  <c r="A9135" i="2"/>
  <c r="A9136" i="2"/>
  <c r="A9137" i="2"/>
  <c r="A9138" i="2"/>
  <c r="A9139" i="2"/>
  <c r="A9140" i="2"/>
  <c r="A9141" i="2"/>
  <c r="A177" i="2" l="1"/>
  <c r="A36" i="2" l="1"/>
  <c r="A3" i="2" l="1"/>
  <c r="A4" i="2"/>
  <c r="A5" i="2"/>
  <c r="A6" i="2"/>
  <c r="A7" i="2"/>
  <c r="A8" i="2"/>
  <c r="A9" i="2"/>
  <c r="A10" i="2"/>
  <c r="A12" i="2"/>
  <c r="A13" i="2"/>
  <c r="A14" i="2"/>
  <c r="A15" i="2"/>
  <c r="A16" i="2"/>
  <c r="A17" i="2"/>
  <c r="A18" i="2"/>
  <c r="A19" i="2"/>
  <c r="A20" i="2"/>
  <c r="A21" i="2"/>
  <c r="A22" i="2"/>
  <c r="A23" i="2"/>
  <c r="A24" i="2"/>
  <c r="A25" i="2"/>
  <c r="A26" i="2"/>
  <c r="A27" i="2"/>
  <c r="A28" i="2"/>
  <c r="A29" i="2"/>
  <c r="A30" i="2"/>
  <c r="A31" i="2"/>
  <c r="A32" i="2"/>
  <c r="A33" i="2"/>
  <c r="A34" i="2"/>
  <c r="A35"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I113" i="1" l="1"/>
  <c r="I111" i="1"/>
  <c r="I119" i="1"/>
  <c r="I115" i="1"/>
  <c r="I114" i="1"/>
  <c r="I118" i="1"/>
  <c r="I116" i="1"/>
  <c r="I120" i="1"/>
  <c r="I109" i="1"/>
  <c r="I108" i="1"/>
  <c r="I105" i="1"/>
  <c r="I107" i="1"/>
  <c r="I106" i="1"/>
  <c r="I104" i="1"/>
  <c r="I100" i="1"/>
  <c r="I102" i="1"/>
  <c r="I101" i="1"/>
  <c r="I98" i="1"/>
  <c r="I99" i="1"/>
  <c r="I83" i="1"/>
  <c r="I85" i="1"/>
  <c r="I84" i="1"/>
  <c r="I86" i="1"/>
  <c r="I76" i="1"/>
  <c r="I80" i="1"/>
  <c r="I79" i="1"/>
  <c r="I82" i="1"/>
  <c r="I81" i="1"/>
  <c r="I77" i="1"/>
  <c r="I78" i="1"/>
  <c r="I71" i="1"/>
  <c r="I67" i="1"/>
  <c r="I70" i="1"/>
  <c r="I74" i="1"/>
  <c r="I73" i="1"/>
  <c r="I72" i="1"/>
  <c r="I68" i="1"/>
  <c r="I69" i="1"/>
  <c r="I66" i="1"/>
  <c r="I65" i="1"/>
  <c r="I54" i="1"/>
  <c r="I64" i="1"/>
  <c r="I62" i="1"/>
  <c r="I51" i="1"/>
  <c r="I58" i="1"/>
  <c r="I63" i="1"/>
  <c r="I59" i="1"/>
  <c r="I60" i="1"/>
  <c r="I56" i="1"/>
  <c r="I53" i="1"/>
  <c r="I61" i="1"/>
  <c r="I57" i="1"/>
  <c r="I55" i="1"/>
  <c r="I52" i="1"/>
  <c r="I42" i="1"/>
  <c r="I47" i="1"/>
  <c r="I49" i="1"/>
  <c r="I43" i="1"/>
  <c r="I45" i="1"/>
  <c r="I48" i="1"/>
  <c r="I44" i="1"/>
  <c r="I46" i="1"/>
  <c r="I50" i="1"/>
  <c r="I36" i="1"/>
  <c r="I37" i="1"/>
  <c r="I32" i="1"/>
  <c r="I39" i="1"/>
  <c r="I33" i="1"/>
  <c r="I31" i="1"/>
  <c r="I35" i="1"/>
  <c r="I40" i="1"/>
  <c r="I41" i="1"/>
  <c r="I38" i="1"/>
  <c r="I34" i="1"/>
  <c r="I30" i="1"/>
  <c r="I25" i="1"/>
  <c r="I27" i="1"/>
  <c r="I23" i="1"/>
  <c r="I29" i="1"/>
  <c r="I26" i="1"/>
  <c r="I24" i="1"/>
  <c r="I28" i="1"/>
  <c r="I19" i="1"/>
  <c r="I18" i="1"/>
  <c r="I21" i="1"/>
  <c r="I22" i="1"/>
  <c r="I17" i="1"/>
  <c r="I14" i="1"/>
  <c r="I12" i="1"/>
  <c r="I10" i="1"/>
  <c r="I8" i="1"/>
  <c r="I15" i="1"/>
  <c r="I13" i="1"/>
  <c r="I9" i="1"/>
  <c r="I16" i="1"/>
  <c r="I11" i="1"/>
  <c r="I7" i="1"/>
  <c r="I6" i="1"/>
  <c r="I5" i="1"/>
  <c r="A156" i="2"/>
  <c r="I93" i="1" s="1"/>
  <c r="A157" i="2"/>
  <c r="A158" i="2"/>
  <c r="A159" i="2"/>
  <c r="A160" i="2"/>
  <c r="A161" i="2"/>
  <c r="A162" i="2"/>
  <c r="A163" i="2"/>
  <c r="A164" i="2"/>
  <c r="A165" i="2"/>
  <c r="A166" i="2"/>
  <c r="A167" i="2"/>
  <c r="A168" i="2"/>
  <c r="A169" i="2"/>
  <c r="A170" i="2"/>
  <c r="A171" i="2"/>
  <c r="A172" i="2"/>
  <c r="A173" i="2"/>
  <c r="A174" i="2"/>
  <c r="A175" i="2"/>
  <c r="A176"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I459" i="1" l="1"/>
  <c r="I452" i="1"/>
  <c r="I457" i="1"/>
  <c r="I458" i="1"/>
  <c r="I455" i="1"/>
  <c r="I456" i="1"/>
  <c r="I454" i="1"/>
  <c r="I460" i="1"/>
  <c r="I453" i="1"/>
  <c r="I463" i="1"/>
  <c r="I462" i="1"/>
  <c r="I461" i="1"/>
  <c r="I450" i="1"/>
  <c r="I447" i="1"/>
  <c r="I449" i="1"/>
  <c r="I451" i="1"/>
  <c r="I448" i="1"/>
  <c r="I435" i="1"/>
  <c r="B435" i="1" s="1"/>
  <c r="I443" i="1"/>
  <c r="I442" i="1"/>
  <c r="I445" i="1"/>
  <c r="I444" i="1"/>
  <c r="I441" i="1"/>
  <c r="I446" i="1"/>
  <c r="I439" i="1"/>
  <c r="I436" i="1"/>
  <c r="I440" i="1"/>
  <c r="I437" i="1"/>
  <c r="I438" i="1"/>
  <c r="I432" i="1"/>
  <c r="I431" i="1"/>
  <c r="I433" i="1"/>
  <c r="I434" i="1"/>
  <c r="I430" i="1"/>
  <c r="I429" i="1"/>
  <c r="I420" i="1"/>
  <c r="B420" i="1" s="1"/>
  <c r="I428" i="1"/>
  <c r="I422" i="1"/>
  <c r="I417" i="1"/>
  <c r="I418" i="1"/>
  <c r="I416" i="1"/>
  <c r="I424" i="1"/>
  <c r="I419" i="1"/>
  <c r="I426" i="1"/>
  <c r="I425" i="1"/>
  <c r="I415" i="1"/>
  <c r="I423" i="1"/>
  <c r="I421" i="1"/>
  <c r="I427" i="1"/>
  <c r="I414" i="1"/>
  <c r="I411" i="1"/>
  <c r="I413" i="1"/>
  <c r="I410" i="1"/>
  <c r="I412" i="1"/>
  <c r="I400" i="1"/>
  <c r="I407" i="1"/>
  <c r="I409" i="1"/>
  <c r="I408" i="1"/>
  <c r="I403" i="1"/>
  <c r="I404" i="1"/>
  <c r="I406" i="1"/>
  <c r="I405" i="1"/>
  <c r="I399" i="1"/>
  <c r="I402" i="1"/>
  <c r="I401" i="1"/>
  <c r="I396" i="1"/>
  <c r="I392" i="1"/>
  <c r="I393" i="1"/>
  <c r="I391" i="1"/>
  <c r="I394" i="1"/>
  <c r="I397" i="1"/>
  <c r="I395" i="1"/>
  <c r="I398" i="1"/>
  <c r="I346" i="1"/>
  <c r="I364" i="1"/>
  <c r="I357" i="1"/>
  <c r="I381" i="1"/>
  <c r="I355" i="1"/>
  <c r="I367" i="1"/>
  <c r="I383" i="1"/>
  <c r="I376" i="1"/>
  <c r="I390" i="1"/>
  <c r="I358" i="1"/>
  <c r="I361" i="1"/>
  <c r="I349" i="1"/>
  <c r="I377" i="1"/>
  <c r="I354" i="1"/>
  <c r="I363" i="1"/>
  <c r="I384" i="1"/>
  <c r="I362" i="1"/>
  <c r="I369" i="1"/>
  <c r="I387" i="1"/>
  <c r="I379" i="1"/>
  <c r="I366" i="1"/>
  <c r="I374" i="1"/>
  <c r="I351" i="1"/>
  <c r="I352" i="1"/>
  <c r="I371" i="1"/>
  <c r="I360" i="1"/>
  <c r="I380" i="1"/>
  <c r="I385" i="1"/>
  <c r="I365" i="1"/>
  <c r="I370" i="1"/>
  <c r="I350" i="1"/>
  <c r="I382" i="1"/>
  <c r="I344" i="1"/>
  <c r="I389" i="1"/>
  <c r="I375" i="1"/>
  <c r="I359" i="1"/>
  <c r="I386" i="1"/>
  <c r="I345" i="1"/>
  <c r="I373" i="1"/>
  <c r="I368" i="1"/>
  <c r="I348" i="1"/>
  <c r="I378" i="1"/>
  <c r="I356" i="1"/>
  <c r="I388" i="1"/>
  <c r="I347" i="1"/>
  <c r="I353" i="1"/>
  <c r="I372" i="1"/>
  <c r="I340" i="1"/>
  <c r="I342" i="1"/>
  <c r="I341" i="1"/>
  <c r="I343" i="1"/>
  <c r="I338" i="1"/>
  <c r="I333" i="1"/>
  <c r="I336" i="1"/>
  <c r="I332" i="1"/>
  <c r="I339" i="1"/>
  <c r="I334" i="1"/>
  <c r="I337" i="1"/>
  <c r="I335" i="1"/>
  <c r="I323" i="1"/>
  <c r="I316" i="1"/>
  <c r="I321" i="1"/>
  <c r="I307" i="1"/>
  <c r="I319" i="1"/>
  <c r="I312" i="1"/>
  <c r="I322" i="1"/>
  <c r="I310" i="1"/>
  <c r="I303" i="1"/>
  <c r="I314" i="1"/>
  <c r="I306" i="1"/>
  <c r="I315" i="1"/>
  <c r="I308" i="1"/>
  <c r="I313" i="1"/>
  <c r="I311" i="1"/>
  <c r="I302" i="1"/>
  <c r="I329" i="1"/>
  <c r="I318" i="1"/>
  <c r="I301" i="1"/>
  <c r="I330" i="1"/>
  <c r="I304" i="1"/>
  <c r="I320" i="1"/>
  <c r="I328" i="1"/>
  <c r="I309" i="1"/>
  <c r="I327" i="1"/>
  <c r="I325" i="1"/>
  <c r="I305" i="1"/>
  <c r="I326" i="1"/>
  <c r="I331" i="1"/>
  <c r="I317" i="1"/>
  <c r="I324" i="1"/>
  <c r="I300" i="1"/>
  <c r="I299" i="1"/>
  <c r="I296" i="1"/>
  <c r="I293" i="1"/>
  <c r="I291" i="1"/>
  <c r="I292" i="1"/>
  <c r="I294" i="1"/>
  <c r="I298" i="1"/>
  <c r="I289" i="1"/>
  <c r="I295" i="1"/>
  <c r="I290" i="1"/>
  <c r="I297" i="1"/>
  <c r="I285" i="1"/>
  <c r="I287" i="1"/>
  <c r="I288" i="1"/>
  <c r="I286" i="1"/>
  <c r="I282" i="1"/>
  <c r="I284" i="1"/>
  <c r="I279" i="1"/>
  <c r="I278" i="1"/>
  <c r="I280" i="1"/>
  <c r="I281" i="1"/>
  <c r="I283" i="1"/>
  <c r="I276" i="1"/>
  <c r="I277" i="1"/>
  <c r="I275" i="1"/>
  <c r="I274" i="1"/>
  <c r="I272" i="1"/>
  <c r="I273" i="1"/>
  <c r="I269" i="1"/>
  <c r="I270" i="1"/>
  <c r="I266" i="1"/>
  <c r="I267" i="1"/>
  <c r="I271" i="1"/>
  <c r="I268" i="1"/>
  <c r="I265" i="1"/>
  <c r="I264" i="1"/>
  <c r="I263" i="1"/>
  <c r="I262" i="1"/>
  <c r="I260" i="1"/>
  <c r="I261" i="1"/>
  <c r="I258" i="1"/>
  <c r="I259" i="1"/>
  <c r="I242" i="1"/>
  <c r="I252" i="1"/>
  <c r="I245" i="1"/>
  <c r="I256" i="1"/>
  <c r="I238" i="1"/>
  <c r="I257" i="1"/>
  <c r="I241" i="1"/>
  <c r="I244" i="1"/>
  <c r="I229" i="1"/>
  <c r="I243" i="1"/>
  <c r="I228" i="1"/>
  <c r="I240" i="1"/>
  <c r="I236" i="1"/>
  <c r="I248" i="1"/>
  <c r="I234" i="1"/>
  <c r="I249" i="1"/>
  <c r="I230" i="1"/>
  <c r="I246" i="1"/>
  <c r="I231" i="1"/>
  <c r="I250" i="1"/>
  <c r="I233" i="1"/>
  <c r="I247" i="1"/>
  <c r="I232" i="1"/>
  <c r="I251" i="1"/>
  <c r="I235" i="1"/>
  <c r="I254" i="1"/>
  <c r="I237" i="1"/>
  <c r="I253" i="1"/>
  <c r="I239" i="1"/>
  <c r="I255" i="1"/>
  <c r="I227" i="1"/>
  <c r="I223" i="1"/>
  <c r="I220" i="1"/>
  <c r="I226" i="1"/>
  <c r="I225" i="1"/>
  <c r="I217" i="1"/>
  <c r="I221" i="1"/>
  <c r="I224" i="1"/>
  <c r="I219" i="1"/>
  <c r="I218" i="1"/>
  <c r="I222" i="1"/>
  <c r="I216" i="1"/>
  <c r="I212" i="1"/>
  <c r="I214" i="1"/>
  <c r="I215" i="1"/>
  <c r="I213" i="1"/>
  <c r="I207" i="1"/>
  <c r="I210" i="1"/>
  <c r="I208" i="1"/>
  <c r="I205" i="1"/>
  <c r="I206" i="1"/>
  <c r="I209" i="1"/>
  <c r="I211" i="1"/>
  <c r="I204" i="1"/>
  <c r="I202" i="1"/>
  <c r="I203" i="1"/>
  <c r="I201" i="1"/>
  <c r="I200" i="1"/>
  <c r="I197" i="1"/>
  <c r="I195" i="1"/>
  <c r="I193" i="1"/>
  <c r="I198" i="1"/>
  <c r="I196" i="1"/>
  <c r="I194" i="1"/>
  <c r="I192" i="1"/>
  <c r="I199" i="1"/>
  <c r="I188" i="1"/>
  <c r="I190" i="1"/>
  <c r="I187" i="1"/>
  <c r="I189" i="1"/>
  <c r="I191" i="1"/>
  <c r="I161" i="1"/>
  <c r="I170" i="1"/>
  <c r="I177" i="1"/>
  <c r="I181" i="1"/>
  <c r="I168" i="1"/>
  <c r="I179" i="1"/>
  <c r="I166" i="1"/>
  <c r="I186" i="1"/>
  <c r="I173" i="1"/>
  <c r="I164" i="1"/>
  <c r="I184" i="1"/>
  <c r="I175" i="1"/>
  <c r="I162" i="1"/>
  <c r="I182" i="1"/>
  <c r="I169" i="1"/>
  <c r="I160" i="1"/>
  <c r="I180" i="1"/>
  <c r="I171" i="1"/>
  <c r="I174" i="1"/>
  <c r="I165" i="1"/>
  <c r="I185" i="1"/>
  <c r="I172" i="1"/>
  <c r="I163" i="1"/>
  <c r="I167" i="1"/>
  <c r="I178" i="1"/>
  <c r="I176" i="1"/>
  <c r="I183" i="1"/>
  <c r="I157" i="1"/>
  <c r="I153" i="1"/>
  <c r="I158" i="1"/>
  <c r="I152" i="1"/>
  <c r="I155" i="1"/>
  <c r="I154" i="1"/>
  <c r="I156" i="1"/>
  <c r="I159" i="1"/>
  <c r="I144" i="1"/>
  <c r="I149" i="1"/>
  <c r="I147" i="1"/>
  <c r="I145" i="1"/>
  <c r="I143" i="1"/>
  <c r="I148" i="1"/>
  <c r="I150" i="1"/>
  <c r="I151" i="1"/>
  <c r="I146" i="1"/>
  <c r="I142" i="1"/>
  <c r="I137" i="1"/>
  <c r="I141" i="1"/>
  <c r="I139" i="1"/>
  <c r="I138" i="1"/>
  <c r="I140" i="1"/>
  <c r="I132" i="1"/>
  <c r="I134" i="1"/>
  <c r="I130" i="1"/>
  <c r="I133" i="1"/>
  <c r="I135" i="1"/>
  <c r="I131" i="1"/>
  <c r="I136" i="1"/>
  <c r="I112" i="1"/>
  <c r="C112" i="1" s="1"/>
  <c r="N112" i="1" s="1"/>
  <c r="I121" i="1"/>
  <c r="C121" i="1" s="1"/>
  <c r="N121" i="1" s="1"/>
  <c r="I126" i="1"/>
  <c r="C126" i="1" s="1"/>
  <c r="N126" i="1" s="1"/>
  <c r="I125" i="1"/>
  <c r="B125" i="1" s="1"/>
  <c r="I103" i="1"/>
  <c r="C103" i="1" s="1"/>
  <c r="N103" i="1" s="1"/>
  <c r="I124" i="1"/>
  <c r="B124" i="1" s="1"/>
  <c r="I122" i="1"/>
  <c r="C122" i="1" s="1"/>
  <c r="N122" i="1" s="1"/>
  <c r="I117" i="1"/>
  <c r="C117" i="1" s="1"/>
  <c r="N117" i="1" s="1"/>
  <c r="I128" i="1"/>
  <c r="B128" i="1" s="1"/>
  <c r="I110" i="1"/>
  <c r="B110" i="1" s="1"/>
  <c r="I127" i="1"/>
  <c r="C127" i="1" s="1"/>
  <c r="N127" i="1" s="1"/>
  <c r="I123" i="1"/>
  <c r="C123" i="1" s="1"/>
  <c r="N123" i="1" s="1"/>
  <c r="I129" i="1"/>
  <c r="B129" i="1" s="1"/>
  <c r="B113" i="1"/>
  <c r="C113" i="1"/>
  <c r="N113" i="1" s="1"/>
  <c r="C120" i="1"/>
  <c r="N120" i="1" s="1"/>
  <c r="B120" i="1"/>
  <c r="B114" i="1"/>
  <c r="C114" i="1"/>
  <c r="N114" i="1" s="1"/>
  <c r="B116" i="1"/>
  <c r="C116" i="1"/>
  <c r="N116" i="1" s="1"/>
  <c r="B119" i="1"/>
  <c r="C119" i="1"/>
  <c r="N119" i="1" s="1"/>
  <c r="B118" i="1"/>
  <c r="C118" i="1"/>
  <c r="N118" i="1" s="1"/>
  <c r="B115" i="1"/>
  <c r="C115" i="1"/>
  <c r="N115" i="1" s="1"/>
  <c r="C111" i="1"/>
  <c r="N111" i="1" s="1"/>
  <c r="B111" i="1"/>
  <c r="C109" i="1"/>
  <c r="N109" i="1" s="1"/>
  <c r="B109" i="1"/>
  <c r="B106" i="1"/>
  <c r="C106" i="1"/>
  <c r="N106" i="1" s="1"/>
  <c r="B107" i="1"/>
  <c r="C107" i="1"/>
  <c r="N107" i="1" s="1"/>
  <c r="B105" i="1"/>
  <c r="C105" i="1"/>
  <c r="N105" i="1" s="1"/>
  <c r="B108" i="1"/>
  <c r="C108" i="1"/>
  <c r="N108" i="1" s="1"/>
  <c r="C104" i="1"/>
  <c r="N104" i="1" s="1"/>
  <c r="B104" i="1"/>
  <c r="B101" i="1"/>
  <c r="C101" i="1"/>
  <c r="N101" i="1" s="1"/>
  <c r="B102" i="1"/>
  <c r="C102" i="1"/>
  <c r="N102" i="1" s="1"/>
  <c r="C100" i="1"/>
  <c r="N100" i="1" s="1"/>
  <c r="B100" i="1"/>
  <c r="C99" i="1"/>
  <c r="N99" i="1" s="1"/>
  <c r="B99" i="1"/>
  <c r="B98" i="1"/>
  <c r="C98" i="1"/>
  <c r="N98" i="1" s="1"/>
  <c r="I20" i="1"/>
  <c r="B20" i="1" s="1"/>
  <c r="I75" i="1"/>
  <c r="B75" i="1" s="1"/>
  <c r="I96" i="1"/>
  <c r="C96" i="1" s="1"/>
  <c r="N96" i="1" s="1"/>
  <c r="I89" i="1"/>
  <c r="C89" i="1" s="1"/>
  <c r="N89" i="1" s="1"/>
  <c r="I88" i="1"/>
  <c r="B88" i="1" s="1"/>
  <c r="I87" i="1"/>
  <c r="C87" i="1" s="1"/>
  <c r="N87" i="1" s="1"/>
  <c r="I95" i="1"/>
  <c r="B95" i="1" s="1"/>
  <c r="I91" i="1"/>
  <c r="B91" i="1" s="1"/>
  <c r="I92" i="1"/>
  <c r="C92" i="1" s="1"/>
  <c r="N92" i="1" s="1"/>
  <c r="I97" i="1"/>
  <c r="B97" i="1" s="1"/>
  <c r="I90" i="1"/>
  <c r="B90" i="1" s="1"/>
  <c r="I94" i="1"/>
  <c r="C94" i="1" s="1"/>
  <c r="N94" i="1" s="1"/>
  <c r="C93" i="1"/>
  <c r="N93" i="1" s="1"/>
  <c r="B93" i="1"/>
  <c r="B84" i="1"/>
  <c r="C84" i="1"/>
  <c r="N84" i="1" s="1"/>
  <c r="B85" i="1"/>
  <c r="C85" i="1"/>
  <c r="N85" i="1" s="1"/>
  <c r="C83" i="1"/>
  <c r="N83" i="1" s="1"/>
  <c r="B83" i="1"/>
  <c r="B86" i="1"/>
  <c r="C86" i="1"/>
  <c r="N86" i="1" s="1"/>
  <c r="C78" i="1"/>
  <c r="N78" i="1" s="1"/>
  <c r="B78" i="1"/>
  <c r="B79" i="1"/>
  <c r="C79" i="1"/>
  <c r="N79" i="1" s="1"/>
  <c r="B77" i="1"/>
  <c r="C77" i="1"/>
  <c r="N77" i="1" s="1"/>
  <c r="C80" i="1"/>
  <c r="N80" i="1" s="1"/>
  <c r="B80" i="1"/>
  <c r="B81" i="1"/>
  <c r="C81" i="1"/>
  <c r="N81" i="1" s="1"/>
  <c r="B76" i="1"/>
  <c r="C76" i="1"/>
  <c r="N76" i="1" s="1"/>
  <c r="B82" i="1"/>
  <c r="C82" i="1"/>
  <c r="N82" i="1" s="1"/>
  <c r="B69" i="1"/>
  <c r="C69" i="1"/>
  <c r="N69" i="1" s="1"/>
  <c r="B74" i="1"/>
  <c r="C74" i="1"/>
  <c r="N74" i="1" s="1"/>
  <c r="C68" i="1"/>
  <c r="N68" i="1" s="1"/>
  <c r="B68" i="1"/>
  <c r="C70" i="1"/>
  <c r="N70" i="1" s="1"/>
  <c r="B70" i="1"/>
  <c r="B65" i="1"/>
  <c r="C65" i="1"/>
  <c r="N65" i="1" s="1"/>
  <c r="C72" i="1"/>
  <c r="N72" i="1" s="1"/>
  <c r="B72" i="1"/>
  <c r="C67" i="1"/>
  <c r="N67" i="1" s="1"/>
  <c r="B67" i="1"/>
  <c r="B66" i="1"/>
  <c r="C66" i="1"/>
  <c r="N66" i="1" s="1"/>
  <c r="B73" i="1"/>
  <c r="C73" i="1"/>
  <c r="N73" i="1" s="1"/>
  <c r="B71" i="1"/>
  <c r="C71" i="1"/>
  <c r="N71" i="1" s="1"/>
  <c r="B46" i="1"/>
  <c r="C46" i="1"/>
  <c r="N46" i="1" s="1"/>
  <c r="B48" i="1"/>
  <c r="C48" i="1"/>
  <c r="N48" i="1" s="1"/>
  <c r="B47" i="1"/>
  <c r="C47" i="1"/>
  <c r="N47" i="1" s="1"/>
  <c r="C57" i="1"/>
  <c r="N57" i="1" s="1"/>
  <c r="B57" i="1"/>
  <c r="B60" i="1"/>
  <c r="C60" i="1"/>
  <c r="N60" i="1" s="1"/>
  <c r="B51" i="1"/>
  <c r="C51" i="1"/>
  <c r="N51" i="1" s="1"/>
  <c r="C50" i="1"/>
  <c r="N50" i="1" s="1"/>
  <c r="B50" i="1"/>
  <c r="B45" i="1"/>
  <c r="C45" i="1"/>
  <c r="N45" i="1" s="1"/>
  <c r="B42" i="1"/>
  <c r="C42" i="1"/>
  <c r="N42" i="1" s="1"/>
  <c r="B61" i="1"/>
  <c r="C61" i="1"/>
  <c r="N61" i="1" s="1"/>
  <c r="B59" i="1"/>
  <c r="C59" i="1"/>
  <c r="N59" i="1" s="1"/>
  <c r="C62" i="1"/>
  <c r="N62" i="1" s="1"/>
  <c r="B62" i="1"/>
  <c r="B43" i="1"/>
  <c r="C43" i="1"/>
  <c r="N43" i="1" s="1"/>
  <c r="B52" i="1"/>
  <c r="C52" i="1"/>
  <c r="N52" i="1" s="1"/>
  <c r="B53" i="1"/>
  <c r="C53" i="1"/>
  <c r="N53" i="1" s="1"/>
  <c r="B63" i="1"/>
  <c r="C63" i="1"/>
  <c r="N63" i="1" s="1"/>
  <c r="B64" i="1"/>
  <c r="C64" i="1"/>
  <c r="N64" i="1" s="1"/>
  <c r="C44" i="1"/>
  <c r="N44" i="1" s="1"/>
  <c r="B44" i="1"/>
  <c r="C49" i="1"/>
  <c r="N49" i="1" s="1"/>
  <c r="B49" i="1"/>
  <c r="B55" i="1"/>
  <c r="C55" i="1"/>
  <c r="N55" i="1" s="1"/>
  <c r="C56" i="1"/>
  <c r="N56" i="1" s="1"/>
  <c r="B56" i="1"/>
  <c r="B58" i="1"/>
  <c r="C58" i="1"/>
  <c r="N58" i="1" s="1"/>
  <c r="C54" i="1"/>
  <c r="N54" i="1" s="1"/>
  <c r="B54" i="1"/>
  <c r="C40" i="1"/>
  <c r="N40" i="1" s="1"/>
  <c r="B40" i="1"/>
  <c r="B39" i="1"/>
  <c r="C39" i="1"/>
  <c r="N39" i="1" s="1"/>
  <c r="B34" i="1"/>
  <c r="C34" i="1"/>
  <c r="N34" i="1" s="1"/>
  <c r="B35" i="1"/>
  <c r="C35" i="1"/>
  <c r="N35" i="1" s="1"/>
  <c r="C32" i="1"/>
  <c r="N32" i="1" s="1"/>
  <c r="B32" i="1"/>
  <c r="B38" i="1"/>
  <c r="C38" i="1"/>
  <c r="N38" i="1" s="1"/>
  <c r="B31" i="1"/>
  <c r="C31" i="1"/>
  <c r="N31" i="1" s="1"/>
  <c r="B37" i="1"/>
  <c r="C37" i="1"/>
  <c r="N37" i="1" s="1"/>
  <c r="C41" i="1"/>
  <c r="N41" i="1" s="1"/>
  <c r="B41" i="1"/>
  <c r="B33" i="1"/>
  <c r="C33" i="1"/>
  <c r="N33" i="1" s="1"/>
  <c r="B36" i="1"/>
  <c r="C36" i="1"/>
  <c r="N36" i="1" s="1"/>
  <c r="B30" i="1"/>
  <c r="C30" i="1"/>
  <c r="N30" i="1" s="1"/>
  <c r="B29" i="1"/>
  <c r="C29" i="1"/>
  <c r="N29" i="1" s="1"/>
  <c r="B28" i="1"/>
  <c r="C28" i="1"/>
  <c r="N28" i="1" s="1"/>
  <c r="B23" i="1"/>
  <c r="C23" i="1"/>
  <c r="N23" i="1" s="1"/>
  <c r="B24" i="1"/>
  <c r="C24" i="1"/>
  <c r="N24" i="1" s="1"/>
  <c r="B27" i="1"/>
  <c r="C27" i="1"/>
  <c r="N27" i="1" s="1"/>
  <c r="B26" i="1"/>
  <c r="C26" i="1"/>
  <c r="N26" i="1" s="1"/>
  <c r="B25" i="1"/>
  <c r="C25" i="1"/>
  <c r="N25" i="1" s="1"/>
  <c r="B22" i="1"/>
  <c r="C22" i="1"/>
  <c r="N22" i="1" s="1"/>
  <c r="B21" i="1"/>
  <c r="C21" i="1"/>
  <c r="N21" i="1" s="1"/>
  <c r="C18" i="1"/>
  <c r="N18" i="1" s="1"/>
  <c r="B18" i="1"/>
  <c r="B19" i="1"/>
  <c r="C19" i="1"/>
  <c r="N19" i="1" s="1"/>
  <c r="B11" i="1"/>
  <c r="C11" i="1"/>
  <c r="N11" i="1" s="1"/>
  <c r="B5" i="1"/>
  <c r="C5" i="1"/>
  <c r="N5" i="1" s="1"/>
  <c r="B6" i="1"/>
  <c r="C6" i="1"/>
  <c r="N6" i="1" s="1"/>
  <c r="C9" i="1"/>
  <c r="N9" i="1" s="1"/>
  <c r="B9" i="1"/>
  <c r="B10" i="1"/>
  <c r="C10" i="1"/>
  <c r="N10" i="1" s="1"/>
  <c r="B13" i="1"/>
  <c r="C13" i="1"/>
  <c r="N13" i="1" s="1"/>
  <c r="B12" i="1"/>
  <c r="C12" i="1"/>
  <c r="N12" i="1" s="1"/>
  <c r="B7" i="1"/>
  <c r="C7" i="1"/>
  <c r="N7" i="1" s="1"/>
  <c r="B15" i="1"/>
  <c r="C15" i="1"/>
  <c r="N15" i="1" s="1"/>
  <c r="B14" i="1"/>
  <c r="C14" i="1"/>
  <c r="N14" i="1" s="1"/>
  <c r="B16" i="1"/>
  <c r="C16" i="1"/>
  <c r="N16" i="1" s="1"/>
  <c r="C8" i="1"/>
  <c r="N8" i="1" s="1"/>
  <c r="B8" i="1"/>
  <c r="C17" i="1"/>
  <c r="N17" i="1" s="1"/>
  <c r="B17" i="1"/>
  <c r="A4" i="1"/>
  <c r="I4" i="1" s="1"/>
  <c r="C435" i="1" l="1"/>
  <c r="N435" i="1" s="1"/>
  <c r="B462" i="1"/>
  <c r="C462" i="1"/>
  <c r="N462" i="1" s="1"/>
  <c r="B454" i="1"/>
  <c r="C454" i="1"/>
  <c r="N454" i="1" s="1"/>
  <c r="C458" i="1"/>
  <c r="N458" i="1" s="1"/>
  <c r="B458" i="1"/>
  <c r="C463" i="1"/>
  <c r="N463" i="1" s="1"/>
  <c r="B463" i="1"/>
  <c r="B456" i="1"/>
  <c r="C456" i="1"/>
  <c r="N456" i="1" s="1"/>
  <c r="B457" i="1"/>
  <c r="C457" i="1"/>
  <c r="N457" i="1" s="1"/>
  <c r="B453" i="1"/>
  <c r="C453" i="1"/>
  <c r="N453" i="1" s="1"/>
  <c r="B455" i="1"/>
  <c r="C455" i="1"/>
  <c r="N455" i="1" s="1"/>
  <c r="B452" i="1"/>
  <c r="C452" i="1"/>
  <c r="N452" i="1" s="1"/>
  <c r="B461" i="1"/>
  <c r="C461" i="1"/>
  <c r="N461" i="1" s="1"/>
  <c r="C460" i="1"/>
  <c r="N460" i="1" s="1"/>
  <c r="B460" i="1"/>
  <c r="C459" i="1"/>
  <c r="N459" i="1" s="1"/>
  <c r="B459" i="1"/>
  <c r="B451" i="1"/>
  <c r="C451" i="1"/>
  <c r="N451" i="1" s="1"/>
  <c r="C449" i="1"/>
  <c r="N449" i="1" s="1"/>
  <c r="B449" i="1"/>
  <c r="B447" i="1"/>
  <c r="C447" i="1"/>
  <c r="N447" i="1" s="1"/>
  <c r="C448" i="1"/>
  <c r="N448" i="1" s="1"/>
  <c r="B448" i="1"/>
  <c r="C450" i="1"/>
  <c r="N450" i="1" s="1"/>
  <c r="B450" i="1"/>
  <c r="C445" i="1"/>
  <c r="N445" i="1" s="1"/>
  <c r="B445" i="1"/>
  <c r="B446" i="1"/>
  <c r="C446" i="1"/>
  <c r="N446" i="1" s="1"/>
  <c r="B442" i="1"/>
  <c r="C442" i="1"/>
  <c r="N442" i="1" s="1"/>
  <c r="C441" i="1"/>
  <c r="N441" i="1" s="1"/>
  <c r="B441" i="1"/>
  <c r="B443" i="1"/>
  <c r="C443" i="1"/>
  <c r="N443" i="1" s="1"/>
  <c r="B444" i="1"/>
  <c r="C444" i="1"/>
  <c r="N444" i="1" s="1"/>
  <c r="B436" i="1"/>
  <c r="C436" i="1"/>
  <c r="N436" i="1" s="1"/>
  <c r="C438" i="1"/>
  <c r="N438" i="1" s="1"/>
  <c r="B438" i="1"/>
  <c r="B439" i="1"/>
  <c r="C439" i="1"/>
  <c r="N439" i="1" s="1"/>
  <c r="C437" i="1"/>
  <c r="N437" i="1" s="1"/>
  <c r="B437" i="1"/>
  <c r="B440" i="1"/>
  <c r="C440" i="1"/>
  <c r="N440" i="1" s="1"/>
  <c r="B434" i="1"/>
  <c r="C434" i="1"/>
  <c r="N434" i="1" s="1"/>
  <c r="B433" i="1"/>
  <c r="C433" i="1"/>
  <c r="N433" i="1" s="1"/>
  <c r="B429" i="1"/>
  <c r="C429" i="1"/>
  <c r="N429" i="1" s="1"/>
  <c r="B431" i="1"/>
  <c r="C431" i="1"/>
  <c r="N431" i="1" s="1"/>
  <c r="C430" i="1"/>
  <c r="N430" i="1" s="1"/>
  <c r="B430" i="1"/>
  <c r="C432" i="1"/>
  <c r="N432" i="1" s="1"/>
  <c r="B432" i="1"/>
  <c r="C420" i="1"/>
  <c r="N420" i="1" s="1"/>
  <c r="B424" i="1"/>
  <c r="C424" i="1"/>
  <c r="N424" i="1" s="1"/>
  <c r="B427" i="1"/>
  <c r="C427" i="1"/>
  <c r="N427" i="1" s="1"/>
  <c r="B425" i="1"/>
  <c r="C425" i="1"/>
  <c r="N425" i="1" s="1"/>
  <c r="B416" i="1"/>
  <c r="C416" i="1"/>
  <c r="N416" i="1" s="1"/>
  <c r="C428" i="1"/>
  <c r="N428" i="1" s="1"/>
  <c r="B428" i="1"/>
  <c r="B422" i="1"/>
  <c r="C422" i="1"/>
  <c r="N422" i="1" s="1"/>
  <c r="C421" i="1"/>
  <c r="N421" i="1" s="1"/>
  <c r="B421" i="1"/>
  <c r="C426" i="1"/>
  <c r="N426" i="1" s="1"/>
  <c r="B426" i="1"/>
  <c r="C418" i="1"/>
  <c r="N418" i="1" s="1"/>
  <c r="B418" i="1"/>
  <c r="B415" i="1"/>
  <c r="C415" i="1"/>
  <c r="N415" i="1" s="1"/>
  <c r="B423" i="1"/>
  <c r="C423" i="1"/>
  <c r="N423" i="1" s="1"/>
  <c r="C419" i="1"/>
  <c r="N419" i="1" s="1"/>
  <c r="B419" i="1"/>
  <c r="B417" i="1"/>
  <c r="C417" i="1"/>
  <c r="N417" i="1" s="1"/>
  <c r="B410" i="1"/>
  <c r="C410" i="1"/>
  <c r="N410" i="1" s="1"/>
  <c r="B413" i="1"/>
  <c r="C413" i="1"/>
  <c r="N413" i="1" s="1"/>
  <c r="C411" i="1"/>
  <c r="N411" i="1" s="1"/>
  <c r="B411" i="1"/>
  <c r="B412" i="1"/>
  <c r="C412" i="1"/>
  <c r="N412" i="1" s="1"/>
  <c r="B414" i="1"/>
  <c r="C414" i="1"/>
  <c r="N414" i="1" s="1"/>
  <c r="C405" i="1"/>
  <c r="N405" i="1" s="1"/>
  <c r="B405" i="1"/>
  <c r="C408" i="1"/>
  <c r="N408" i="1" s="1"/>
  <c r="B408" i="1"/>
  <c r="B401" i="1"/>
  <c r="C401" i="1"/>
  <c r="N401" i="1" s="1"/>
  <c r="B406" i="1"/>
  <c r="C406" i="1"/>
  <c r="N406" i="1" s="1"/>
  <c r="B409" i="1"/>
  <c r="C409" i="1"/>
  <c r="N409" i="1" s="1"/>
  <c r="C402" i="1"/>
  <c r="N402" i="1" s="1"/>
  <c r="B402" i="1"/>
  <c r="C404" i="1"/>
  <c r="N404" i="1" s="1"/>
  <c r="B404" i="1"/>
  <c r="B407" i="1"/>
  <c r="C407" i="1"/>
  <c r="N407" i="1" s="1"/>
  <c r="C124" i="1"/>
  <c r="N124" i="1" s="1"/>
  <c r="C399" i="1"/>
  <c r="N399" i="1" s="1"/>
  <c r="B399" i="1"/>
  <c r="B403" i="1"/>
  <c r="C403" i="1"/>
  <c r="N403" i="1" s="1"/>
  <c r="B400" i="1"/>
  <c r="C400" i="1"/>
  <c r="N400" i="1" s="1"/>
  <c r="B398" i="1"/>
  <c r="C398" i="1"/>
  <c r="N398" i="1" s="1"/>
  <c r="B391" i="1"/>
  <c r="C391" i="1"/>
  <c r="N391" i="1" s="1"/>
  <c r="B395" i="1"/>
  <c r="C395" i="1"/>
  <c r="N395" i="1" s="1"/>
  <c r="B393" i="1"/>
  <c r="C393" i="1"/>
  <c r="N393" i="1" s="1"/>
  <c r="B397" i="1"/>
  <c r="C397" i="1"/>
  <c r="N397" i="1" s="1"/>
  <c r="B392" i="1"/>
  <c r="C392" i="1"/>
  <c r="N392" i="1" s="1"/>
  <c r="B394" i="1"/>
  <c r="C394" i="1"/>
  <c r="N394" i="1" s="1"/>
  <c r="C396" i="1"/>
  <c r="N396" i="1" s="1"/>
  <c r="B396" i="1"/>
  <c r="C388" i="1"/>
  <c r="N388" i="1" s="1"/>
  <c r="B388" i="1"/>
  <c r="C368" i="1"/>
  <c r="N368" i="1" s="1"/>
  <c r="B368" i="1"/>
  <c r="B359" i="1"/>
  <c r="C359" i="1"/>
  <c r="N359" i="1" s="1"/>
  <c r="C382" i="1"/>
  <c r="N382" i="1" s="1"/>
  <c r="B382" i="1"/>
  <c r="C385" i="1"/>
  <c r="N385" i="1" s="1"/>
  <c r="B385" i="1"/>
  <c r="C352" i="1"/>
  <c r="N352" i="1" s="1"/>
  <c r="B352" i="1"/>
  <c r="B379" i="1"/>
  <c r="C379" i="1"/>
  <c r="N379" i="1" s="1"/>
  <c r="B384" i="1"/>
  <c r="C384" i="1"/>
  <c r="N384" i="1" s="1"/>
  <c r="C349" i="1"/>
  <c r="N349" i="1" s="1"/>
  <c r="B349" i="1"/>
  <c r="B376" i="1"/>
  <c r="C376" i="1"/>
  <c r="N376" i="1" s="1"/>
  <c r="B381" i="1"/>
  <c r="C381" i="1"/>
  <c r="N381" i="1" s="1"/>
  <c r="B372" i="1"/>
  <c r="C372" i="1"/>
  <c r="N372" i="1" s="1"/>
  <c r="C356" i="1"/>
  <c r="N356" i="1" s="1"/>
  <c r="B356" i="1"/>
  <c r="C373" i="1"/>
  <c r="N373" i="1" s="1"/>
  <c r="B373" i="1"/>
  <c r="C375" i="1"/>
  <c r="N375" i="1" s="1"/>
  <c r="B375" i="1"/>
  <c r="C350" i="1"/>
  <c r="N350" i="1" s="1"/>
  <c r="B350" i="1"/>
  <c r="C380" i="1"/>
  <c r="N380" i="1" s="1"/>
  <c r="B380" i="1"/>
  <c r="C351" i="1"/>
  <c r="N351" i="1" s="1"/>
  <c r="B351" i="1"/>
  <c r="C387" i="1"/>
  <c r="N387" i="1" s="1"/>
  <c r="B387" i="1"/>
  <c r="C363" i="1"/>
  <c r="N363" i="1" s="1"/>
  <c r="B363" i="1"/>
  <c r="B361" i="1"/>
  <c r="C361" i="1"/>
  <c r="N361" i="1" s="1"/>
  <c r="C383" i="1"/>
  <c r="N383" i="1" s="1"/>
  <c r="B383" i="1"/>
  <c r="B357" i="1"/>
  <c r="C357" i="1"/>
  <c r="N357" i="1" s="1"/>
  <c r="B353" i="1"/>
  <c r="C353" i="1"/>
  <c r="N353" i="1" s="1"/>
  <c r="C378" i="1"/>
  <c r="N378" i="1" s="1"/>
  <c r="B378" i="1"/>
  <c r="C345" i="1"/>
  <c r="N345" i="1" s="1"/>
  <c r="B345" i="1"/>
  <c r="C389" i="1"/>
  <c r="N389" i="1" s="1"/>
  <c r="B389" i="1"/>
  <c r="B370" i="1"/>
  <c r="C370" i="1"/>
  <c r="N370" i="1" s="1"/>
  <c r="B360" i="1"/>
  <c r="C360" i="1"/>
  <c r="N360" i="1" s="1"/>
  <c r="C374" i="1"/>
  <c r="N374" i="1" s="1"/>
  <c r="B374" i="1"/>
  <c r="C369" i="1"/>
  <c r="N369" i="1" s="1"/>
  <c r="B369" i="1"/>
  <c r="C354" i="1"/>
  <c r="N354" i="1" s="1"/>
  <c r="B354" i="1"/>
  <c r="B358" i="1"/>
  <c r="C358" i="1"/>
  <c r="N358" i="1" s="1"/>
  <c r="B367" i="1"/>
  <c r="C367" i="1"/>
  <c r="N367" i="1" s="1"/>
  <c r="C364" i="1"/>
  <c r="N364" i="1" s="1"/>
  <c r="B364" i="1"/>
  <c r="B347" i="1"/>
  <c r="C347" i="1"/>
  <c r="N347" i="1" s="1"/>
  <c r="C348" i="1"/>
  <c r="N348" i="1" s="1"/>
  <c r="B348" i="1"/>
  <c r="C386" i="1"/>
  <c r="N386" i="1" s="1"/>
  <c r="B386" i="1"/>
  <c r="B344" i="1"/>
  <c r="C344" i="1"/>
  <c r="N344" i="1" s="1"/>
  <c r="B365" i="1"/>
  <c r="C365" i="1"/>
  <c r="N365" i="1" s="1"/>
  <c r="C371" i="1"/>
  <c r="N371" i="1" s="1"/>
  <c r="B371" i="1"/>
  <c r="C366" i="1"/>
  <c r="N366" i="1" s="1"/>
  <c r="B366" i="1"/>
  <c r="B362" i="1"/>
  <c r="C362" i="1"/>
  <c r="N362" i="1" s="1"/>
  <c r="C377" i="1"/>
  <c r="N377" i="1" s="1"/>
  <c r="B377" i="1"/>
  <c r="C390" i="1"/>
  <c r="N390" i="1" s="1"/>
  <c r="B390" i="1"/>
  <c r="C355" i="1"/>
  <c r="N355" i="1" s="1"/>
  <c r="B355" i="1"/>
  <c r="B346" i="1"/>
  <c r="C346" i="1"/>
  <c r="N346" i="1" s="1"/>
  <c r="C343" i="1"/>
  <c r="N343" i="1" s="1"/>
  <c r="B343" i="1"/>
  <c r="C341" i="1"/>
  <c r="N341" i="1" s="1"/>
  <c r="B341" i="1"/>
  <c r="B342" i="1"/>
  <c r="C342" i="1"/>
  <c r="N342" i="1" s="1"/>
  <c r="B340" i="1"/>
  <c r="C340" i="1"/>
  <c r="N340" i="1" s="1"/>
  <c r="B335" i="1"/>
  <c r="C335" i="1"/>
  <c r="N335" i="1" s="1"/>
  <c r="B332" i="1"/>
  <c r="C332" i="1"/>
  <c r="N332" i="1" s="1"/>
  <c r="C337" i="1"/>
  <c r="N337" i="1" s="1"/>
  <c r="B337" i="1"/>
  <c r="B336" i="1"/>
  <c r="C336" i="1"/>
  <c r="N336" i="1" s="1"/>
  <c r="B334" i="1"/>
  <c r="C334" i="1"/>
  <c r="N334" i="1" s="1"/>
  <c r="B333" i="1"/>
  <c r="C333" i="1"/>
  <c r="N333" i="1" s="1"/>
  <c r="C339" i="1"/>
  <c r="N339" i="1" s="1"/>
  <c r="B339" i="1"/>
  <c r="B338" i="1"/>
  <c r="C338" i="1"/>
  <c r="N338" i="1" s="1"/>
  <c r="B326" i="1"/>
  <c r="C326" i="1"/>
  <c r="N326" i="1" s="1"/>
  <c r="B309" i="1"/>
  <c r="C309" i="1"/>
  <c r="N309" i="1" s="1"/>
  <c r="C330" i="1"/>
  <c r="N330" i="1" s="1"/>
  <c r="B330" i="1"/>
  <c r="B302" i="1"/>
  <c r="C302" i="1"/>
  <c r="N302" i="1" s="1"/>
  <c r="B315" i="1"/>
  <c r="C315" i="1"/>
  <c r="N315" i="1" s="1"/>
  <c r="C310" i="1"/>
  <c r="N310" i="1" s="1"/>
  <c r="B310" i="1"/>
  <c r="B307" i="1"/>
  <c r="C307" i="1"/>
  <c r="N307" i="1" s="1"/>
  <c r="C324" i="1"/>
  <c r="N324" i="1" s="1"/>
  <c r="B324" i="1"/>
  <c r="B305" i="1"/>
  <c r="C305" i="1"/>
  <c r="N305" i="1" s="1"/>
  <c r="C328" i="1"/>
  <c r="N328" i="1" s="1"/>
  <c r="B328" i="1"/>
  <c r="C301" i="1"/>
  <c r="N301" i="1" s="1"/>
  <c r="B301" i="1"/>
  <c r="B311" i="1"/>
  <c r="C311" i="1"/>
  <c r="N311" i="1" s="1"/>
  <c r="C306" i="1"/>
  <c r="N306" i="1" s="1"/>
  <c r="B306" i="1"/>
  <c r="C322" i="1"/>
  <c r="N322" i="1" s="1"/>
  <c r="B322" i="1"/>
  <c r="B321" i="1"/>
  <c r="C321" i="1"/>
  <c r="N321" i="1" s="1"/>
  <c r="B317" i="1"/>
  <c r="C317" i="1"/>
  <c r="N317" i="1" s="1"/>
  <c r="C325" i="1"/>
  <c r="N325" i="1" s="1"/>
  <c r="B325" i="1"/>
  <c r="B320" i="1"/>
  <c r="C320" i="1"/>
  <c r="N320" i="1" s="1"/>
  <c r="C318" i="1"/>
  <c r="N318" i="1" s="1"/>
  <c r="B318" i="1"/>
  <c r="B313" i="1"/>
  <c r="C313" i="1"/>
  <c r="N313" i="1" s="1"/>
  <c r="C314" i="1"/>
  <c r="N314" i="1" s="1"/>
  <c r="B314" i="1"/>
  <c r="B312" i="1"/>
  <c r="C312" i="1"/>
  <c r="N312" i="1" s="1"/>
  <c r="C316" i="1"/>
  <c r="N316" i="1" s="1"/>
  <c r="B316" i="1"/>
  <c r="B331" i="1"/>
  <c r="C331" i="1"/>
  <c r="N331" i="1" s="1"/>
  <c r="B327" i="1"/>
  <c r="C327" i="1"/>
  <c r="N327" i="1" s="1"/>
  <c r="B304" i="1"/>
  <c r="C304" i="1"/>
  <c r="N304" i="1" s="1"/>
  <c r="B329" i="1"/>
  <c r="C329" i="1"/>
  <c r="N329" i="1" s="1"/>
  <c r="C308" i="1"/>
  <c r="N308" i="1" s="1"/>
  <c r="B308" i="1"/>
  <c r="B303" i="1"/>
  <c r="C303" i="1"/>
  <c r="N303" i="1" s="1"/>
  <c r="B319" i="1"/>
  <c r="C319" i="1"/>
  <c r="N319" i="1" s="1"/>
  <c r="B323" i="1"/>
  <c r="C323" i="1"/>
  <c r="N323" i="1" s="1"/>
  <c r="B299" i="1"/>
  <c r="C299" i="1"/>
  <c r="N299" i="1" s="1"/>
  <c r="C300" i="1"/>
  <c r="N300" i="1" s="1"/>
  <c r="B300" i="1"/>
  <c r="B295" i="1"/>
  <c r="C295" i="1"/>
  <c r="N295" i="1" s="1"/>
  <c r="B292" i="1"/>
  <c r="C292" i="1"/>
  <c r="N292" i="1" s="1"/>
  <c r="B289" i="1"/>
  <c r="C289" i="1"/>
  <c r="N289" i="1" s="1"/>
  <c r="B291" i="1"/>
  <c r="C291" i="1"/>
  <c r="N291" i="1" s="1"/>
  <c r="B297" i="1"/>
  <c r="C297" i="1"/>
  <c r="N297" i="1" s="1"/>
  <c r="B298" i="1"/>
  <c r="C298" i="1"/>
  <c r="N298" i="1" s="1"/>
  <c r="C293" i="1"/>
  <c r="N293" i="1" s="1"/>
  <c r="B293" i="1"/>
  <c r="B290" i="1"/>
  <c r="C290" i="1"/>
  <c r="N290" i="1" s="1"/>
  <c r="B294" i="1"/>
  <c r="C294" i="1"/>
  <c r="N294" i="1" s="1"/>
  <c r="B296" i="1"/>
  <c r="C296" i="1"/>
  <c r="N296" i="1" s="1"/>
  <c r="C286" i="1"/>
  <c r="N286" i="1" s="1"/>
  <c r="B286" i="1"/>
  <c r="C288" i="1"/>
  <c r="N288" i="1" s="1"/>
  <c r="B288" i="1"/>
  <c r="B287" i="1"/>
  <c r="C287" i="1"/>
  <c r="N287" i="1" s="1"/>
  <c r="B285" i="1"/>
  <c r="C285" i="1"/>
  <c r="N285" i="1" s="1"/>
  <c r="C278" i="1"/>
  <c r="N278" i="1" s="1"/>
  <c r="B278" i="1"/>
  <c r="B283" i="1"/>
  <c r="C283" i="1"/>
  <c r="N283" i="1" s="1"/>
  <c r="C279" i="1"/>
  <c r="N279" i="1" s="1"/>
  <c r="B279" i="1"/>
  <c r="C281" i="1"/>
  <c r="N281" i="1" s="1"/>
  <c r="B281" i="1"/>
  <c r="B284" i="1"/>
  <c r="C284" i="1"/>
  <c r="N284" i="1" s="1"/>
  <c r="B280" i="1"/>
  <c r="C280" i="1"/>
  <c r="N280" i="1" s="1"/>
  <c r="C282" i="1"/>
  <c r="N282" i="1" s="1"/>
  <c r="B282" i="1"/>
  <c r="B274" i="1"/>
  <c r="C274" i="1"/>
  <c r="N274" i="1" s="1"/>
  <c r="C275" i="1"/>
  <c r="N275" i="1" s="1"/>
  <c r="B275" i="1"/>
  <c r="C277" i="1"/>
  <c r="N277" i="1" s="1"/>
  <c r="B277" i="1"/>
  <c r="B276" i="1"/>
  <c r="C276" i="1"/>
  <c r="N276" i="1" s="1"/>
  <c r="B273" i="1"/>
  <c r="C273" i="1"/>
  <c r="N273" i="1" s="1"/>
  <c r="C272" i="1"/>
  <c r="N272" i="1" s="1"/>
  <c r="B272" i="1"/>
  <c r="B267" i="1"/>
  <c r="C267" i="1"/>
  <c r="N267" i="1" s="1"/>
  <c r="B266" i="1"/>
  <c r="C266" i="1"/>
  <c r="N266" i="1" s="1"/>
  <c r="C268" i="1"/>
  <c r="N268" i="1" s="1"/>
  <c r="B268" i="1"/>
  <c r="B270" i="1"/>
  <c r="C270" i="1"/>
  <c r="N270" i="1" s="1"/>
  <c r="C271" i="1"/>
  <c r="N271" i="1" s="1"/>
  <c r="B271" i="1"/>
  <c r="B269" i="1"/>
  <c r="C269" i="1"/>
  <c r="N269" i="1" s="1"/>
  <c r="B264" i="1"/>
  <c r="C264" i="1"/>
  <c r="N264" i="1" s="1"/>
  <c r="B265" i="1"/>
  <c r="C265" i="1"/>
  <c r="N265" i="1" s="1"/>
  <c r="B263" i="1"/>
  <c r="C263" i="1"/>
  <c r="N263" i="1" s="1"/>
  <c r="C261" i="1"/>
  <c r="N261" i="1" s="1"/>
  <c r="B261" i="1"/>
  <c r="C260" i="1"/>
  <c r="N260" i="1" s="1"/>
  <c r="B260" i="1"/>
  <c r="B262" i="1"/>
  <c r="C262" i="1"/>
  <c r="N262" i="1" s="1"/>
  <c r="C259" i="1"/>
  <c r="N259" i="1" s="1"/>
  <c r="B259" i="1"/>
  <c r="B258" i="1"/>
  <c r="C258" i="1"/>
  <c r="N258" i="1" s="1"/>
  <c r="C253" i="1"/>
  <c r="N253" i="1" s="1"/>
  <c r="B253" i="1"/>
  <c r="C251" i="1"/>
  <c r="N251" i="1" s="1"/>
  <c r="B251" i="1"/>
  <c r="C250" i="1"/>
  <c r="N250" i="1" s="1"/>
  <c r="B250" i="1"/>
  <c r="C249" i="1"/>
  <c r="N249" i="1" s="1"/>
  <c r="B249" i="1"/>
  <c r="C240" i="1"/>
  <c r="N240" i="1" s="1"/>
  <c r="B240" i="1"/>
  <c r="C244" i="1"/>
  <c r="N244" i="1" s="1"/>
  <c r="B244" i="1"/>
  <c r="B256" i="1"/>
  <c r="C256" i="1"/>
  <c r="N256" i="1" s="1"/>
  <c r="C237" i="1"/>
  <c r="N237" i="1" s="1"/>
  <c r="B237" i="1"/>
  <c r="C232" i="1"/>
  <c r="N232" i="1" s="1"/>
  <c r="B232" i="1"/>
  <c r="B231" i="1"/>
  <c r="C231" i="1"/>
  <c r="N231" i="1" s="1"/>
  <c r="C234" i="1"/>
  <c r="N234" i="1" s="1"/>
  <c r="B234" i="1"/>
  <c r="C228" i="1"/>
  <c r="N228" i="1" s="1"/>
  <c r="B228" i="1"/>
  <c r="B241" i="1"/>
  <c r="C241" i="1"/>
  <c r="N241" i="1" s="1"/>
  <c r="C245" i="1"/>
  <c r="N245" i="1" s="1"/>
  <c r="B245" i="1"/>
  <c r="C255" i="1"/>
  <c r="N255" i="1" s="1"/>
  <c r="B255" i="1"/>
  <c r="B254" i="1"/>
  <c r="C254" i="1"/>
  <c r="N254" i="1" s="1"/>
  <c r="C247" i="1"/>
  <c r="N247" i="1" s="1"/>
  <c r="B247" i="1"/>
  <c r="C246" i="1"/>
  <c r="N246" i="1" s="1"/>
  <c r="B246" i="1"/>
  <c r="B248" i="1"/>
  <c r="C248" i="1"/>
  <c r="N248" i="1" s="1"/>
  <c r="C243" i="1"/>
  <c r="N243" i="1" s="1"/>
  <c r="B243" i="1"/>
  <c r="C257" i="1"/>
  <c r="N257" i="1" s="1"/>
  <c r="B257" i="1"/>
  <c r="B252" i="1"/>
  <c r="C252" i="1"/>
  <c r="N252" i="1" s="1"/>
  <c r="C239" i="1"/>
  <c r="N239" i="1" s="1"/>
  <c r="B239" i="1"/>
  <c r="C235" i="1"/>
  <c r="N235" i="1" s="1"/>
  <c r="B235" i="1"/>
  <c r="B233" i="1"/>
  <c r="C233" i="1"/>
  <c r="N233" i="1" s="1"/>
  <c r="B230" i="1"/>
  <c r="C230" i="1"/>
  <c r="N230" i="1" s="1"/>
  <c r="B236" i="1"/>
  <c r="C236" i="1"/>
  <c r="N236" i="1" s="1"/>
  <c r="B229" i="1"/>
  <c r="C229" i="1"/>
  <c r="N229" i="1" s="1"/>
  <c r="C238" i="1"/>
  <c r="N238" i="1" s="1"/>
  <c r="B238" i="1"/>
  <c r="C242" i="1"/>
  <c r="N242" i="1" s="1"/>
  <c r="B242" i="1"/>
  <c r="B216" i="1"/>
  <c r="C216" i="1"/>
  <c r="N216" i="1" s="1"/>
  <c r="C224" i="1"/>
  <c r="N224" i="1" s="1"/>
  <c r="B224" i="1"/>
  <c r="C226" i="1"/>
  <c r="N226" i="1" s="1"/>
  <c r="B226" i="1"/>
  <c r="B222" i="1"/>
  <c r="C222" i="1"/>
  <c r="N222" i="1" s="1"/>
  <c r="B221" i="1"/>
  <c r="C221" i="1"/>
  <c r="N221" i="1" s="1"/>
  <c r="C220" i="1"/>
  <c r="N220" i="1" s="1"/>
  <c r="B220" i="1"/>
  <c r="B218" i="1"/>
  <c r="C218" i="1"/>
  <c r="N218" i="1" s="1"/>
  <c r="B217" i="1"/>
  <c r="C217" i="1"/>
  <c r="N217" i="1" s="1"/>
  <c r="C223" i="1"/>
  <c r="N223" i="1" s="1"/>
  <c r="B223" i="1"/>
  <c r="C219" i="1"/>
  <c r="N219" i="1" s="1"/>
  <c r="B219" i="1"/>
  <c r="C225" i="1"/>
  <c r="N225" i="1" s="1"/>
  <c r="B225" i="1"/>
  <c r="C227" i="1"/>
  <c r="N227" i="1" s="1"/>
  <c r="B227" i="1"/>
  <c r="B213" i="1"/>
  <c r="C213" i="1"/>
  <c r="N213" i="1" s="1"/>
  <c r="B215" i="1"/>
  <c r="C215" i="1"/>
  <c r="N215" i="1" s="1"/>
  <c r="B214" i="1"/>
  <c r="C214" i="1"/>
  <c r="N214" i="1" s="1"/>
  <c r="B212" i="1"/>
  <c r="C212" i="1"/>
  <c r="N212" i="1" s="1"/>
  <c r="C205" i="1"/>
  <c r="N205" i="1" s="1"/>
  <c r="B205" i="1"/>
  <c r="B211" i="1"/>
  <c r="C211" i="1"/>
  <c r="N211" i="1" s="1"/>
  <c r="B208" i="1"/>
  <c r="C208" i="1"/>
  <c r="N208" i="1" s="1"/>
  <c r="C209" i="1"/>
  <c r="N209" i="1" s="1"/>
  <c r="B209" i="1"/>
  <c r="B210" i="1"/>
  <c r="C210" i="1"/>
  <c r="N210" i="1" s="1"/>
  <c r="C206" i="1"/>
  <c r="N206" i="1" s="1"/>
  <c r="B206" i="1"/>
  <c r="C207" i="1"/>
  <c r="N207" i="1" s="1"/>
  <c r="B207" i="1"/>
  <c r="C192" i="1"/>
  <c r="N192" i="1" s="1"/>
  <c r="B192" i="1"/>
  <c r="C193" i="1"/>
  <c r="N193" i="1" s="1"/>
  <c r="B193" i="1"/>
  <c r="C201" i="1"/>
  <c r="N201" i="1" s="1"/>
  <c r="B201" i="1"/>
  <c r="B194" i="1"/>
  <c r="C194" i="1"/>
  <c r="N194" i="1" s="1"/>
  <c r="C195" i="1"/>
  <c r="N195" i="1" s="1"/>
  <c r="B195" i="1"/>
  <c r="C203" i="1"/>
  <c r="N203" i="1" s="1"/>
  <c r="B203" i="1"/>
  <c r="B196" i="1"/>
  <c r="C196" i="1"/>
  <c r="N196" i="1" s="1"/>
  <c r="C197" i="1"/>
  <c r="N197" i="1" s="1"/>
  <c r="B197" i="1"/>
  <c r="B202" i="1"/>
  <c r="C202" i="1"/>
  <c r="N202" i="1" s="1"/>
  <c r="C199" i="1"/>
  <c r="N199" i="1" s="1"/>
  <c r="B199" i="1"/>
  <c r="B198" i="1"/>
  <c r="C198" i="1"/>
  <c r="N198" i="1" s="1"/>
  <c r="B200" i="1"/>
  <c r="C200" i="1"/>
  <c r="N200" i="1" s="1"/>
  <c r="B204" i="1"/>
  <c r="C204" i="1"/>
  <c r="N204" i="1" s="1"/>
  <c r="B189" i="1"/>
  <c r="C189" i="1"/>
  <c r="N189" i="1" s="1"/>
  <c r="C187" i="1"/>
  <c r="N187" i="1" s="1"/>
  <c r="B187" i="1"/>
  <c r="B190" i="1"/>
  <c r="C190" i="1"/>
  <c r="N190" i="1" s="1"/>
  <c r="B191" i="1"/>
  <c r="C191" i="1"/>
  <c r="N191" i="1" s="1"/>
  <c r="B188" i="1"/>
  <c r="C188" i="1"/>
  <c r="N188" i="1" s="1"/>
  <c r="B117" i="1"/>
  <c r="C167" i="1"/>
  <c r="N167" i="1" s="1"/>
  <c r="B167" i="1"/>
  <c r="B165" i="1"/>
  <c r="C165" i="1"/>
  <c r="N165" i="1" s="1"/>
  <c r="B160" i="1"/>
  <c r="C160" i="1"/>
  <c r="N160" i="1" s="1"/>
  <c r="C175" i="1"/>
  <c r="N175" i="1" s="1"/>
  <c r="B175" i="1"/>
  <c r="C186" i="1"/>
  <c r="N186" i="1" s="1"/>
  <c r="B186" i="1"/>
  <c r="C181" i="1"/>
  <c r="N181" i="1" s="1"/>
  <c r="B181" i="1"/>
  <c r="C183" i="1"/>
  <c r="N183" i="1" s="1"/>
  <c r="B183" i="1"/>
  <c r="B163" i="1"/>
  <c r="C163" i="1"/>
  <c r="N163" i="1" s="1"/>
  <c r="C174" i="1"/>
  <c r="N174" i="1" s="1"/>
  <c r="B174" i="1"/>
  <c r="B169" i="1"/>
  <c r="C169" i="1"/>
  <c r="N169" i="1" s="1"/>
  <c r="B184" i="1"/>
  <c r="C184" i="1"/>
  <c r="N184" i="1" s="1"/>
  <c r="C166" i="1"/>
  <c r="N166" i="1" s="1"/>
  <c r="B166" i="1"/>
  <c r="B177" i="1"/>
  <c r="C177" i="1"/>
  <c r="N177" i="1" s="1"/>
  <c r="C176" i="1"/>
  <c r="N176" i="1" s="1"/>
  <c r="B176" i="1"/>
  <c r="C172" i="1"/>
  <c r="N172" i="1" s="1"/>
  <c r="B172" i="1"/>
  <c r="B171" i="1"/>
  <c r="C171" i="1"/>
  <c r="N171" i="1" s="1"/>
  <c r="B182" i="1"/>
  <c r="C182" i="1"/>
  <c r="N182" i="1" s="1"/>
  <c r="B164" i="1"/>
  <c r="C164" i="1"/>
  <c r="N164" i="1" s="1"/>
  <c r="C179" i="1"/>
  <c r="N179" i="1" s="1"/>
  <c r="B179" i="1"/>
  <c r="C170" i="1"/>
  <c r="N170" i="1" s="1"/>
  <c r="B170" i="1"/>
  <c r="B178" i="1"/>
  <c r="C178" i="1"/>
  <c r="N178" i="1" s="1"/>
  <c r="B185" i="1"/>
  <c r="C185" i="1"/>
  <c r="N185" i="1" s="1"/>
  <c r="C180" i="1"/>
  <c r="N180" i="1" s="1"/>
  <c r="B180" i="1"/>
  <c r="B162" i="1"/>
  <c r="C162" i="1"/>
  <c r="N162" i="1" s="1"/>
  <c r="C173" i="1"/>
  <c r="N173" i="1" s="1"/>
  <c r="B173" i="1"/>
  <c r="C168" i="1"/>
  <c r="N168" i="1" s="1"/>
  <c r="B168" i="1"/>
  <c r="B161" i="1"/>
  <c r="C161" i="1"/>
  <c r="N161" i="1" s="1"/>
  <c r="C159" i="1"/>
  <c r="N159" i="1" s="1"/>
  <c r="B159" i="1"/>
  <c r="B152" i="1"/>
  <c r="C152" i="1"/>
  <c r="N152" i="1" s="1"/>
  <c r="B156" i="1"/>
  <c r="C156" i="1"/>
  <c r="N156" i="1" s="1"/>
  <c r="B158" i="1"/>
  <c r="C158" i="1"/>
  <c r="N158" i="1" s="1"/>
  <c r="B154" i="1"/>
  <c r="C154" i="1"/>
  <c r="N154" i="1" s="1"/>
  <c r="C153" i="1"/>
  <c r="N153" i="1" s="1"/>
  <c r="B153" i="1"/>
  <c r="C155" i="1"/>
  <c r="N155" i="1" s="1"/>
  <c r="B155" i="1"/>
  <c r="C157" i="1"/>
  <c r="N157" i="1" s="1"/>
  <c r="B157" i="1"/>
  <c r="B127" i="1"/>
  <c r="C110" i="1"/>
  <c r="N110" i="1" s="1"/>
  <c r="B121" i="1"/>
  <c r="B126" i="1"/>
  <c r="B151" i="1"/>
  <c r="C151" i="1"/>
  <c r="N151" i="1" s="1"/>
  <c r="B145" i="1"/>
  <c r="C145" i="1"/>
  <c r="N145" i="1" s="1"/>
  <c r="B150" i="1"/>
  <c r="C150" i="1"/>
  <c r="N150" i="1" s="1"/>
  <c r="B147" i="1"/>
  <c r="C147" i="1"/>
  <c r="N147" i="1" s="1"/>
  <c r="C148" i="1"/>
  <c r="N148" i="1" s="1"/>
  <c r="B148" i="1"/>
  <c r="B149" i="1"/>
  <c r="C149" i="1"/>
  <c r="N149" i="1" s="1"/>
  <c r="B146" i="1"/>
  <c r="C146" i="1"/>
  <c r="N146" i="1" s="1"/>
  <c r="C143" i="1"/>
  <c r="N143" i="1" s="1"/>
  <c r="B143" i="1"/>
  <c r="B144" i="1"/>
  <c r="C144" i="1"/>
  <c r="N144" i="1" s="1"/>
  <c r="C125" i="1"/>
  <c r="N125" i="1" s="1"/>
  <c r="B142" i="1"/>
  <c r="C142" i="1"/>
  <c r="N142" i="1" s="1"/>
  <c r="B103" i="1"/>
  <c r="B112" i="1"/>
  <c r="C138" i="1"/>
  <c r="N138" i="1" s="1"/>
  <c r="B138" i="1"/>
  <c r="B139" i="1"/>
  <c r="C139" i="1"/>
  <c r="N139" i="1" s="1"/>
  <c r="C141" i="1"/>
  <c r="N141" i="1" s="1"/>
  <c r="B141" i="1"/>
  <c r="B140" i="1"/>
  <c r="C140" i="1"/>
  <c r="N140" i="1" s="1"/>
  <c r="B137" i="1"/>
  <c r="C137" i="1"/>
  <c r="N137" i="1" s="1"/>
  <c r="C133" i="1"/>
  <c r="N133" i="1" s="1"/>
  <c r="B133" i="1"/>
  <c r="B136" i="1"/>
  <c r="C136" i="1"/>
  <c r="N136" i="1" s="1"/>
  <c r="C130" i="1"/>
  <c r="N130" i="1" s="1"/>
  <c r="B130" i="1"/>
  <c r="C131" i="1"/>
  <c r="N131" i="1" s="1"/>
  <c r="B131" i="1"/>
  <c r="B134" i="1"/>
  <c r="C134" i="1"/>
  <c r="N134" i="1" s="1"/>
  <c r="C135" i="1"/>
  <c r="N135" i="1" s="1"/>
  <c r="B135" i="1"/>
  <c r="B132" i="1"/>
  <c r="C132" i="1"/>
  <c r="N132" i="1" s="1"/>
  <c r="B123" i="1"/>
  <c r="B122" i="1"/>
  <c r="C129" i="1"/>
  <c r="N129" i="1" s="1"/>
  <c r="C128" i="1"/>
  <c r="N128" i="1" s="1"/>
  <c r="C95" i="1"/>
  <c r="N95" i="1" s="1"/>
  <c r="B96" i="1"/>
  <c r="C20" i="1"/>
  <c r="N20" i="1" s="1"/>
  <c r="B92" i="1"/>
  <c r="C91" i="1"/>
  <c r="N91" i="1" s="1"/>
  <c r="C88" i="1"/>
  <c r="N88" i="1" s="1"/>
  <c r="C75" i="1"/>
  <c r="N75" i="1" s="1"/>
  <c r="B89" i="1"/>
  <c r="C90" i="1"/>
  <c r="N90" i="1" s="1"/>
  <c r="B94" i="1"/>
  <c r="C97" i="1"/>
  <c r="N97" i="1" s="1"/>
  <c r="B87" i="1"/>
  <c r="B4" i="1"/>
  <c r="C4" i="1"/>
  <c r="N4" i="1" s="1"/>
</calcChain>
</file>

<file path=xl/comments1.xml><?xml version="1.0" encoding="utf-8"?>
<comments xmlns="http://schemas.openxmlformats.org/spreadsheetml/2006/main">
  <authors>
    <author>XP</author>
  </authors>
  <commentList>
    <comment ref="A273" authorId="0">
      <text>
        <r>
          <rPr>
            <b/>
            <sz val="9"/>
            <color indexed="81"/>
            <rFont val="Tahoma"/>
            <family val="2"/>
          </rPr>
          <t>XP:</t>
        </r>
        <r>
          <rPr>
            <sz val="9"/>
            <color indexed="81"/>
            <rFont val="Tahoma"/>
            <family val="2"/>
          </rPr>
          <t xml:space="preserve">
Mulai di release pak Billy</t>
        </r>
      </text>
    </comment>
  </commentList>
</comments>
</file>

<file path=xl/sharedStrings.xml><?xml version="1.0" encoding="utf-8"?>
<sst xmlns="http://schemas.openxmlformats.org/spreadsheetml/2006/main" count="15002" uniqueCount="854">
  <si>
    <t>NO</t>
  </si>
  <si>
    <t>ITEM_CODE</t>
  </si>
  <si>
    <t>NAMA MATERIAL</t>
  </si>
  <si>
    <t>QTY</t>
  </si>
  <si>
    <t>DEL_DATE</t>
  </si>
  <si>
    <t>ITEM_GROUP</t>
  </si>
  <si>
    <t>PLANT</t>
  </si>
  <si>
    <t>SLOC</t>
  </si>
  <si>
    <t>PCGROUP</t>
  </si>
  <si>
    <t>PCORG</t>
  </si>
  <si>
    <t>STATUS</t>
  </si>
  <si>
    <t>VEN_MAT_NAME</t>
  </si>
  <si>
    <t>BATCH</t>
  </si>
  <si>
    <t>QTY_OPEN</t>
  </si>
  <si>
    <t>QTY_ORDER</t>
  </si>
  <si>
    <t>TOTAL</t>
  </si>
  <si>
    <t>CREATE_BY</t>
  </si>
  <si>
    <t>CREATE DATE</t>
  </si>
  <si>
    <t>MODIFY_BY</t>
  </si>
  <si>
    <t>MODIFY_DATE</t>
  </si>
  <si>
    <t>PRI_INDICATOR</t>
  </si>
  <si>
    <t>TLP</t>
  </si>
  <si>
    <t>PLAN_NAME</t>
  </si>
  <si>
    <t>ADDRESS</t>
  </si>
  <si>
    <t>CITY</t>
  </si>
  <si>
    <t>COUNTRY</t>
  </si>
  <si>
    <t>GLACC</t>
  </si>
  <si>
    <t>MO_CODE</t>
  </si>
  <si>
    <t>COST_CENTER</t>
  </si>
  <si>
    <t>CAT</t>
  </si>
  <si>
    <t>STATUS REALEASE</t>
  </si>
  <si>
    <t>VAL_TYPE</t>
  </si>
  <si>
    <t>REQUISITIONER</t>
  </si>
  <si>
    <t>GR DATE</t>
  </si>
  <si>
    <t>KETERANGAN</t>
  </si>
  <si>
    <t>UNT</t>
  </si>
  <si>
    <t>INVT-COMP</t>
  </si>
  <si>
    <t>LJU</t>
  </si>
  <si>
    <t>LJIV</t>
  </si>
  <si>
    <t>POLU</t>
  </si>
  <si>
    <t>A_TI</t>
  </si>
  <si>
    <t>PT LEUWITEX</t>
  </si>
  <si>
    <t>REJECT</t>
  </si>
  <si>
    <t>KET.</t>
  </si>
  <si>
    <t>SEQ</t>
  </si>
  <si>
    <t>PR_CODE</t>
  </si>
  <si>
    <t>PR_SEQ</t>
  </si>
  <si>
    <t>ITEM_DESC</t>
  </si>
  <si>
    <t>PO_QTY</t>
  </si>
  <si>
    <t>UNIT</t>
  </si>
  <si>
    <t>NET_PRICE</t>
  </si>
  <si>
    <t>CURR</t>
  </si>
  <si>
    <t>MAT_GROUP</t>
  </si>
  <si>
    <t>POM_CODE</t>
  </si>
  <si>
    <t>QTY_OPE</t>
  </si>
  <si>
    <t>QTY_DEL</t>
  </si>
  <si>
    <t>CREATE_DATE</t>
  </si>
  <si>
    <t>PLANT_NAME</t>
  </si>
  <si>
    <t>P_ADDRESS</t>
  </si>
  <si>
    <t>P_CITY</t>
  </si>
  <si>
    <t>P_COUNTRY</t>
  </si>
  <si>
    <t>INFOREC</t>
  </si>
  <si>
    <t>G_WEIGHT</t>
  </si>
  <si>
    <t>UNIT_W</t>
  </si>
  <si>
    <t>VOLUME</t>
  </si>
  <si>
    <t>UNIT_VOL</t>
  </si>
  <si>
    <t>OVER_DEL_TOL</t>
  </si>
  <si>
    <t>UNDER_DEL_TOL</t>
  </si>
  <si>
    <t>REMINDER</t>
  </si>
  <si>
    <t>PLANT_DEL_TIME</t>
  </si>
  <si>
    <t>P_ZIP</t>
  </si>
  <si>
    <t>P_PROV</t>
  </si>
  <si>
    <t>P_TLP</t>
  </si>
  <si>
    <t>P_FAX</t>
  </si>
  <si>
    <t>P_CONTACT</t>
  </si>
  <si>
    <t>DEL_COMP</t>
  </si>
  <si>
    <t>COMMENTS</t>
  </si>
  <si>
    <t>PR_SN</t>
  </si>
  <si>
    <t>KODE MATERIAL</t>
  </si>
  <si>
    <t>PRH_CODE</t>
  </si>
  <si>
    <t>REL_STATUS</t>
  </si>
  <si>
    <t>SERIAL_NUMBER</t>
  </si>
  <si>
    <t>POSTING_DATE</t>
  </si>
  <si>
    <t>ITEM</t>
  </si>
  <si>
    <t>MATERIAL</t>
  </si>
  <si>
    <t>BUN</t>
  </si>
  <si>
    <t>MVT</t>
  </si>
  <si>
    <t>AMOUNT</t>
  </si>
  <si>
    <t>PPH</t>
  </si>
  <si>
    <t>CANCEL_DOC</t>
  </si>
  <si>
    <t>NO_SJ</t>
  </si>
  <si>
    <t>DISC</t>
  </si>
  <si>
    <t>F_TRANS</t>
  </si>
  <si>
    <t>BH</t>
  </si>
  <si>
    <t>NO. PR</t>
  </si>
  <si>
    <t>NO. PO</t>
  </si>
  <si>
    <t>PR KADALUWARSA (TIDAK AKAN BISA DIBUAT PO)</t>
  </si>
  <si>
    <t>CABLE USB FOR PRINTER</t>
  </si>
  <si>
    <t>LI03</t>
  </si>
  <si>
    <t>MOUSE PAD</t>
  </si>
  <si>
    <t>FAN PROCESSOR P4 LGA</t>
  </si>
  <si>
    <t>ADC</t>
  </si>
  <si>
    <t>NETTO</t>
  </si>
  <si>
    <t>BRUTO</t>
  </si>
  <si>
    <t>SERVICE</t>
  </si>
  <si>
    <t>CONTRACT_AMOUNT</t>
  </si>
  <si>
    <t>SEQ_CONTRACT</t>
  </si>
  <si>
    <t>SUB_VENDOR_CODE</t>
  </si>
  <si>
    <t>SUB_VENDOR_NAME</t>
  </si>
  <si>
    <t>DOC_STATUS</t>
  </si>
  <si>
    <t>SSD SATA 256GB</t>
  </si>
  <si>
    <t>PR SUDAH JADI PO/BARANG BELUM DATANG</t>
  </si>
  <si>
    <t>PR BELUM RELEASE BAGIAN IT</t>
  </si>
  <si>
    <t>PR BELUM JADI PO SAMA PEMBELIAN</t>
  </si>
  <si>
    <t>PRINTER EPSON l3210</t>
  </si>
  <si>
    <t>PRINTER EPSON L 3110</t>
  </si>
  <si>
    <t>No</t>
  </si>
  <si>
    <t>Nama Material Lama</t>
  </si>
  <si>
    <t>No Material Lama</t>
  </si>
  <si>
    <t>No Material Baru</t>
  </si>
  <si>
    <t>Nama Material Baru</t>
  </si>
  <si>
    <t>Satuan</t>
  </si>
  <si>
    <t>U/ BAGIAN TRAINING &amp; DEVELOPMENT (HS CODE : 8471.50.90). ERDI</t>
  </si>
  <si>
    <t>URGENT : ORDER YG 3 METER U/ S. MANAGER PRODUKSI, TEKNIK &amp; HRD DAN PEMBELIAN (HS CODE : 8544.20.31). IDRUS</t>
  </si>
  <si>
    <t>U/ BAGIAN IT (3), FINAL LJ2, GD PACKING, PPC PROCESSING LJ1 (HS CODE : 8414.59.10). ERDI</t>
  </si>
  <si>
    <t>U/ S. MANAGER PRODUKSI, TEKNIK &amp; HRD (HS CODE : 8471.60.40). DETA</t>
  </si>
  <si>
    <t>PR CREATE BY IT TAHUN 2025</t>
  </si>
  <si>
    <t>DOC#</t>
  </si>
  <si>
    <t>DOC_TYPE</t>
  </si>
  <si>
    <t>FISCAL</t>
  </si>
  <si>
    <t>EUN</t>
  </si>
  <si>
    <t>REFF_NUMBER</t>
  </si>
  <si>
    <t>POSTING</t>
  </si>
  <si>
    <t>STOCK_TYPE</t>
  </si>
  <si>
    <t>CEK</t>
  </si>
  <si>
    <t>QTY_EUN</t>
  </si>
  <si>
    <t>ITEM_REFF</t>
  </si>
  <si>
    <t>RESERVATION#</t>
  </si>
  <si>
    <t>POD_SEQ</t>
  </si>
  <si>
    <t>PHYSICAL#</t>
  </si>
  <si>
    <t>BARCODE</t>
  </si>
  <si>
    <t>AMOUNT_CONTRACT</t>
  </si>
  <si>
    <t>R</t>
  </si>
  <si>
    <t>CPU BUILDUP</t>
  </si>
  <si>
    <t>U/ PROGRAM APLIKASI BARU GD GREY LJ1 &amp; LJ2 (HS CODE : 8479.89.50). AGUS</t>
  </si>
  <si>
    <t>U/ PROGRAM APLIKASI BARU GD GREY LJ1 &amp; LJ2 (HS CODE : 8471.50.90). AGUS</t>
  </si>
  <si>
    <t>SWITCH D-LINK 8 PORT</t>
  </si>
  <si>
    <t>U/ MTC PERSIAPAN LJ2 (HS CODE : 8517.79.10). TIO</t>
  </si>
  <si>
    <t>PROYEKTOR BENQ MX631ST</t>
  </si>
  <si>
    <t>U/ RUANG MEETING BAGIAN DF LJ1 (HS CODE : 9007.92.00). ERISA</t>
  </si>
  <si>
    <t>MONITOR LCD 19 INCH</t>
  </si>
  <si>
    <t>U/ RUANG MEETING BAGIAN DF LJ1 (HS CODE : 8528.52.00). ERISA</t>
  </si>
  <si>
    <t>U/ RUANG MEETING BAGIAN DF LJ1 (HS CODE : 8479.89.50). ERISA</t>
  </si>
  <si>
    <t>KEYBOARD USB</t>
  </si>
  <si>
    <t>U/ RUANG MEETING BAGIAN DF LJ1 (HS CODE : 8471.60.30). ERISA</t>
  </si>
  <si>
    <t>MOUSE USB</t>
  </si>
  <si>
    <t>U/ RUANG MEETING BAGIAN DF LJ1 (HS CODE : 8471.60.40). ERISA</t>
  </si>
  <si>
    <t>PRINTER EPSON L-121</t>
  </si>
  <si>
    <t>U/ BAGIAN MTC GREY LJ3 (HS CODE :  8443.31.11). WAHDYAT</t>
  </si>
  <si>
    <t>CONNECTOR TELEPHONE</t>
  </si>
  <si>
    <t>INVT-KTR</t>
  </si>
  <si>
    <t>U/ BAGIAN IT, PPC (3), HRD (3), RND DAN MARKETING (2) (HS CODE : 8518.40.20). ERDI</t>
  </si>
  <si>
    <t>IDR</t>
  </si>
  <si>
    <t>PO_INVT</t>
  </si>
  <si>
    <t>X</t>
  </si>
  <si>
    <t>U/ BAGIAN IT (3), FINAL LJU, GD PACKING, PPC PROCESSING LJ1 (HS CODE : 8414.59.10). ERDI</t>
  </si>
  <si>
    <t>U/ PROGRAM APLIKASI BARU GD GREY LJ1 (I5 GEN 6) (HS CODE : 8479.89.50). AGUS</t>
  </si>
  <si>
    <t>U/ PROGRAM APLIKASI BARU GD GREY LJ1 (HS CODE : 8479.89.50). AGUS</t>
  </si>
  <si>
    <t>U/ PROGRAM APLIKASI BARU GD GREY LJ2( I5 GEN 6) (HS CODE : 8479.89.50). AGUS</t>
  </si>
  <si>
    <t>U/ PROGRAM APLIKASI BARU GD GREY LJ2 (HS CODE : 8479.89.50). AGUS</t>
  </si>
  <si>
    <t>WE</t>
  </si>
  <si>
    <t>+</t>
  </si>
  <si>
    <t>U/ BAGIAN MARKETING (HS CODE : 8471.60.30). ELFHA</t>
  </si>
  <si>
    <t>U/ BAGIAN MARKETING (HS CODE : 8471.60.40). ELFHA</t>
  </si>
  <si>
    <t>KAMERA WATERPROOF IP 4MP DAHUA POE</t>
  </si>
  <si>
    <t>U/ AREA GUDANG BARU (BENANG &amp; PACKING) (HS CODE : 8525.81.10). DESSY</t>
  </si>
  <si>
    <t>POE INJECTOR</t>
  </si>
  <si>
    <t>U/ AREA GUDANG BARU (BENANG &amp; PACKING) (HS CODE : 8517.79.10). DESSY</t>
  </si>
  <si>
    <t>NVR 32 Ch DAHUA 4432</t>
  </si>
  <si>
    <t>U/ AREA GUDANG BARU (BENANG &amp; PACKING) (HS CODE : 8521.90.99). DESSY</t>
  </si>
  <si>
    <t>U/ BAGIAN QA (2), WEAVING, FINAL, GA, PERSIAPAN LJ3, PPC GREY, MARKETING (2) DAN RND (HS CODE : 8471.60.30). ALI</t>
  </si>
  <si>
    <t>FLASH DISK 16 GB</t>
  </si>
  <si>
    <t>U/ BAGIAN BI : PROYEK BALI, ASURANSI (HS CODE : 8523.29.71). REYZA</t>
  </si>
  <si>
    <t>MONITOR LCD 22 INCH</t>
  </si>
  <si>
    <t>U/ KADEPT HRD OPERASIONAL YANG BARU (HS CODE : 8528.52.00). AYU</t>
  </si>
  <si>
    <t>U/ KADEPT HRD OPERASIONAL YANG BARU (HS CODE : 8471.60.30). AYU</t>
  </si>
  <si>
    <t>U/ KADEPT HRD OPERASIONAL YANG BARU (HS CODE : 8471.60.40). AYU</t>
  </si>
  <si>
    <t>U/ KADEPT HRD OPERASIONAL YANG BARU (HS CODE : 8479.89.50). AYU</t>
  </si>
  <si>
    <t>KABEL VGA</t>
  </si>
  <si>
    <t>U/ KADEPT HRD OPERASIONAL YANG BARU (HS CODE : 8544.20.31). AYU</t>
  </si>
  <si>
    <t>U/ KADEPT HRD OPERASIONAL YANG BARU &amp; BAGIAN BEACUKAI (HS CODE : 8471.60.40). AYU &amp; PUTRI</t>
  </si>
  <si>
    <t>TELEPHONE DIGITAL</t>
  </si>
  <si>
    <t>U/ KADEPT HRD OPERASIONAL YANG BARU (HS CODE : 8517.14.00). AYU</t>
  </si>
  <si>
    <t>U/ BAGIAN MARKETING (HS CODE : 8479.89.50). ELFHA</t>
  </si>
  <si>
    <t>KABEL POWER SATA</t>
  </si>
  <si>
    <t>U/ BAGIAN IT (HS CODE : 8544.20.31). TIO</t>
  </si>
  <si>
    <t>U/ RUANG MEETING BAGIAN DF LJ1 (I5 GEN 6)(HS CODE : 8479.89.50). ERISA</t>
  </si>
  <si>
    <t>U/ KADEPT HRD OPERASIONAL YANG BARU (I5 GEN 6)(HS CODE : 8479.89.50). AYU</t>
  </si>
  <si>
    <t>U/ KADEPT HRD OPERASIONAL YANG BARU (PANASONIC KX DT -521) (HS CODE : 8517.14.00). AYU</t>
  </si>
  <si>
    <t>POWER SUPLY ATX 450 WATT</t>
  </si>
  <si>
    <t>U/ MENGGANTI YG RUSAK BAGIAN PERSONALIA DAN GD PACKING (HS CODE : 8414.59.10). ERDI</t>
  </si>
  <si>
    <t>U/ MENGGANTI YG RUSAK BAGIAN DF LJ1 (HS CODE : 8517.79.10). TIO</t>
  </si>
  <si>
    <t>U/ PENAMBAHAN DI RUANG BARU BAGIAN UTILITY (HS CODE : 8443.31.11). ERLIN</t>
  </si>
  <si>
    <t>PRINT SERVER</t>
  </si>
  <si>
    <t>FINGER SCAN SOLUTION X100-C</t>
  </si>
  <si>
    <t>U/ MENGGANTI YANG RUSAK DI AREA EX. PERSONALIA (HS CODE : 8471.90.30). ERIK</t>
  </si>
  <si>
    <t>ORDER YANG LOGITECH U/ BAGIAN IT (HS CODE : 8471.60.30). BUDI</t>
  </si>
  <si>
    <t>U/ BAGIAN RND PROCESSING LJ1 (HS CODE : 8528.52.00). TETEN</t>
  </si>
  <si>
    <t>U/ BAGIAN RND PROCESSING LJ1 (HS CODE : 8471.60.30). TETEN</t>
  </si>
  <si>
    <t>U/ BAGIAN RND PROCESSING LJ1 DAN MENGGANTI YANG RUSAK BAGIAN KEUANGAN (2) (HS CODE : 8471.60.40). TETEN &amp; FAJAR</t>
  </si>
  <si>
    <t>U/ BAGIAN RND PROCESSING LJ1 (HS CODE : 8479.89.50). TETEN</t>
  </si>
  <si>
    <t>U/ BAGIAN RND PROCESSING LJ1 (HS CODE : 8544.20.31). TETEN</t>
  </si>
  <si>
    <t>(FP : KB PPN 0%) U/ RUANG MEETING BAGIAN DF LJ1 (HS CODE : 8528.52.00). ERISA</t>
  </si>
  <si>
    <t>(FP : KB PPN 0%)U/ BAGIAN MTC GREY LJ3 (HS CODE :  8443.31.11). WAHDYAT</t>
  </si>
  <si>
    <t>(FP : KB PPN 0%)U/ KADEPT HRD OPERASIONAL YANG BARU (LENOVO L22E-40)(HS CODE : 8528.52.00). AYU</t>
  </si>
  <si>
    <t>(FP : KB PPN 0%) U/ MTC PERSIAPAN LJ2 (HS CODE : 8517.79.10). TIO</t>
  </si>
  <si>
    <t>ADAPTER MONITOR 19V</t>
  </si>
  <si>
    <t>U/ MENGGANTI YANG RUSAK BAGIAN RND DAN KEUANGAN (HS CODE : 8517.79.10). RICKY</t>
  </si>
  <si>
    <t>TERMINAL BOX ISI FRAME LSA</t>
  </si>
  <si>
    <t>ORDER 100 PAIR (2), 200 PAIR (1) U/ PROJECT GEDUNG MARKETING YG BARU (HS CODE : 8536.90.93).TIO</t>
  </si>
  <si>
    <t>USB TERMINAL</t>
  </si>
  <si>
    <t>U/ BAGIAN PERSONALIA (HS CODE : 8454.10.00). SARI</t>
  </si>
  <si>
    <t>U/ PIMPINAN PERSIAPAN LJ3 YG BARU (HS CODE : 8528.52.00). DJAFAR</t>
  </si>
  <si>
    <t>U/ PIMPINAN PERSIAPAN LJ3 YG BARU (HS CODE : 8479.89.50). DJAFAR</t>
  </si>
  <si>
    <t>U/ PIMPINAN PERSIAPAN LJ3 YG BARU (HS CODE : 8471.60.30). DJAFAR</t>
  </si>
  <si>
    <t>U/ PIMPINAN PERSIAPAN LJ3 YG BARU, MENGGANTI YG RUSAK BAGIAN PEMBELIAN (2) (HS CODE : 8471.60.40). DJAFAR &amp; DETA</t>
  </si>
  <si>
    <t>U/ PIMPINAN PERSIAPAN LJ3 YG BARU (HS CODE : 8544.20.31). DJAFAR</t>
  </si>
  <si>
    <t>MONITOR 32 INCH</t>
  </si>
  <si>
    <t>U/ ASS. MGR GREY &amp; PROCESSING (PAK DEDE ROHIMAT &amp; PAK NOFRIZAL) (HS CODE : 8528.52.00). DADANG</t>
  </si>
  <si>
    <t>URGENT : U/ DF LJ2 DAN PENAMBAHAN DI RUANG BARU BAGIAN UTILITY (HS CODE : 8517.79.10). AGUS &amp; ERLIN</t>
  </si>
  <si>
    <t>ADAPTER 5V</t>
  </si>
  <si>
    <t>F</t>
  </si>
  <si>
    <t>PRINTER EPSON L 1250</t>
  </si>
  <si>
    <t>U/ BAGIAN QA (HS CODE :  8443.31.11). HENGKY</t>
  </si>
  <si>
    <t>U/ KADEPT TAX ACCOUNTING YANG BARU (HS CODE : 8528.52.00). CYNTHIA</t>
  </si>
  <si>
    <t>U/ KADEPT TAX ACCOUNTING YANG BARU (HS CODE : 8479.89.50). CYNTHIA</t>
  </si>
  <si>
    <t>U/ KADEPT TAX ACCOUNTING YANG BARU (HS CODE : 8471.60.30). CYNTHIA</t>
  </si>
  <si>
    <t>U/ KADEPT TAX ACCOUNTING YANG BARU &amp; MENGGANTI YG RUSAK BAGIAN PROCESSING DF (2), FINAL, QA (2), PAJAK (4), RND DAN GD PACKING (2) (HS CODE : 8471.60.40). CYNTHIA &amp; ALI</t>
  </si>
  <si>
    <t>U/ KADEPT TAX ACCOUNTING YANG BARU (HS CODE : 8544.20.31). CYNTHIA</t>
  </si>
  <si>
    <t>U/ ASS. MANAGER HRD YANG BARU (HS CODE : 8528.52.00). AYU</t>
  </si>
  <si>
    <t>U/ ASS. MANAGER HRD YANG BARU (HS CODE : 8479.89.50). AYU</t>
  </si>
  <si>
    <t>U/ ASS. MANAGER HRD YANG BARU (HS CODE : 8471.60.30). AYU</t>
  </si>
  <si>
    <t>U/ ASS. MANAGER HRD YANG BARU (HS CODE : 8471.60.40). AYU</t>
  </si>
  <si>
    <t>U/ ASS. MANAGER HRD YANG BARU (HS CODE : 8544.20.31). AYU</t>
  </si>
  <si>
    <t>KX-TS505SLT (PESAWAT TELEPHONE )</t>
  </si>
  <si>
    <t>U/ ASS. MANAGER HRD YANG BARU (HS CODE : 8517.14.00). AYU</t>
  </si>
  <si>
    <t>U/ ASS. MANAGER HRD YANG BARU (HS CODE : 8443.31.11). AYU</t>
  </si>
  <si>
    <t>(FP : KB PPN 0%) U/ PENAMBAHAN DI RUANG BARU BAGIAN UTILITY (HS CODE : 8443.31.11). ERLIN</t>
  </si>
  <si>
    <t>(FP : KB PPN 0%) U/ BAGIAN RND PROCESSING LJ1 (HS CODE : 8528.52.00). TETEN</t>
  </si>
  <si>
    <t>(FP : KB PPN 0%) U/ PIMPINAN PERSIAPAN LJ3 YG BARU (HS CODE : 8528.52.00). DJAFAR</t>
  </si>
  <si>
    <t>U/ BAGIAN IT (4 PIN)(HS CODE : 8544.20.31). TIO</t>
  </si>
  <si>
    <t>U/ BAGIAN RND PROCESSING LJ1 (I5 GEN6) (HS CODE : 8479.89.50). TETEN</t>
  </si>
  <si>
    <t>U/ PIMPINAN PERSIAPAN LJ3 YG BARU (I5 GEN6)  (HS CODE : 8479.89.50). DJAFAR</t>
  </si>
  <si>
    <t>BRACKET PROJECTOR</t>
  </si>
  <si>
    <t>U/ RUANG MEETING DF LJ1 (HS CODE : 8714.99.91). KARISA</t>
  </si>
  <si>
    <t>U/ MENGGANTI YANG RUSAK BAGIAN GD BENANG (HS CODE : 8471.50.90). TIO</t>
  </si>
  <si>
    <t>ORDER UKURAN 7 METER, U/ RUANG MEETING DF LJ1 (HS CODE : 8544.20.31). KARISA</t>
  </si>
  <si>
    <t>URGENT : U/ MENGGANTI YANG RUSAK BAGIAN KEUANGAN (HS CODE : 8517.79.10). RICKY</t>
  </si>
  <si>
    <t>U/ BAGIAN GUDANG BENANG (HS CODE : 8479.89.50). SALIK</t>
  </si>
  <si>
    <t>SWITCH D-LINK 24 PORT</t>
  </si>
  <si>
    <t>U/ PROJECT RUANG BARU MARKETING (HS CODE : 8517.79.10). ERDI</t>
  </si>
  <si>
    <t>KABEL UTP BELDEN</t>
  </si>
  <si>
    <t>ROL</t>
  </si>
  <si>
    <t>U/ GUDANG BARU DI PERSIAPAN LJ3 (HS CODE : 8517.14.00). ERDI</t>
  </si>
  <si>
    <t>U/ PROJECT RUANG BARU MARKETING (HS CODE : 8518.40.20). ERDI</t>
  </si>
  <si>
    <t>RACK 4U WALLMOUNT</t>
  </si>
  <si>
    <t>U/ PROJECT RUANG BARU MARKETING (HS CODE : 8304.00.99). ERDI</t>
  </si>
  <si>
    <t>SWITCH D-LINK 16 PORT</t>
  </si>
  <si>
    <t>(FP : KB PPN 0%) ORDER  200 PAIR  U/ PROJECT GEDUNG MARKETING YG BARU (HS CODE : 8536.90.93).TIO</t>
  </si>
  <si>
    <t>(FP : KB PPN 0%) ORDER 100 PAIR U/ PROJECT GEDUNG MARKETING YG BARU (HS CODE : 8536.90.93).TIO</t>
  </si>
  <si>
    <t>(FP : KB PPN 0%) U/ ASS. MGR GREY &amp; PROCESSING (PAK DEDE ROHIMAT &amp; PAK NOFRIZAL) (LENOVO D32-40)  (HS CODE : 8528.52.00). DADANG</t>
  </si>
  <si>
    <t>(FP : KB PPN 0%) U/ BAGIAN QA (HS CODE :  8443.31.11). HENGKY</t>
  </si>
  <si>
    <t>(FP : KB PPN 0%) U/ KADEPT TAX ACCOUNTING YANG BARU (HS CODE : 8528.52.00). CYNTHIA</t>
  </si>
  <si>
    <t>U/ KADEPT TAX ACCOUNTING YANG BARU (I5 GEN 6) (HS CODE : 8479.89.50). CYNTHIA</t>
  </si>
  <si>
    <t>(FP : KB PPN 0%) U/ ASS. MANAGER HRD YANG BARU (HS CODE : 8528.52.00). AYU</t>
  </si>
  <si>
    <t>U/ ASS. MANAGER MARKETING YANG BARU (KX-TS505MX)  (HS CODE : 8517.14.00). IRFAN</t>
  </si>
  <si>
    <t>U/ ASS. MANAGER HRD YANG BARU (I5 GEN 6) (HS CODE : 8479.89.50). AYU</t>
  </si>
  <si>
    <t>(FP : KB PPN 0%) U/ ASS. MANAGER HRD YANG BARU (HS CODE : 8443.31.11). AYU</t>
  </si>
  <si>
    <t>U/ PROJECT RUANG BARU MARKETING &amp; KOMPRESOR LJ3 (HS CODE : 8517.79.10). ERDI &amp; TIO</t>
  </si>
  <si>
    <t>U/ MENGGANTI YANG RUSAK BAGIAN IT (HS CODE : 8517.79.10). MERIS</t>
  </si>
  <si>
    <t>U/ AREA GD GREY, BONGKAR MUAT LJ3 DAN IPAL (HS CODE : 8517.79.10). ERDI</t>
  </si>
  <si>
    <t>U/ MENGGANTI YG RUSAK DI AREA GEDUNG SUPPORTING LANTAI 2 (HS CODE : 8517.79.10). ERDI</t>
  </si>
  <si>
    <t>U/ BAGIAN GD BENANG (PENDATAAN STOCK BENANG DI GUDANG BARU) (HS CODE : 8528.52.00). SALIK</t>
  </si>
  <si>
    <t>U/ BAGIAN GD BENANG (PENDATAAN STOCK BENANG DI GUDANG BARU) (HS CODE : 8479.89.50). SALIK</t>
  </si>
  <si>
    <t>U/ BAGIAN GD BENANG (PENDATAAN STOCK BENANG DI GUDANG BARU) (HS CODE : 8471.60.30). SALIK</t>
  </si>
  <si>
    <t>U/ BAGIAN GD BENANG (PENDATAAN STOCK BENANG DI GUDANG BARU) (HS CODE : 8471.60.40). SALIK</t>
  </si>
  <si>
    <t>U/ BAGIAN GD BENANG (PENDATAAN STOCK BENANG DI GUDANG BARU) (HS CODE : 8544.20.31). SALIK</t>
  </si>
  <si>
    <t>URGENT : U/ DF LJU DAN PENAMBAHAN DI RUANG BARU BAGIAN UTILITY (HS CODE : 8517.79.10). AGUS &amp; ERLIN</t>
  </si>
  <si>
    <t>(FP : KB PPN 0%) U/ PROJECT RUANG BARU MARKETING (HS CODE : 8517.79.10). ERDI</t>
  </si>
  <si>
    <t>(FP : KB PPN 0%) U/ PROJECT RUANG BARU MARKETING &amp; AREA LJ3 (HS CODE : 8517.79.10). ERDI &amp; TIO</t>
  </si>
  <si>
    <t>U/ BAGIAN GUDANG BENANG (I5 GEN 6) (HS CODE : 8479.89.50). SALIK</t>
  </si>
  <si>
    <t>ORDER UKURAN 10 METER, U/ RUANG MEETING DF LJ1 (HS CODE : 8544.20.31). KARISA</t>
  </si>
  <si>
    <t>U/ RUANG MEETING DF LJ1 ( 1 METER HITAM) (HS CODE : 8714.99.91). KARISA</t>
  </si>
  <si>
    <t>RAM DDR3 4GB</t>
  </si>
  <si>
    <t>U/ BAGIAN MTC. PROCESSING LJ1 (HS CODE : 8471.50.90). RICKY</t>
  </si>
  <si>
    <t>U/ MENGGANTI YG RUSAK BAGIAN DF LJ1 (HS CODE : 8414.59.10). RICKY</t>
  </si>
  <si>
    <t>PCS</t>
  </si>
  <si>
    <t>U/ ASST. MGR. PRODUKSI (BPK DEDE &amp; NOFRIZAL), (HS CODE : 8544.20.31). RICKY</t>
  </si>
  <si>
    <t>U/ MENGGANTI YG RUSAK BAGIAN PERSIAPAN LUCKYTEX, QA (2), RND, PROCCESSING DF (2), GUDANG GREY,GUDANG BENANG, MTC WEAVING DAN PPC GREY (HS CODE : 8471.60.30). ALI</t>
  </si>
  <si>
    <t>HTB 1100S</t>
  </si>
  <si>
    <t>SET</t>
  </si>
  <si>
    <t>U/ AREA IPAL (HS CODE : 8454.10.00). TIO</t>
  </si>
  <si>
    <t>U/ AREA IPAL (HS CODE : 8517.79.10). TIO</t>
  </si>
  <si>
    <t>PATCH CORD SC TO SC</t>
  </si>
  <si>
    <t>U/ AREA IPAL (HS CODE : 8544.49.49). TIO</t>
  </si>
  <si>
    <t>CONVERTER VGA TO HDMI</t>
  </si>
  <si>
    <t>KABEL POWER PRINTER</t>
  </si>
  <si>
    <t>U/ BAGIAN MACHCRIMPER (HS CODE : 8544.20.31). TIO</t>
  </si>
  <si>
    <t>URGENT : U/ MENGGANTI YANG RUSAK BAGIAN BEA CUKAI. (HS CODE : 8443.31.11). PUTRI</t>
  </si>
  <si>
    <t>RAM DDR4 8 GB</t>
  </si>
  <si>
    <t>MEMORY RAM SERVER ECC 8GB PC4-2133P, U/ BAGIAN IT (HS CODE : 8471.50.90). ERDI</t>
  </si>
  <si>
    <t>U/ BAGIAN GD BENANG (PENDATAAN STOCK BENANG DI GUDANG BARU) ( I5 GEN6) (HS CODE : 8479.89.50). SALIK</t>
  </si>
  <si>
    <t>(FP : KB PPN 0%) U/ MENGGANTI YG RUSAK DI AREA GEDUNG SUPPORTING LANTAI 2 (HS CODE : 8517.79.10). ERDI</t>
  </si>
  <si>
    <t>(FP : KB PPN 0%) U/ BAGIAN GD BENANG (PENDATAAN STOCK BENANG DI GUDANG BARU) (HS CODE : 8528.52.00). SALIK</t>
  </si>
  <si>
    <t>RAM DDR2</t>
  </si>
  <si>
    <t>Keterangan</t>
  </si>
  <si>
    <t>Hanya ada yg 2GB karena susah barangnya</t>
  </si>
  <si>
    <t>SYNOLOGY DS-220J</t>
  </si>
  <si>
    <t>SYNOLOGY DS-223J</t>
  </si>
  <si>
    <t>RAM DDR3 8GB</t>
  </si>
  <si>
    <t>U/ BAGIAN IT (HS CODE : 8471.50.90). ERDI</t>
  </si>
  <si>
    <t>U/ MENGGANTI YANG RUSAK BAGIAN TRAINING &amp; DEVELOPMENT (HS CODE : 8443.31.11). FIRMAN</t>
  </si>
  <si>
    <t>SCANNER PLUSTEK PS283</t>
  </si>
  <si>
    <t>U/ MENGGANTI YANG RUSAK BAGIAN TRAINING &amp; DEVELOPMENT (HS CODE : 8443.31.91). FIRMAN</t>
  </si>
  <si>
    <t>CPU BUILDUP I7</t>
  </si>
  <si>
    <t>L04</t>
  </si>
  <si>
    <t>U/ MENGGANTI YG RUSAK BAGIAN MARKETING (HS CODE : 8414.59.10). TIO</t>
  </si>
  <si>
    <t>COOLER MASTER</t>
  </si>
  <si>
    <t>MONITOR TV 32 INCH</t>
  </si>
  <si>
    <t>URGENT : U/ MENGGANTI YG RUSAK (MONITORING CCTV AREA BEA CUKAI) (HS CODE : 8528.52.00). TIO</t>
  </si>
  <si>
    <t>URGENT : U/ BAGIAN MARKETING (HS CODE : 8479.89.50). YUANITA</t>
  </si>
  <si>
    <t>U/ MENGGANTI YG RUSAK BAGIAN MTC PROC LJ1 DAN LAB (HS CODE : 8414.59.10). RICKY</t>
  </si>
  <si>
    <t>(FP : KB PPN 0%) U/ AREA IPAL (HS CODE : 8517.79.10). TIO</t>
  </si>
  <si>
    <t>(FP : KB PPN 0%) URGENT : U/ MENGGANTI YANG RUSAK BAGIAN BEA CUKAI. (HS CODE : 8443.31.11). PUTRI</t>
  </si>
  <si>
    <t>URGENT : U/ BAGIAN MARKETING (I7 GEN 6)(HS CODE : 8479.89.50). YUANITA</t>
  </si>
  <si>
    <t>U/ BAGIAN QA (HS CODE : 8517.79.10). MARYAM</t>
  </si>
  <si>
    <t>TRIPOD WEBCAM</t>
  </si>
  <si>
    <t>URGENT : U/ WEBCAM BPK ZENZEN (HS CODE : 9620.00.40). IDRUS</t>
  </si>
  <si>
    <t>U/ MENGGANTI YG RUSAK BAGIAN GA (2), GUDANG OBAT KECIL, MARKETING (2), FINAL, GUDANG BENANG, DF, GUDANG PACKING (2) (HS CODE : 8471.60.40). ALI</t>
  </si>
  <si>
    <t>MEMORY RAM SERVER ECC 8GB PC4-2666V, U/ BAGIAN IT (HS CODE : 8471.50.90). ERDI</t>
  </si>
  <si>
    <t>U/ MENGGANTI YG RUSAK BAGIAN MTC PROC LJ1 DAN LAB (i30) (HS CODE : 8414.59.10). RICKY</t>
  </si>
  <si>
    <t>ORDER YG 1 MTR, U/ AREA IPAL (HS CODE : 8544.49.49). TIO</t>
  </si>
  <si>
    <t>KABEL SCANNER BARCODE</t>
  </si>
  <si>
    <t>U/ MENGGANTI YG RUSAK BAGIAN FINAL LJ2 (HS CODE : 8544.20.31). ERDI</t>
  </si>
  <si>
    <t>U/ AREA MKA DAN GD. PACKING (HS CODE : 8517.79.10). ERDI</t>
  </si>
  <si>
    <t>PRINTER EPSON L18050</t>
  </si>
  <si>
    <t>U/ PENAMBAHAN KARYAWAN BARU DI BAGIAN BEA CUKAI (HS CODE : 8528.52.00). PUTRI</t>
  </si>
  <si>
    <t>U/ UPGRADE CPU BAGIAN BEA CUKAI (HS CODE : 8471.50.90). PUTRI</t>
  </si>
  <si>
    <t>U/ BAGIAN BEA CUKAI (HS CODE : 8471.60.40). BAGUS</t>
  </si>
  <si>
    <t>U/ MENGGANTI YANG RUSAK BAGIAN BEA CUKAI (HS CODE : 8471.50.90). ERDI</t>
  </si>
  <si>
    <t>JL. CIBALIGO KM 1.75, LEUWIGAJAH, CIMAHI</t>
  </si>
  <si>
    <t>BANDUNG</t>
  </si>
  <si>
    <t>JAWA BARAT</t>
  </si>
  <si>
    <t>022 6032710</t>
  </si>
  <si>
    <t>022 6044348</t>
  </si>
  <si>
    <t>KUSWANDI</t>
  </si>
  <si>
    <t>(FP : KB PPN 0%) U/ MENGGANTI YANG RUSAK BAGIAN TRAINING &amp; DEVELOPMENT (HS CODE : 8443.31.11). FIRMAN</t>
  </si>
  <si>
    <t>(FP : KB PPN 0%) U/ MENGGANTI YANG RUSAK BAGIAN TRAINING &amp; DEVELOPMENT (HS CODE : 8443.31.91). FIRMAN</t>
  </si>
  <si>
    <t>(FP : KB PPN 0%) U/ PENAMBAHAN KARYAWAN BARU DI BAGIAN BEA CUKAI (HS CODE : 8528.52.00). PUTRI</t>
  </si>
  <si>
    <t>U/ MENGGANTI YG RUSAK LJU(HS CODE : 8544.20.31). TIO</t>
  </si>
  <si>
    <t>CONECTOR RJ 45</t>
  </si>
  <si>
    <t>U/ BAGIAN IT (HS CODE : 8536.70.90). RICKY</t>
  </si>
  <si>
    <t>U/ BAGIAN PPC PROCESSING LJ1 DAN TRAINING &amp; DEV (HS CODE : 8517.79.10). TIO</t>
  </si>
  <si>
    <t>U/ PROYEK PERSONALIA, GA DAN RND. (HS CODE : 8517.14.00). TIO</t>
  </si>
  <si>
    <t>KARTU RFID</t>
  </si>
  <si>
    <t>U/ BAGIAN PERSONALIA (HS CODE : 8523.59.10). ERIK</t>
  </si>
  <si>
    <t>URGENT : U/ AREA GD BENANG, GD OBAT &amp; GD BEKAS. (HS CODE : 8517.14.00) ERDI</t>
  </si>
  <si>
    <t>URGENT : U/ BAGIAN IT. (HS CODE : 8536.70.90) ERDI</t>
  </si>
  <si>
    <t>NVR 16CH DAHUA 4216</t>
  </si>
  <si>
    <t>URGENT : U/ S. MGR. PRODUKSI, TEKNIK, ADMIN &amp; HRD (BPK ZENZEN). (HS CODE : 8521.90.99) ERDI</t>
  </si>
  <si>
    <t>HARDISK 8 TB WD PURPLE</t>
  </si>
  <si>
    <t>URGENT : U/ S. MGR. PRODUKSI, TEKNIK, ADMIN &amp; HRD (BPK ZENZEN). (HS CODE : 8471.50.90) ERDI</t>
  </si>
  <si>
    <t>U/ BAGIAN GA (HS CODE : 8523.29.71). RISWADI</t>
  </si>
  <si>
    <t>URGENT : PERMINTAAN BPK ZENZEN ADA PENAMBAHAN AREA PERGUDANGAN (HS CODE : 8525.81.10). IDRUS</t>
  </si>
  <si>
    <t>URGENT : PERMINTAAN BPK ZENZEN ADA PENAMBAHAN AREA PERGUDANGAN (HS CODE : 8517.79.10). IDRUS</t>
  </si>
  <si>
    <t>U/ ASST. MGR. TEKNIK (HS CODE : 8528.52.00). REYZA</t>
  </si>
  <si>
    <t>U/ ASST. MGR. TEKNIK (HS CODE : 8479.89.50). REYZA</t>
  </si>
  <si>
    <t>U/ ASST. MGR. TEKNIK (HS CODE : 8471.60.30). REYZA</t>
  </si>
  <si>
    <t>U/ ASST. MGR. TEKNIK (HS CODE : 8471.60.40). REYZA</t>
  </si>
  <si>
    <t>U/ MENGGANTI YANG RUSAK DI AREA LJ2 (HS CODE : 8471.90.30). ERIK</t>
  </si>
  <si>
    <t>U/ ASST. MGR. TEKNIK (HS CODE : 8443.31.11). REYZA</t>
  </si>
  <si>
    <t>BOX CUSTOM</t>
  </si>
  <si>
    <t>INVT-CMP</t>
  </si>
  <si>
    <t>BOX</t>
  </si>
  <si>
    <t>(FP : KB PPN 0%) URGENT : U/ S. MGR. PRODUKSI, TEKNIK, ADMIN &amp; HRD (BPK ZENZEN). (HS CODE : 8471.50.90) ERDI</t>
  </si>
  <si>
    <t>FLASHDISK 32GB</t>
  </si>
  <si>
    <t>U/ ASST. MGR. PRODUKSI (BPK DEDE R) (HS CODE : 8523.29.71). KARISA</t>
  </si>
  <si>
    <t>URGENT : U/ CCTV PERMINTAAN BPK ZENZEN (HS CODE: 8537.20.90). IDRUS</t>
  </si>
  <si>
    <t>KABEL EXTENTION CORE</t>
  </si>
  <si>
    <t>U/ BAGIAN IT (HS CODE : 8544.42.91). RICKY</t>
  </si>
  <si>
    <t>(FP : KB PPN 0%) U/ ASST. MGR. TEKNIK (HS CODE : 8528.52.00). REYZA</t>
  </si>
  <si>
    <t>(FP : KB PPN 0%) U/ ASST. MGR. TEKNIK (HS CODE : 8443.31.11). REYZA</t>
  </si>
  <si>
    <t>U/ ASST. MGR. TEKNIK (I5 GEN 6)(HS CODE : 8479.89.50). REYZA</t>
  </si>
  <si>
    <t>PATCH CORD LC TO LC</t>
  </si>
  <si>
    <t>ORDER UKURAN 2 METER, U/ BAGIAN IT (HS CODE : 8544.49.49). TIO</t>
  </si>
  <si>
    <t>U/ AREA JALUR SELOKAN ARAH MKA (HS CODE : 8525.81.10). RISWADI</t>
  </si>
  <si>
    <t>U/ AREA JALUR SELOKAN ARAH MKA &amp; IPAL SAMPING EX MASJID (HS CODE : 8517.79.10). RISWADI</t>
  </si>
  <si>
    <t>U/ MENGGANTI YANG RUSAK BAGIAN QA (3), MARKETING (2), PERSIAPAN, FINAL, GD PACKING, MTC PROCESSING, DAN FINANCE (HS CODE : 8471.60.40). ALI</t>
  </si>
  <si>
    <t>U/ BAGIAN QA (HS CODE : 8517.79.10). TIO</t>
  </si>
  <si>
    <t>U/ BAGIAN IT (HS CODE : 8517.79.10). ERDI</t>
  </si>
  <si>
    <t>U/ AREA PPC PROC LJ3 (HS CODE : 8517.79.10). TIO</t>
  </si>
  <si>
    <t>U/ MENGGANTI YG RUSAK BAGIAN GD PACKING (HS CODE : 8517.79.10). TIO</t>
  </si>
  <si>
    <t>DVR DAHUA 4 CH</t>
  </si>
  <si>
    <t>U/ MESIN STENTER 2, BAGIAN MTC PROCESSING LJ2 (HS CODE : 8517.79.10). HARRY</t>
  </si>
  <si>
    <t>KAMERA HDCVI DAHUA</t>
  </si>
  <si>
    <t>U/ MESIN STENTER 2, BAGIAN MTC PROCESSING LJ2 (HS CODE : 8525.81.10). HARRY</t>
  </si>
  <si>
    <t>KABEL HDMI</t>
  </si>
  <si>
    <t>UKURAN 15 METER, U/ RUANG 234 (HS CODE : 8544.20.31). TIO</t>
  </si>
  <si>
    <t>ADAPTOR CCTV</t>
  </si>
  <si>
    <t>U/ CCTV MESIN STENTER 2, BAGIAN MTC PROCESSING LJ2, PR 10801473 (HS CODE : 8525.81.10). HARRY</t>
  </si>
  <si>
    <t>(FP : KB PPN 0%) U/ BAGIAN IT (HS CODE : 8517.79.10). ERDI</t>
  </si>
  <si>
    <t>(FP : KB PPN 0%) U/ AREA PPC PROC LJ3 (HS CODE : 8517.79.10). TIO</t>
  </si>
  <si>
    <t>KABEL USB TO SERIAL</t>
  </si>
  <si>
    <t>U/ PROCESSING LJ1 : UNTUK KABEL USB LAPTOP MTC PROCESSING YANG RUSAK (HS CODE : 8544.20.31). AJID</t>
  </si>
  <si>
    <t>U/ AREA IPAL (HS CODE : 8525.81.10). RICKY</t>
  </si>
  <si>
    <t>U/ AREA IPAL (HS CODE : 8517.79.10). RICKY</t>
  </si>
  <si>
    <t>U/ BAGIAN MTC. MACHCRIMPER (HS CODE : 8528.52.00). WAHDYAT</t>
  </si>
  <si>
    <t>U/ BAGIAN MTC. MACHCRIMPER (HS CODE : 8479.89.50). WAHDYAT</t>
  </si>
  <si>
    <t>U/ BAGIAN MTC. MACHCRIMPER (HS CODE : 8471.60.30). WAHDYAT</t>
  </si>
  <si>
    <t>U/ BAGIAN MTC. MACHCRIMPER (HS CODE : 8471.60.40). WAHDYAT</t>
  </si>
  <si>
    <t>U/ BAGIAN MTC. MACHCRIMPER (HS CODE : 8544.20.31). WAHDYAT</t>
  </si>
  <si>
    <t>U/ AREA MTC WEAVING LJ1, DAN IPAL (2) (HS CODE : 8517.79.10). TIO</t>
  </si>
  <si>
    <t>U/ ASST. MANAGER TEKNIK YANG BARU (HS CODE : 8517.14.00). M IRFAN</t>
  </si>
  <si>
    <t>URGENT : U/ MENGGANTI YG RUSAK BAGIAN KEUANGAN (HS CODE : 8443.31.11). IMELDA</t>
  </si>
  <si>
    <t>U/ BAGIAN QA GREY LJ1 (HS CODE : 8517.79.10). SULIS</t>
  </si>
  <si>
    <t>WEBCAM PORTABLE</t>
  </si>
  <si>
    <t>U/ ZOOM MEETING BAGIAN LEGAL (HS CODE : 8525.81.10). RAVIE</t>
  </si>
  <si>
    <t>MICROPHONE CLIP ON + AUDIO SPLITTER</t>
  </si>
  <si>
    <t>U/ ZOOM MEETING BAGIAN LEGAL (HS CODE : 8518.10.19). RAVIE</t>
  </si>
  <si>
    <t>HEADSET</t>
  </si>
  <si>
    <t>U/ ZOOM MEETING BAGIAN LEGAL (HS CODE : 8518.30.10). RAVIE</t>
  </si>
  <si>
    <t>U/ MENGGANTI YANG RUSAK BAGIAN GD BENANG (2), QA (2), WEAVING, PP GREY, PROCCESSING DF, GUDANG GREY, MARKETING (2) (HS CODE : 8471.60.30). ALI</t>
  </si>
  <si>
    <t>U/ RUANG MEETING 234 (HS CODE : 8544.20.31). TIO</t>
  </si>
  <si>
    <t>KONEKTOR SAMBUNGAN HDMI TO HDMI</t>
  </si>
  <si>
    <t>U/ RUANG MEETING 234 (HS CODE : 8454.10.00). TIO</t>
  </si>
  <si>
    <t>U/ BAGIAN MTC. MACHCRIMPER (I5 GEN 6)(HS CODE : 8479.89.50). WAHDYAT</t>
  </si>
  <si>
    <t>(FP : KB PPN 0%) U/ AREA MTC WEAVING LJ1, DAN IPAL (2) (HS CODE : 8517.79.10). TIO</t>
  </si>
  <si>
    <t>(FP : KB PPN 0%) URGENT : U/ MENGGANTI YG RUSAK BAGIAN KEUANGAN (HS CODE : 8443.31.11). IMELDA</t>
  </si>
  <si>
    <t>U/ PROCESSING LJ1 : UNTUK KABEL USB LAPTOP MTC PROCESSING YANG RUSAK (PANJANG 1.5 MTR) (HS CODE : 8544.20.31). AJID</t>
  </si>
  <si>
    <t>URGENT : U/ CCTV, PERMINTAAN BPK ZENZEN (HS CODE: 8537.20.90). IDRUS</t>
  </si>
  <si>
    <t>U/ MENGGANTI YANG RUSAK BAGIAN FINAL LJ1 (HS CODE : 8528.52.00). MARGIANTO</t>
  </si>
  <si>
    <t>ADAPTOR 12V</t>
  </si>
  <si>
    <t>U/ PRINT SERVER BAGIAN MTC PROC LJ2 (HS CODE : 8517.79.10). ERDI</t>
  </si>
  <si>
    <t>U/ BAGIAN COST ACCOUNTING (HS CODE : 8471.50.90). VISQIA</t>
  </si>
  <si>
    <t>URGENT : U/ BAGIAN RND (HS CODE : 8304.00.99). TETEN</t>
  </si>
  <si>
    <t>URGENT : U/ BAGIAN RND (HS CODE : 8517.14.00). TETEN</t>
  </si>
  <si>
    <t>URGENT : U/ BAGIAN RND (HS CODE : 8536.70.90). TETEN</t>
  </si>
  <si>
    <t>URGENT : U/ BAGIAN RND (HS CODE : 8517.79.10). TETEN</t>
  </si>
  <si>
    <t>U/ BAGIAN PERSIAPAN LJ3 (HS CODE : 8517.79.10). ERDI</t>
  </si>
  <si>
    <t>URGENT : U/ MANAGER FAT &amp; IT (HS CODE : 8518.10.19). TIO</t>
  </si>
  <si>
    <t>U/ BAGIAN PERSIAPAN LJ1 (HS CODE : 8544.20.31). RICKY</t>
  </si>
  <si>
    <t>LI01</t>
  </si>
  <si>
    <t>U/ BAGIAN ACCOUNTING (HS CODE : 8517.14.00). ANISA</t>
  </si>
  <si>
    <t>U/ BAGIAN TRAINING &amp; DEVELOPMENT (HS CODE : 8479.89.50). HENDRA</t>
  </si>
  <si>
    <t>U/ BAGIAN TRAINING &amp; DEVELOPMENT (HS CODE : 8471.60.30). HENDRA</t>
  </si>
  <si>
    <t>U/ BAGIAN TRAINING &amp; DEVELOPMENT (HS CODE : 8471.60.40). HENDRA</t>
  </si>
  <si>
    <t>U/ BAGIAN TRAINING &amp; DEVELOPMENT (HS CODE : 8528.52.00). HENDRA</t>
  </si>
  <si>
    <t>U/ BAGIAN MTC LJ3 (HS CODE : 8517.79.10). TIO</t>
  </si>
  <si>
    <t>FAN VGA</t>
  </si>
  <si>
    <t>UKURAN DIAMETER 6 CM U/ BAGIAN IT (HS CODE : 8414.59.10). ERDI</t>
  </si>
  <si>
    <t>U/ BAGIAN TRAINING &amp; DEVELOPMENT (HS CODE : 8544.20.31). HENDRA</t>
  </si>
  <si>
    <t>U/ RUANG MARKETING SEMENTARA (HS CODE : 8517.79.10). REYZA</t>
  </si>
  <si>
    <t>U/ RUANG MARKETING SEMENTARA (HS CODE : 8517.14.00). REYZA</t>
  </si>
  <si>
    <t>U/ RUANG MARKETING SEMENTARA (HS CODE : 8536.70.90). REYZA</t>
  </si>
  <si>
    <t>U/ RUANG MARKETING SEMENTARA (HS CODE : 8518.40.20). REYZA</t>
  </si>
  <si>
    <t>KABEL SPIRAL TELEPHONE</t>
  </si>
  <si>
    <t>UKURAN 5 METER, U/ RUANG MEETING 234 (HS CODE : 8544.20.31). TIO</t>
  </si>
  <si>
    <t>(FP : KB PPN 0%) URGENT : U/ BAGIAN RND (HS CODE : 8517.79.10). TETEN</t>
  </si>
  <si>
    <t>THERMAL PASTE</t>
  </si>
  <si>
    <t>U/ BAGIAN IT. RICKY</t>
  </si>
  <si>
    <t>URGENT : U/ BAGIAN PERSONALIA (HS CODE : 8443.31.91). ERIK</t>
  </si>
  <si>
    <t>U/ RUANG MARKETING SEMENTARA (50), PAPERTUBE (1), MESS (1), MARKETING (1), FINAL LJ1 (1), DAN UTILITY (1) (HS CODE : 8544.42.91). REYZA &amp; ERDI</t>
  </si>
  <si>
    <t>U/ RUANG MARKETING SEMENTARA (50), KEUANGAN (1), MESS (1), MARKETING (1), FINAL LJ1 (1), DAN UTILITY (1) (HS CODE : 8522.90.92). REYZA &amp; ERDI</t>
  </si>
  <si>
    <t>URGENT : U/ MENGGANTI YANG RUSAK BAGIAN FINAL LJ1, GD PACKING, LAB, GA &amp; DF LJ1 (HS CODE : 8414.59.10). RICKY</t>
  </si>
  <si>
    <t>MONITOR TV 60 INCH</t>
  </si>
  <si>
    <t>U/ PJS FACTORY MANAGER (BPK ZENZEN) (HS CODE : 8528.52.00). DETA</t>
  </si>
  <si>
    <t>LAPTOP LENOVO I5 V15</t>
  </si>
  <si>
    <t>U/ PJS FACTORY MANAGER (BPK ZENZEN) (HS CODE : 8507.60.31). DETA</t>
  </si>
  <si>
    <t>BRACKET TV</t>
  </si>
  <si>
    <t>BRACKET YANG STANDING UKURAN 32 - 75 INCH, U/ PJS FACTORY MANAGER (BPK ZENZEN) (HS CODE : 8714.99.91). DETA</t>
  </si>
  <si>
    <t>UKURAN 5 METER, U/ PJS FACTORY MANAGER (BPK ZENZEN) (HS CODE : 8544.20.31). IDRUS</t>
  </si>
  <si>
    <t>(FP : KB PPN 0%) U/ RUANG MARKETING SEMENTARA (HS CODE : 8517.79.10). REYZA</t>
  </si>
  <si>
    <t>(FP : KB PPN 0%) U/ RUANG MARKETING SEMENTARA (HS CODE : 8517.14.00). REYZA</t>
  </si>
  <si>
    <t>(FP : KB PPN 0%) URGENT : U/ BAGIAN PERSONALIA (HS CODE : 8443.31.91). ERIK</t>
  </si>
  <si>
    <t>U/ BAGIAN TRAINING &amp; DEVELOPMENT (I5 GEN 6)(HS CODE : 8479.89.50). HENDRA</t>
  </si>
  <si>
    <t>U/ MENGGANTI YANG RUSAK BAGIAN PERSIAPAN LJ2 (HS CODE : 8414.59.10). RICKY</t>
  </si>
  <si>
    <t>U/ MENGGANTI YANG RUSAK BAGIAN QA (3) DAN KEUANGAN (3) (HS CODE : 8471.60.40). MARYAM &amp; FAJAR</t>
  </si>
  <si>
    <t>U/ MENGGANTI YANG RUSAK BAGIAN QA (3) DAN KEUANGAN (1) (HS CODE : 8471.60.30). MARYAM &amp; FAJAR</t>
  </si>
  <si>
    <t>U/ BAGIAN MTC PERSIAPAN LJ2 &amp; RND (HS CODE : 8528.52.00). ARINI &amp; ANDREAS</t>
  </si>
  <si>
    <t>U/ BAGIAN MTC PERSIAPAN LJ2 &amp; RND (HS CODE : 8471.60.30). ARINI &amp; ANDREAS</t>
  </si>
  <si>
    <t>U/ BAGIAN MTC PERSIAPAN LJ2 &amp; RND (HS CODE : 8471.60.40). ARINI &amp; ANDREAS</t>
  </si>
  <si>
    <t>U/ BAGIAN MTC PERSIAPAN LJ2 &amp; RND (HS CODE : 8479.89.50). ARINI &amp; ANDREAS</t>
  </si>
  <si>
    <t>U/ BAGIAN MTC PERSIAPAN LJ2 &amp; RND (HS CODE : 8544.20.31). ARINI &amp; ANDREAS</t>
  </si>
  <si>
    <t>U/ BAGIAN AUDIT (HS CODE : 8414.59.10). RICKY</t>
  </si>
  <si>
    <t>U/ BAGIAN MACHCRIMPER (HS CODE : 8517.79.10). TIO</t>
  </si>
  <si>
    <t>U/ BAGIAN MARKETING (HS CODE : 8518.40.20). ERDI</t>
  </si>
  <si>
    <t>U/ BAGIAN QA (HS CODE : 8544.20.31). ERDI</t>
  </si>
  <si>
    <t>U/ BAGIAN UTILITY : MENGGANTI YANG RUSAK DI AREA IPAL (HS CODE : 8521.90.99). ERLIN</t>
  </si>
  <si>
    <t>(FP : KB PPN 0%) U/ PJS FACTORY MANAGER (BPK ZENZEN) (HS CODE : 8528.52.00). DETA</t>
  </si>
  <si>
    <t>(FP : KB PPN 0%) BRACKET YANG STANDING UKURAN 32-75 INCH, U/ PJS FACTORY MANAGER (BPK ZENZEN) (HS CODE : 8714.99.91). DETA</t>
  </si>
  <si>
    <t>U/ PJS FACTORY MANAGER (BPK ZENZEN) (RAM 16 GB) (HS CODE : 8507.60.31). DETA</t>
  </si>
  <si>
    <t>U/ BAGIAN RND (I5 GEN 6) (HS CODE : 8479.89.50). ANDREAS</t>
  </si>
  <si>
    <t>U/ BAGIAN MTC PERSIAPAN LJ2 (I5 GEN6)(HS CODE : 8479.89.50). ARINI</t>
  </si>
  <si>
    <t>U/ BAGIAN RND (HS CODE : 8528.52.00). ANDREAS</t>
  </si>
  <si>
    <t>U/ BAGIAN RND (HS CODE : 8471.60.30). ANDREAS</t>
  </si>
  <si>
    <t>U/ BAGIAN RND (HS CODE : 8471.60.40). ANDREAS</t>
  </si>
  <si>
    <t>U/ BAGIAN RND (HS CODE : 8544.20.31). ANDREAS</t>
  </si>
  <si>
    <t>U/ BAGIAN MTC PERSIAPAN LJ2(HS CODE : 8528.52.00). ARINI</t>
  </si>
  <si>
    <t>U/ BAGIAN LAB (HS CODE : 8414.59.10). RICKY</t>
  </si>
  <si>
    <t>U/ BAGIAN IT (HS CODE : 8414.59.10). RICKY</t>
  </si>
  <si>
    <t>U/ BAGIAN KNITTING (HS CODE : 8517.79.10). TIO</t>
  </si>
  <si>
    <t>FINAL (2), QA (2), PERSIAPAN (1), ERP (2), LABORATORIUM (1), MARKETING (2), PPC GREY (1), GD GREY (1), DAN DF LJ1 (1) (HS CODE : 8471.60.40). ALI &amp; PURKONADI</t>
  </si>
  <si>
    <t>U/ BAGIAN DF LJ1 (HS CODE : 8528.52.00). PURKONADI</t>
  </si>
  <si>
    <t>U/ BAGIAN DF LJ1 (HS CODE : 8479.89.50). PURKONADI</t>
  </si>
  <si>
    <t>U/ BAGIAN DF LJ1 (HS CODE : 8471.60.30). PURKONADI</t>
  </si>
  <si>
    <t>U/ BAGIAN DF LJ1 (HS CODE : 8471.60.40). PURKONADI</t>
  </si>
  <si>
    <t>U/ BAGIAN DF LJ1 (HS CODE : 8544.20.31). PURKONADI</t>
  </si>
  <si>
    <t>U/ BAGIAN DF (2), QA (1), FINAL (2), LABORATORIUM (1), WEAVING (2), PPC GREY (1) DAN PPC PROCCESSING (1) (HS CODE : 8471.60.30). ALI</t>
  </si>
  <si>
    <t>U/ BAGIAN GD SPAREPART (HS CODE : 8414.59.10). RICKY</t>
  </si>
  <si>
    <t>U/ BAGIAN BEACUKAI (HS CODE : 8517.14.00). DESSY</t>
  </si>
  <si>
    <t>CONVERTER HDMI TO VGA</t>
  </si>
  <si>
    <t>U/ BAGIAN PPC GREY LJ2 (HS CODE : 8454.10.00). RICKY</t>
  </si>
  <si>
    <t>U/ BAGIAN DF LJ1 (I5 GEN 6) (HS CODE : 8479.89.50). PURKONADI</t>
  </si>
  <si>
    <t>(FP : KB PPN 0%) U/ BAGIAN KNITTING (HS CODE : 8517.79.10). TIO</t>
  </si>
  <si>
    <t>URGENT : U/ MENGGANTI YANG RUSAK BAGIAN INSPECTING GREY LJ1 DAN GD GREY (GUDANG BARU) (HS CODE : 8528.52.00). HENGKY &amp; AGUS</t>
  </si>
  <si>
    <t>BRACKET FAN AMD</t>
  </si>
  <si>
    <t>U/ AREA COMPRESSOR, FINAL LJ2 DAN DF LJ1 (HS CODE : 8471.50.90). RICKY</t>
  </si>
  <si>
    <t>U/ BAGIAN GD GREY (GUDANG BARU) . AGUS</t>
  </si>
  <si>
    <t>U/ BAGIAN GD GREY (GUDANG BARU)(HS CODE : 8471.60.30). AGUS</t>
  </si>
  <si>
    <t>PRINTER EPSON LQ-310</t>
  </si>
  <si>
    <t>U/ AREA GD GREY (GUDANG BARU) (HS CODE : 8517.79.10). AGUS</t>
  </si>
  <si>
    <t>U/ AREA GD GREY (GUDANG BARU) DAN OD&amp;TM (HS CODE : 8517.14.00). IDRUS</t>
  </si>
  <si>
    <t>MONITOR 100 INCH</t>
  </si>
  <si>
    <t>U/ KEBUTUHAN RUANG MEETING 234 (HS CODE : 8528.52.00). GODAM</t>
  </si>
  <si>
    <t>U/ BAGIAN QA GREY LJ2 (HS CODE : 8517.79.10). MARYAM</t>
  </si>
  <si>
    <t>ADAPTOR LAPTOP</t>
  </si>
  <si>
    <t>U/ LAPTOP HP ASST. MANAGER PRODUKSI (HS CODE : 8517.79.10). KARISA</t>
  </si>
  <si>
    <t>(FP : KB PPN 0%) U/ KEBUTUHAN RUANG MEETING 234 (Hisense 100" 100Q6N)(HS CODE : 8528.52.00). GODAM</t>
  </si>
  <si>
    <t>U/ KEBUTUHAN AUDIT EKSTERNAL (HS CODE : 8536.70.90). TIO</t>
  </si>
  <si>
    <t>POWER SUPPLY LENOVO</t>
  </si>
  <si>
    <t>U/ BAGIAN RND (HS CODE : 8414.59.10). RICKY</t>
  </si>
  <si>
    <t>(FP : KB PPN 0%) U/ BAGIAN GD GREY (GUDANG BARU)  (HS CODE : 8443.31.11). AGUS</t>
  </si>
  <si>
    <t>(FP : KB PPN 0%) U/ AREA GD GREY (GUDANG BARU) (HS CODE : 8517.79.10). AGUS</t>
  </si>
  <si>
    <t>(FP : KB PPN 0%) U/ AREA GD GREY (GUDANG BARU) DAN OD&amp;TM (HS CODE : 8517.14.00). IDRUS</t>
  </si>
  <si>
    <t>U/ AREA COMPRESSOR, FINAL LJU DAN DF LJ1 (HS CODE : 8471.50.90). RICKY</t>
  </si>
  <si>
    <t>U/ BAGIAN GD GREY (GUDANG BARU)(I5 GEN 6) (HS CODE : 8479.89.50). AGUS</t>
  </si>
  <si>
    <t>U/ LAPTOP HP ASST. MANAGER PRODUKSI (HP) (HS CODE : 8517.79.10). KARISA</t>
  </si>
  <si>
    <t>KABEL PRINTER</t>
  </si>
  <si>
    <t>U/ BAGIAN QA GREY &amp; KEUANGAN (HS CODE : 8544.20.31). ERDI</t>
  </si>
  <si>
    <t>U/ KARYAWAN BARU DI BAGIAN PPC PROC LJ1 (HS CODE : 8528.52.00). CANRA</t>
  </si>
  <si>
    <t>U/ KARYAWAN BARU DI BAGIAN PPC PROC LJ1 (HS CODE : 8479.89.50). CANRA</t>
  </si>
  <si>
    <t>U/ KARYAWAN BARU DI BAGIAN PPC PROC LJ1 (HS CODE : 8471.60.30). CANRA</t>
  </si>
  <si>
    <t>U/ KARYAWAN BARU DI BAGIAN PPC PROC LJ1 (HS CODE : 8471.60.40). CANRA</t>
  </si>
  <si>
    <t>U/ KARYAWAN BARU DI BAGIAN PPC PROC LJ1 (HS CODE : 8544.20.31). CANRA</t>
  </si>
  <si>
    <t>U/ MONITOR 100 INCH, ATAS PR 10802487 (HS CODE : 8714.99.91). GODAM</t>
  </si>
  <si>
    <t>U/ PENAMBAHAN KARYAWAN BARU DI DEPT MTC GREY (HS CODE : 8528.52.00). ZEZEN</t>
  </si>
  <si>
    <t>U/ PENAMBAHAN KARYAWAN BARU DI DEPT MTC GREY (HS CODE : 8479.89.50). ZEZEN</t>
  </si>
  <si>
    <t>U/ PENAMBAHAN KARYAWAN BARU DI DEPT MTC GREY (HS CODE : 8471.60.30). ZEZEN</t>
  </si>
  <si>
    <t>U/ PENAMBAHAN KARYAWAN BARU DI DEPT MTC GREY (HS CODE : 8471.60.40). ZEZEN</t>
  </si>
  <si>
    <t>U/ PENAMBAHAN KARYAWAN BARU DI DEPT MTC GREY (HS CODE : 8544.20.31). ZEZEN</t>
  </si>
  <si>
    <t>U/ BAGIAN OD &amp; TM (HS CODE : 8471.60.40). GINA</t>
  </si>
  <si>
    <t>U/ MENGGANTI YANG RUSAK DI BAGIAN BEA CUKAI (HS CODE : 8517.14.00). DESSY</t>
  </si>
  <si>
    <t>U/ MENGGANTI YANG RUSAK DI BAGIAN ERP (HS CODE : 8471.50.90). WELI</t>
  </si>
  <si>
    <t>U/ KARYAWAN BARU DI BAGIAN PPC PROC LJ1( I5 GEN6)(HS CODE : 8479.89.50). CANRA</t>
  </si>
  <si>
    <t>U/ RUANG MEETING FAT &amp; SHOWROOM 2 (HS CODE : 8714.99.91). GODAM</t>
  </si>
  <si>
    <t>U/ BAGIAN MTC PERSIAPAN LJ2 (HS CODE : 8517.79.10). ARINI</t>
  </si>
  <si>
    <t>MONITOR 75 INCH</t>
  </si>
  <si>
    <t>U/ SHOWROOM 2 (HS CODE : 8528.52.00). GODAM</t>
  </si>
  <si>
    <t>MONITOR 85 INCH</t>
  </si>
  <si>
    <t>U/ RUANG MEETING FAT (HS CODE : 8528.52.00). GODAM</t>
  </si>
  <si>
    <t>U/ BAGIAN MTC PERSIAPAN LJ3 (HS CODE : 8414.59.10). RICKY</t>
  </si>
  <si>
    <t>U/ MENGGANTI YG RUSAK BAGIAN INSPECTING GREY (HS CODE : 8528.52.00). IWAN</t>
  </si>
  <si>
    <t>U/ PENAMBAHAN KARYAWAN BARU DI DEPT MTC GREY (I5 GEN 6) (HS CODE : 8479.89.50). ZEZEN</t>
  </si>
  <si>
    <t>(FP : KB PPN 0%) U/ RUANG SHOWROOM 2 ( 75 INCH) (HS CODE : 8714.99.91). GODAM</t>
  </si>
  <si>
    <t>(FP : KB PPN 0%) U/ RUANG MEETING FAT (85 INCH) (HS CODE : 8714.99.91). GODAM</t>
  </si>
  <si>
    <t>(FP : KB PPN 0%) U/ SHOWROOM 2 (HISENSE 75S65N)(HS CODE : 8528.52.00). GODAM</t>
  </si>
  <si>
    <t>(FP : KB PPN 0%) U/ RUANG MEETING FAT (HISENSE LED 85Q6N) (HS CODE : 8528.52.00). GODAM</t>
  </si>
  <si>
    <t>U/ MENGGANTI YG RUSAK BAGIAN PPC GREY (). VISAL</t>
  </si>
  <si>
    <t>U/ UTILITY : AREA WTP LJ2, DAF &amp; IPAL (HS CODE : 8517.14.00). ERLIN</t>
  </si>
  <si>
    <t>UKURAN 5 METER, U/ BAGIAN UTILITY : MONITORING CCTV, RUANG MEETING FAT &amp; SHOWROOM 2 (HS CODE : 8544.20.31). ERLIN &amp; INSAN</t>
  </si>
  <si>
    <t>U/ BAGIAN UTILITY (HS CODE : 8517.14.00). ERLIN</t>
  </si>
  <si>
    <t>PATCH CORD ST TO LC MM AMP</t>
  </si>
  <si>
    <t>UKURAN 3 METER : U/ BAGIAN IT (HS CODE : 8544.49.49). ERDI</t>
  </si>
  <si>
    <t>MIKROBITS SFP TRANSCEIVER SFP-1G-ZR-SM</t>
  </si>
  <si>
    <t>U/ BAGIAN IT. ERDI</t>
  </si>
  <si>
    <t>U/ MENGGANTI YG RUSAK BAGIAN PPC GREY  (HS CODE : 8471.50.90). VISAL</t>
  </si>
  <si>
    <t>URGENT : UKURAN 5 METER, U/ BAGIAN UTILITY : MONITORING CCTV, RUANG MEETING FAT &amp; SHOWROOM 2 (HS CODE : 8544.20.31). ERLIN &amp; INSAN</t>
  </si>
  <si>
    <t>URGENT : U/ BAGIAN UTILITY (HS CODE : 8517.14.00). ERLIN</t>
  </si>
  <si>
    <t>LAPTOP</t>
  </si>
  <si>
    <t>SPESIFIKASI : CORE I5 &amp; FULL HD, U/ MENDUKUNG KONEKTIVITAS KE MONITOR 100" DI RUANG MEETING 234 (HS CODE : 8507.60.31). INSAN</t>
  </si>
  <si>
    <t>U/ BAGIAN IT (HS CODE : 8536.70.90). ERDI</t>
  </si>
  <si>
    <t>(FP : KB PPN 0%) URGENT : U/ UTILITY : AREA WTP LJ, DAF &amp; IPAL (HS CODE : 8517.14.00). ERLIN</t>
  </si>
  <si>
    <t>URGENT : U/ AREA BEA CUKAI (HS CODE : 8517.79.10). TIO</t>
  </si>
  <si>
    <t>USB LAN</t>
  </si>
  <si>
    <t>U/ BAGIAN IT (HS CODE : 8454.10.00). RICKY</t>
  </si>
  <si>
    <t>U/ BAGIAN GUDANG PACKING (2), COST ACCOUNTING (2), QA (1), PPC PROCCESING (1), UTILITY (2), MTC PERSIAPAN (1), FINAL (1), PPC GREY (1) DAN PROCCESSING DF (1) (HS CODE : 8471.60.40). ALI</t>
  </si>
  <si>
    <t>I CONNECTOR RJ 45</t>
  </si>
  <si>
    <t>URGENT : U/ BAGIAN LABORATORIUM (HS CODE : 8443.31.11). TONY</t>
  </si>
  <si>
    <t>ORDER UKURAN 10 METER, U/ RUANG MEETING 234 (HS CODE : 8544.20.31). INSAN</t>
  </si>
  <si>
    <t>U/ BAGIAN MTC PERSIAPAN LJ3, DF LJ1 &amp; GD PACKING (HS CODE : 8414.59.10). RICKY</t>
  </si>
  <si>
    <t>(FP : KB PPN 0%) URGENT : U/ BAGIAN LABORATORIUM (HS CODE : 8443.31.11). TONY</t>
  </si>
  <si>
    <t>U/ BAGIAN UTILITY : MENGGANTI YG RUSAK DI AREA COMPRESSOR LJ3. ERLIN</t>
  </si>
  <si>
    <t>U/ WAKABAG BARU DI BAGIAN GD PACKING (HS CODE : 8528.52.00). SUBHAN</t>
  </si>
  <si>
    <t>U/ WAKABAG BARU DI BAGIAN GD PACKING (HS CODE : 8471.60.30). SUBHAN</t>
  </si>
  <si>
    <t>U/ WAKABAG BARU DI BAGIAN GD PACKING (HS CODE : 8471.60.40). SUBHAN</t>
  </si>
  <si>
    <t>U/ WAKABAG BARU DI BAGIAN GD PACKING (HS CODE : 8544.20.31). SUBHAN</t>
  </si>
  <si>
    <t>ORDER UKURAN 10 METER, U/ RUANG MEETING 234 (Kabel HDMI-HDMI 4k 60Hz, HDMI 2.0) (HS CODE : 8544.20.31). INSAN</t>
  </si>
  <si>
    <t>U/ BAGIAN UTILITY : MENGGANTI YG RUSAK DI AREA COMPRESSOR LJ3 (I5 GEN 6) (HS CODE : 8479.89.50). ERLIN</t>
  </si>
  <si>
    <t>U/ BAGIAN UTILITY : MENGGANTI YG RUSAK DI AREA COMPRESSOR LJ3 (HS CODE : 8528.52.00). ERLIN</t>
  </si>
  <si>
    <t>PRINTER EPSON TMU 220D</t>
  </si>
  <si>
    <t>U/ BAGIAN GD OBAT : MENGGANTI PRINTER YG TIDAK BISA CONNECT DENGAN TIMBANGAN (HS CODE : 8443.31.11). RIZAL</t>
  </si>
  <si>
    <t>KABEL SERIAL RS-232</t>
  </si>
  <si>
    <t>9 PIN U/ BAGIAN GD OBAT : MENGGANTI PRINTER YG TIDAK BISA CONNECT DENGAN TIMBANGAN (HS CODE : 8544.20.31). RIZAL</t>
  </si>
  <si>
    <t>(FP : KB PPN 0%) U/ BAGIAN GD OBAT : MENGGANTI PRINTER YG TIDAK BISA CONNECT DENGAN TIMBANGAN (HS CODE : 8443.31.11). RIZAL</t>
  </si>
  <si>
    <t>U/ WAKABAG DF LJ2, MENGGANTI YG RUSAK (HS CODE : 8479.89.50). AGUS R</t>
  </si>
  <si>
    <t>U/ BAGIAN GD BENANG, GD PACKING, FINAL LJ2, RND, PAJAK, PERSIAPAN LJ2, KEUANGAN (2), WEAVING, DAN UTILITY  (HS CODE : 8518.40.20). ERDI</t>
  </si>
  <si>
    <t>U/ BAGIAN GD BENANG, GD PACKING, FINAL LJ2, RND, PAJAK, PERSIAPAN LJ2, KEUANGAN (2), WEAVING, DAN UTILITY (HS CODE : 8522.90.92). ERDI</t>
  </si>
  <si>
    <t>U/ BAGIAN GD BENANG, GD PACKING, FINAL LJ2, RND, PAJAK, PERSIAPAN LJ2, KEUANGAN (2), WEAVING, DAN UTILITY (HS CODE : 8544.42.91). ERDI</t>
  </si>
  <si>
    <t>U/ WAKABAG DF LJ2, MENGGANTI YG RUSAK (I5 GEN6)(HS CODE : 8479.89.50). AGUS R</t>
  </si>
  <si>
    <t>U/ BAGIAN GD BENANG, GD PACKING, FINAL LJU, RND, PAJAK, PERSIAPAN LJU, KEUANGAN (2), WEAVING, DAN UTILITY  (HS CODE : 8518.40.20). ERDI</t>
  </si>
  <si>
    <t>U/ MENGGANTI YANG RUSAK BAGIAN MTC. PERSIAPAN LJ1 (HS CODE : 8471.50.90). ZEZEN</t>
  </si>
  <si>
    <t>U/ SUPERVISOR BARU BAGIAN ODTM (HS CODE : 8528.52.00). HENDRA</t>
  </si>
  <si>
    <t>U/ SUPERVISOR BARU BAGIAN ODTM (HS CODE : 8479.89.50). HENDRA</t>
  </si>
  <si>
    <t>U/ SUPERVISOR BARU BAGIAN ODTM (HS CODE : 8471.60.30). HENDRA</t>
  </si>
  <si>
    <t>U/ SUPERVISOR BARU BAGIAN ODTM (HS CODE :  8471.60.40). HENDRA</t>
  </si>
  <si>
    <t>U/ SUPERVISOR BARU BAGIAN ODTM (HS CODE : 8544.20.31). HENDRA</t>
  </si>
  <si>
    <t>U/ BAGIAN PEMBELIAN (HS CODE : 8471.60.40). REIZA</t>
  </si>
  <si>
    <t>U/ SUPERVISOR BARU BAGIAN ODTM (I5 GEN6)(HS CODE : 8479.89.50). HENDRA</t>
  </si>
  <si>
    <t>U/ MENGGANTI YG RUSAK BAGIAN FINAL LJ1 (HS CODE : 8414.59.10). TIO</t>
  </si>
  <si>
    <t>ORDER YANG 80 KM, U/ AREA LJ3 (HS CODE : 8517.62.43). TIO</t>
  </si>
  <si>
    <t>U/ MENGGANTI YG RUSAK BAGIAN IT (HS CODE : 8471.50.90). BUDI</t>
  </si>
  <si>
    <t>U/ ZOOM MEETING ASST. MGR. HCM ( C270) (HS CODE : 8525.81.10). (RISWADI)</t>
  </si>
  <si>
    <t>AMOUNT_DPP</t>
  </si>
  <si>
    <t>U/ BAGIAN QA GREY LJ1 (HS CODE : 8517.79.10). MARYAM</t>
  </si>
  <si>
    <t>U/ BAGIAN MARKETING (3) &amp; FINAL INSPECTING LJ1 (2) (HS CODE : 8528.52.00). ELFHA &amp; MARGIANTO</t>
  </si>
  <si>
    <t>U/ BAGIAN MARKETING (3) &amp; FINAL INSPECTING LJ1 (1) (HS CODE : 8528.52.00). ELFHA &amp; MARGIANTO</t>
  </si>
  <si>
    <t>U/ BAGIAN FINAL INSPECTING LJ2 (HS CODE : 8443.31.11). JASSEN</t>
  </si>
  <si>
    <t>U/ MENGGANTI YG RUSAK BAGIAN DF LJ2 (HS CODE : 8528.52.00). AGUS</t>
  </si>
  <si>
    <t>U/ BAGIAN GUDANG PACKING (2), MTC PERSIAPAN, GD SPAREPART, LABORAT, GD OBAT KECIL, FINAL, PROCCESSING DF (2), UTILITY (HS CODE : 8471.60.30). ALI</t>
  </si>
  <si>
    <t>U/ UPGRADE RAM LEADER KEUANGAN (HS CODE : 8471.50.90). MARIA</t>
  </si>
  <si>
    <t>U/ ZOOM MEETING ASST. MGR. HCM ( C270) (HS CODE : 8525.81.10). RISWADI</t>
  </si>
  <si>
    <t>U/ BAGIAN MARKETING (3) &amp; FINAL INSPECTING LJ1 (1) (I5 GEN 6) (HS CODE : 8528.52.00). ELFHA &amp; MARGIANTO</t>
  </si>
  <si>
    <t>(FP : KB PPN 0%) U/ BAGIAN FINAL INSPECTING LJ2 (HS CODE : 8443.31.11). JASSEN</t>
  </si>
  <si>
    <t>U/ ZOOM MEETING ASST. MGR. HCM (HS CODE : 8525.81.10). RISWADI</t>
  </si>
  <si>
    <t>U/ BAGIAN QA GREY LJ1 &amp; INSPECTING GREY LJ1 (HS CODE : 8414.59.10). RICKY</t>
  </si>
  <si>
    <t>U/ BAGIAN QA GREY LJ1 (2) DAN INSPECTING GREY LJ1 (1) (HS CODE : 8414.59.10). RICKY</t>
  </si>
  <si>
    <t>U/ BAGIAN WEAVING LJ2 (HS CODE : 8517.79.10). SHENNY</t>
  </si>
  <si>
    <t>U/ BAGIAN BI : KEBUTUHAN PEKERJAAN DALAM MENGGAMBAR MENGGUNAKAN AUTOCAD (HS CODE : 8528.52.00). INSAN</t>
  </si>
  <si>
    <t>TYPE NVDIA GTX 1660 (VRAM 4GB), U/ BAGIAN BI : KEBUTUHAN PEKERJAAN DALAM MENGGAMBAR MENGGUNAKAN AUTOCAD (HS CODE : 8528.52.00). INSAN</t>
  </si>
  <si>
    <t>GEN 6 KEATAS, U/ BAGIAN BI : KEBUTUHAN PEKERJAAN DALAM MENGGAMBAR MENGGUNAKAN AUTOCAD (HS CODE : 8528.52.00). INSAN</t>
  </si>
  <si>
    <t>U/ MENGGANTI YANG RUSAK BAGIAN TAX ACC DAN PJS FACTORY MANAGER (HS CODE : 8471.50.90). RANI &amp; ERDI</t>
  </si>
  <si>
    <t>U/ ZOOM MEET DI RUANG ASST. MGR. ENGINEERING (HS CODE : 8525.81.10). M IRFAN</t>
  </si>
  <si>
    <t>U/ ZOOM MEET DI RUANG ASST. MGR. ENGINEERING (HS CODE : 8518.10.19). M IRFAN</t>
  </si>
  <si>
    <t>U/ MENGGANTI YANG RUSAK BAGIAN INSPECTING GREY LJ1 (HS CODE : 8528.52.00). HENGKY</t>
  </si>
  <si>
    <t>U/ BAGIAN BEA CUKAI (HS CODE : 8528.52.00). DESSY</t>
  </si>
  <si>
    <t>UKURAN 5 METER, U/ SHOWROOM 1 (HS CODE : 8544.20.31). GODAM</t>
  </si>
  <si>
    <t>U/ SHOWROOM 1 (HS CODE : 8714.99.91). GODAM</t>
  </si>
  <si>
    <t>U/ SHOWROOM 1 (HS CODE : 8528.52.00). GODAM</t>
  </si>
  <si>
    <t>UKURAN 5 METER, U/ BAGIAN BEA CUKAI (HS CODE : 8528.52.00). DESSY</t>
  </si>
  <si>
    <t>U/ MENGGANTI YG RUSAK BAGIAN PERSIAPAN LJ1 (HS CODE : 8414.59.10). RICKY</t>
  </si>
  <si>
    <t>URGENT : U/ WAKABAG YANG BARU BAGIAN DF LJ1 (HS CODE : 8471.60.40). PURKONANDI</t>
  </si>
  <si>
    <t>URGENT : U/ WAKABAG YANG BARU BAGIAN DF LJ1 (HS CODE : 8544.20.31). PURKONANDI</t>
  </si>
  <si>
    <t>URGENT : U/ AREA INPOWER UTILITY (HS CODE : 8517.79.10). RICKY</t>
  </si>
  <si>
    <t>URGENT : U/ WAKABAG YANG BARU BAGIAN DF LJ1 (HS CODE : 8471.60.30). PURKONANDI</t>
  </si>
  <si>
    <t>URGENT : U/ WAKABAG YANG BARU BAGIAN DF LJ1 (HS CODE : 8528.52.00). PURKONANDI</t>
  </si>
  <si>
    <t>URGENT : U/ WAKABAG YANG BARU BAGIAN DF LJ1 (HS CODE : 8479.89.50). PURKONANDI</t>
  </si>
  <si>
    <t>ANTENA TV DIGITAL</t>
  </si>
  <si>
    <t>URGENT : U/ PJS FACTORY MANAGER. IDRUS</t>
  </si>
  <si>
    <t>SPESIFIKASI : CORE I5 &amp; FULL HD, U/ MENDUKUNG KONEKTIVITAS KE MONITOR 100" DI RUANG MEETING 234 ( LENOVO V14 G2 I5-1135G7 + VGA NVIDIA GEFORCE MX350 2GB) (HS CODE : 8507.60.31). INSAN</t>
  </si>
  <si>
    <t>(FP : KB PPN 0%) U/ SHOWROOM 1 (HS CODE : 8528.52.00). GODAM</t>
  </si>
  <si>
    <t>(FP : KB PPN 0%) U/ SHOWROOM 1 (BRACKET TV 75 INCH) (HS CODE : 8714.99.91). GODAM</t>
  </si>
  <si>
    <t>GEN 6 KEATAS, U/ BAGIAN BI : KEBUTUHAN PEKERJAAN DALAM MENGGAMBAR MENGGUNAKAN AUTOCAD ( LENOVO M910 I7 GEN8 RAM 16GB, 512GB + VGA GTX1650 4 GB) (HS CODE : 8528.52.00). INSAN</t>
  </si>
  <si>
    <t>U/ BAGIAN MARKETING DAN BEA CUKAI (HS CODE : 8414.59.10). ERDI</t>
  </si>
  <si>
    <t>U/ SURAPATI (HS CODE : 8479.89.50). IDRUS</t>
  </si>
  <si>
    <t>U/ MENGGANTI YG RUSAK BAGIAN ACCOUNTING DAN R&amp;D (HS CODE : 8479.89.50). LENNY &amp; SANDY</t>
  </si>
  <si>
    <t>U/ BAGIAN R&amp;D (HS CODE : 8528.52.00). SANDY</t>
  </si>
  <si>
    <t>U/ BAGIAN R&amp;D (HS CODE : 8471.60.30). SANDY</t>
  </si>
  <si>
    <t>U/ BAGIAN R&amp;D (HS CODE : 8471.60.40). SANDY</t>
  </si>
  <si>
    <t>U/ BAGIAN R&amp;D (HS CODE : 8544.20.31). SANDY</t>
  </si>
  <si>
    <t>(FP : KB PPN 0%) URGENT : U/ AREA INPOWER UTILITY (HS CODE : 8517.79.10). RICKY</t>
  </si>
  <si>
    <t>U/ LEUWITEX 1 (HS CODE : 8479.89.50). IDRUS</t>
  </si>
  <si>
    <t>U/ BAGIAN AUDIT (HS CODE : 8528.52.00). WANDI</t>
  </si>
  <si>
    <t>U/ BAGIAN AUDIT (HS CODE : 8479.89.50). WANDI</t>
  </si>
  <si>
    <t>U/ BAGIAN AUDIT (HS CODE : 8471.60.30). WANDI</t>
  </si>
  <si>
    <t>U/ BAGIAN AUDIT (HS CODE : 8471.60.40). WANDI</t>
  </si>
  <si>
    <t>U/ BAGIAN AUDIT (HS CODE : 8544.20.31). WANDI</t>
  </si>
  <si>
    <t>U/ BAGIAN QA (2), BI (1), FINAL (2), MARKETING (2), PPC PROCCESSING (1), GUDANG GREY (1), GUDANG BENANG (1) DAN RND PROCCESSING (2) (HS CODE : 8471.60.40). ALI</t>
  </si>
  <si>
    <t>U/ SECURITY POS DEPAN (HS CODE : 8517.79.10). RICKY</t>
  </si>
  <si>
    <t>U/ BAGIAN FINAL LJ1 (HS CODE : 8471.50.90). RICKY</t>
  </si>
  <si>
    <t>U/ MENGGANTI YG RUSAK BAGIAN ACCOUNTING DAN R&amp;D (I5 GEN6)(HS CODE : 8479.89.50). LENNY &amp; SANDY</t>
  </si>
  <si>
    <t>U/ BAGIAN GD UMUM (HS CODE : 8528.52.00). MIRZA</t>
  </si>
  <si>
    <t>UKURAN 3 METER, U/ MONITORING CCTV DI SECURITY (HS CODE : 8544.20.31). RISWADI</t>
  </si>
  <si>
    <t>U/ MENGGANTI YG RUSAK DI MESIN SCAN KANTIN LJ2 (HS CODE : 8517.79.10). RISWADI</t>
  </si>
  <si>
    <t>FLASHDISK 64GB</t>
  </si>
  <si>
    <t>ORDER YG TYPE C U/ BI : KEBUTUHAN PROYEK KONTRUKSI LEUWITEX (PAK ZENZEN) (HS CODE : 8523.29.71). REYZA</t>
  </si>
  <si>
    <t>PO_SPR2</t>
  </si>
  <si>
    <t>URGENT : U/ PENAMBAHAN KARYAWAN BARU BAGIAN OD&amp;TM (HS CODE : 8528.52.00). HENDRA</t>
  </si>
  <si>
    <t>URGENT : U/ PENAMBAHAN KARYAWAN BARU BAGIAN OD&amp;TM (HS CODE : 8479.89.50). HENDRA</t>
  </si>
  <si>
    <t>URGENT : U/ PENAMBAHAN KARYAWAN BARU BAGIAN OD&amp;TM (HS CODE : 8471.60.30). HENDRA</t>
  </si>
  <si>
    <t>URGENT : U/ PENAMBAHAN KARYAWAN BARU BAGIAN OD&amp;TM (HS CODE : 8471.60.40). HENDRA</t>
  </si>
  <si>
    <t>URGENT : U/ PENAMBAHAN KARYAWAN BARU BAGIAN OD&amp;TM (HS CODE : 8544.20.31). HENDRA</t>
  </si>
  <si>
    <t>U/ AREA GERBANG UTAMA (HS CODE : 8525.81.10). TIO</t>
  </si>
  <si>
    <t>U/ AREA GERBANG UTAMA (HS CODE : 8517.79.10). TIO</t>
  </si>
  <si>
    <t>URGENT : U/ AREA IPAL, FINAL LJ1, FINAL LJ2, MKA, DF LJ1, PERSIAPAN LJ1 (HS CODE : 8517.14.00). TIO</t>
  </si>
  <si>
    <t>U/ BAGIAN KEUANGAN (HS CODE : 8528.52.00). WINNE</t>
  </si>
  <si>
    <t>U/ BAGIAN KEUANGAN (HS CODE : 8479.89.50). WINNE</t>
  </si>
  <si>
    <t>U/ BAGIAN KEUANGAN (HS CODE : 8471.60.30). WINNE</t>
  </si>
  <si>
    <t>U/ BAGIAN KEUANGAN (HS CODE : 8471.60.40). WINNE</t>
  </si>
  <si>
    <t>U/ BAGIAN KEUANGAN (HS CODE : 8544.20.31). WINNE</t>
  </si>
  <si>
    <t>KABEL HARDDISK SATA</t>
  </si>
  <si>
    <t>U/ BAGIAN IT (HS CODE : 8544.20.31). RICKY</t>
  </si>
  <si>
    <t>U/ MEETING BAGIAN MARKETING (HS CODE : 8528.52.00). GODAM</t>
  </si>
  <si>
    <t>U/ MEETING BAGIAN MARKETING (HS CODE : 8714.99.91). GODAM</t>
  </si>
  <si>
    <t>UKURAN 10 MTR U/ MEETING BAGIAN MARKETING (HS CODE : 8544.20.31). GODAM</t>
  </si>
  <si>
    <t>U/ AREA MKA (HS CODE : 8525.81.10). TIO</t>
  </si>
  <si>
    <t>U/ AREA MKA (HS CODE : 8517.79.10). TIO</t>
  </si>
  <si>
    <t>U/ WAKABAG BARU BAGIAN WEAVING LJ2 (HS CODE : 8528.52.00). SHENNY</t>
  </si>
  <si>
    <t>U/ WAKABAG BARU BAGIAN WEAVING LJ2 (HS CODE : 8479.89.50). SHENNY</t>
  </si>
  <si>
    <t>U/ WAKABAG BARU BAGIAN WEAVING LJ2 (HS CODE : 8471.60.30). SHENNY</t>
  </si>
  <si>
    <t>U/ WAKABAG BARU BAGIAN WEAVING LJ2 (HS CODE : 8471.60.40). SHENNY</t>
  </si>
  <si>
    <t>U/ WAKABAG BARU BAGIAN WEAVING LJ2 (HS CODE : 8544.20.31). SHENNY</t>
  </si>
  <si>
    <t>U/ WAKABAG BARU BAGIAN WEAVING LJ2 (HS CODE : 8443.31.11). SHENNY</t>
  </si>
  <si>
    <t>(FP : KB PPN 0%) URGENT : U/ AREA IPAL, FINAL LJ1, FINAL LJU, MKA, DF LJ1, PERSIAPAN LJ1 (HS CODE : 8517.14.00). TIO</t>
  </si>
  <si>
    <t>URGENT : U/ PENAMBAHAN KARYAWAN BARU BAGIAN OD&amp;TM ( I5GEN6) (HS CODE : 8479.89.50). HENDRA</t>
  </si>
  <si>
    <t>U/ BAGIAN KEUANGAN (I5GEN6)(HS CODE : 8479.89.50). WINNE</t>
  </si>
  <si>
    <t>U/ BAGIAN BEACUKAI (HS CODE : 8517.79.10). RICKY</t>
  </si>
  <si>
    <t>U/ BAGIAN OD &amp; TM (HS CODE : 8517.79.10). TIO</t>
  </si>
  <si>
    <t>U/ BAGIAN DF LJ1 (HS CODE : 8517.79.10). PURKONANDI</t>
  </si>
  <si>
    <t>U/ BAGIAN GD BENANG (HS CODE : 8517.14.00). SALIK</t>
  </si>
  <si>
    <t>U/ BAGIAN QA (2), FINAL  (1), PPC GREY (1), MTC PERSIAPAN (1), RND (2), PERSIAPAN LUCKYTEX (1), PPC GREY (1),MARKETING (2) DAN LABORATORIUM (1) (HS CODE : 8471.60.40). ALI</t>
  </si>
  <si>
    <t>U/ MENGGANTI YANG RUSAK BAGIAN GA (HS CODE : 8471.50.90). RISWADI</t>
  </si>
  <si>
    <t>U/ RUANG MEETING SHOWROOM 2 (HS CODE : 8525.81.10). IDRUS</t>
  </si>
  <si>
    <t>U/ RUANG MEETING SHOWROOM 2 (HS CODE : 8518.10.19). RICKY</t>
  </si>
  <si>
    <t>U/ KADEPT BAGIAN OD&amp;TM (HS CODE : 8517.14.00). RENALDY</t>
  </si>
  <si>
    <t>U/ BAGIAN OD&amp;TM (HS CODE : 8517.14.00). RENALDY</t>
  </si>
  <si>
    <t>ANTI SPY MONITOR</t>
  </si>
  <si>
    <t>UKURAN 19 INCH, U/ SAMPLE DEPT FAT. BILLY</t>
  </si>
  <si>
    <t>U/ BAGIAN COST ACCOUNTING (HS CODE : 8414.59.10). RICKY</t>
  </si>
  <si>
    <t>U/ RUANG MARKETING YG BARU (HS CODE : 8544.20.31). GODAM</t>
  </si>
  <si>
    <t>KABEL USB</t>
  </si>
  <si>
    <t>(FP : KB PPN 0%) U/ MEETING BAGIAN MARKETING (HS CODE : 8528.52.00). GODAM</t>
  </si>
  <si>
    <t>(FP : KB PPN 0%) U/ MEETING BAGIAN MARKETING (85 INCH) (HS CODE : 8714.99.91). GODAM</t>
  </si>
  <si>
    <t>U/ WAKABAG BARU BAGIAN WEAVING LJ2 (I5 GEN6)(HS CODE : 8479.89.50). SHENNY</t>
  </si>
  <si>
    <t>(FP : KB PPN 0%) U/ WAKABAG BARU BAGIAN WEAVING LJ2 (HS CODE : 8443.31.11). SHENNY</t>
  </si>
  <si>
    <t>U/ BAGIAN PPC PROC LJ2 (HS CODE : 8528.52.00). EDI</t>
  </si>
  <si>
    <t>U/ BAGIAN PPC PROC LJ2 (HS CODE : 8479.89.50). EDI</t>
  </si>
  <si>
    <t>U/ BAGIAN PPC PROC LJ2 (HS CODE :  8471.60.40). EDI</t>
  </si>
  <si>
    <t>U/ BAGIAN PPC PROC LJ2 (HS CODE : 8471.60.30). EDI</t>
  </si>
  <si>
    <t>U/ BAGIAN PPC PROC LJ2 (HS CODE : 8544.20.31). EDI</t>
  </si>
  <si>
    <t>U/ BAGIAN PPC PROC LJ2 (HS CODE : 8471.60.40). EDI</t>
  </si>
  <si>
    <t>U/ BAGIAN PPC PROCESSING LJ1 (HS CODE : 8517.79.10). RICKY</t>
  </si>
  <si>
    <t>U/ BAGIAN QA (HS CODE : 8414.59.10). RICKY</t>
  </si>
  <si>
    <t>UKURAN 5 METER, U/ MONITORING CCTV DI SECURITY (HS CODE : 8544.20.31). RISWADI</t>
  </si>
  <si>
    <t>U/ R. ASST. MGR. ENGINEERING (HS CODE : 8528.52.00). M IRFAN</t>
  </si>
  <si>
    <t>U/ MENGGANTI YG RUSAK BAGIAN PPC GREY LJ2 (HS CODE : 8479.89.50). IWAN</t>
  </si>
  <si>
    <t>BATERAI SCANNER BAT-SCN01</t>
  </si>
  <si>
    <t>U/ BAGIAN GD GREY (HS CODE : 8507.60.31). AGUS</t>
  </si>
  <si>
    <t>U/ BAGIAN OD&amp;TM (HS CODE : 8528.52.00). M HARRY</t>
  </si>
  <si>
    <t>U/ BAGIAN OD&amp;TM (3) &amp; MENGGANTI YG RUSAK BAGIAN PERSIAPAN LJ1 (HS CODE : 8479.89.50). M HARRY &amp; DEDI</t>
  </si>
  <si>
    <t>U/ BAGIAN OD&amp;TM (HS CODE : 8471.60.40). M HARRY</t>
  </si>
  <si>
    <t>U/ BAGIAN OD&amp;TM (HS CODE : 8471.60.30). M HARRY</t>
  </si>
  <si>
    <t>U/ BAGIAN OD&amp;TM (HS CODE : 8544.20.31). M HARRY</t>
  </si>
  <si>
    <t>(FP : KB PPN 0%) U/ R. ASST. MGR. ENGINEERING (HS CODE : 8528.52.00). M IRFAN</t>
  </si>
  <si>
    <t>U/ RUANG MARKETING YG BARU ( 3 MTR) (HS CODE : 8544.20.31). GODAM</t>
  </si>
  <si>
    <t>U/ RUANG MARKETING YG BARU (3 MTR)(HS CODE : 8544.20.31). GODAM</t>
  </si>
  <si>
    <t>U/ BAGIAN UTILITY (UNTUK PANTAU AREA SUMUR LJ2) (HS CODE : 8517.14.00). M LEIGA</t>
  </si>
  <si>
    <t>U/ BAGIAN UTILITY (UNTUK PANTAU AREA SUMUR LJ2) (HS CODE : 8517.79.10). M LEIGA</t>
  </si>
  <si>
    <t>WIFI OUTDOOR</t>
  </si>
  <si>
    <t>U/ BAGIAN QA GREY LJ1 (HS CODE : 8443.31.11). INDRA</t>
  </si>
  <si>
    <t>U/ BAGIAN MACHCRIMPER LJ3 (HS CODE : 8479.89.50). WAHDYAT</t>
  </si>
  <si>
    <t>KABEL DISPLAY PORT TO HDMI</t>
  </si>
  <si>
    <t>UKURAN 5 METER, UNTUK BAGIAN MARKETING (HS CODE : 8544.20.31). FIRMAN</t>
  </si>
  <si>
    <t>U/ BAGIAN PEMBELIAN (HS CODE : 8517.79.10). DETA</t>
  </si>
  <si>
    <t>THERMAL PAD</t>
  </si>
  <si>
    <t>U/ BAGIAN MARKETING (2), UTILITY (2), PERSIAPAN LJ1 (1), MTC PERSIAPAN LJ1 (1), FINAL LJ1 (1), FINAL LJ2 (1), KEUANGAN (3), PAJAK (1), AUDIT (1), AUDIT (1), CA (2), MACHRIMPER (1), QA (1) DAN IT (1) (HS CODE : 8518.40.20). ERDI</t>
  </si>
  <si>
    <t>U/ BAGIAN MARKETING (2), UTILITY (2), PERSIAPAN LJ1 (1), MTC PERSIAPAN LJ1 (1), FINAL LJ1 (1), FINAL LJ2 (1), KEUANGAN (3), PAJAK (1), AUDIT (1), AUDIT (1), CA (2), MACHRIMPER (1), QA (1) DAN IT (1) (HS CODE : 8544.42.91). ERDI</t>
  </si>
  <si>
    <t>U/ BAGIAN FINAL LJ1 (1), PERSIAPAN (1), MARKETING (3), QA (1), GD PACKING (2), IT (2) (HS CODE : 8536.70.90). ERDI</t>
  </si>
  <si>
    <t>(FP : KB PPN 0%) U/ BAGIAN GD GREY (HS CODE : 8507.60.31). AGUS</t>
  </si>
  <si>
    <t>(FP : KB PPN 0%) U/ BAGIAN UTILITY (UNTUK PANTAU AREA SUMUR LJ2) (HS CODE : 8517.14.00). M LEIGA</t>
  </si>
  <si>
    <t>(FP : KB PPN 0%) U/ BAGIAN UTILITY (UNTUK PANTAU AREA SUMUR LJ2) (HS CODE : 8517.79.10). M LEIGA</t>
  </si>
  <si>
    <t>(FP : KB PPN 0%) U/ BAGIAN QA GREY LJ1 (HS CODE : 8443.31.11). INDRA</t>
  </si>
  <si>
    <t>U/ BAGIAN UTILITY (UNTUK PANTAU AREA SUMUR LJ2) ( UBIQUITI U7) (HS CODE : 8517.79.10). M LEIGA</t>
  </si>
  <si>
    <t>U/ BAGIAN IT (1.5 MTR). ERDI</t>
  </si>
  <si>
    <t>U/ MENGGANTI YG RUSAK BAGIAN QA GREY LJ1 (HS CODE : 8528.52.00). HENGKY</t>
  </si>
  <si>
    <t>U/ BAGIAN QA LJ2 (HS CODE : 8471.60.40). MARYAM</t>
  </si>
  <si>
    <t>ORDER YG LOGITECH U/ BAGIAN BEACUKAI (HS CODE : 8471.60.30). BAGUS</t>
  </si>
  <si>
    <t>U/ BAGIAN INCOMING GD SPAREPART (HS CODE : 8471.50.90). WAHYU</t>
  </si>
  <si>
    <t>URGENT : U/ ASST. MGR. ENGINEERING (HS CODE : 8454.10.00). RICKY</t>
  </si>
  <si>
    <t>UKURAN 5 METER, UNTUK BAGIAN MARKETING (VENTION)(HS CODE : 8544.20.31). FIRMAN</t>
  </si>
  <si>
    <t>U/ BAGIAN GD UMUM (HS CODE : 8443.31.11). HAFIZH</t>
  </si>
  <si>
    <t>U/ BAGIAN GD UMUM (HS CODE : 8517.79.10). HAFIZH</t>
  </si>
  <si>
    <t>U/ KABAG BARU BAGIAN GD OBAT (HS CODE : 8528.52.00). FAUZI</t>
  </si>
  <si>
    <t>U/ KABAG BARU BAGIAN GD OBAT (HS CODE : 8471.60.30). FAUZI</t>
  </si>
  <si>
    <t>U/ KABAG BARU BAGIAN GD OBAT (HS CODE : 8479.89.50). FAUZI</t>
  </si>
  <si>
    <t>U/ KABAG BARU BAGIAN GD OBAT (HS CODE : 8471.60.40). FAUZI</t>
  </si>
  <si>
    <t>U/ KABAG BARU BAGIAN GD OBAT (HS CODE : 8544.20.31). FAUZI</t>
  </si>
  <si>
    <t>U/ CCTV AREA GERBANG UTAMA &amp; SUMUR LJ2 (HS CODE : 8517.79.10). TIO &amp; RICKY</t>
  </si>
  <si>
    <t>U/ BAGIAN GD GREY LJ1 (HS CODE : 8414.59.10). RICKY</t>
  </si>
  <si>
    <t>U/ RUANG MEETING PROC LJ1 (HS CODE : 8528.52.00). PURKONANDI</t>
  </si>
  <si>
    <t>U/ RUANG MEETING PROC LJ1 (HS CODE : 8714.99.91). PURKONANDI</t>
  </si>
  <si>
    <t>UKURAN 10 MTR, U/ RUANG MEETING PROC LJ1 (HS CODE : 8544.20.31). PURKONANDI</t>
  </si>
  <si>
    <t>U/ BAGIAN GD PACKING (HS CODE : 8517.79.10). RICKY</t>
  </si>
  <si>
    <t>(FP : KB PPN 0%) ORDER YG LOGITECH K120 U/ BAGIAN BEACUKAI (HS CODE : 8471.60.30). BAGUS</t>
  </si>
  <si>
    <t>(FP : KB PPN 0%) U/ BAGIAN GD UMUM (HS CODE : 8443.31.11). HAFIZH</t>
  </si>
  <si>
    <t>DAHUA NVR608-32-4KS2</t>
  </si>
  <si>
    <t>U/ REKAMAN CCTV 6 BULAN TAHAP 1 (HS CODE : 8521.90.99). BILLY</t>
  </si>
  <si>
    <t>U/ REKAMAN CCTV 6 BULAN TAHAP 1 (HS CODE : 8471.50.90). BILLY</t>
  </si>
  <si>
    <t>U/ BAGIAN ACCOUNTING (HS CODE : 8471.50.90). ERDI</t>
  </si>
  <si>
    <t>U/ MENGGANTI YANG RUSAK DI AREA UNWINDING LJ1 (HS CODE : 8471.90.30). ERIK</t>
  </si>
  <si>
    <t>URGENT : U/ ASST. MGR. ENGINEERING (HS CODE : 8517.79.10). RICKY</t>
  </si>
  <si>
    <t>(FP: KB PPN 0%) U/ RUANG MEETING PROC LJ1 (75Q6N QLED )(HS CODE : 8528.52.00). PURKONANDI</t>
  </si>
  <si>
    <t>(FP: KB PPN 0%) U/ RUANG MEETING PROC LJ1 (HS CODE : 8714.99.91). PURKONANDI</t>
  </si>
  <si>
    <t>HARDISK 8 TB WD PRO PURPLE</t>
  </si>
  <si>
    <t>U/ PERSIAPAN (1), FINAL (1), PPC GREY (1), PPC PROCCESING (1), PERSONALIA (2), GUDANG PACKING (2), GUDANG OBAT KECIL (1), DAN QA (1) (HS CODE : 8471.60.30). ALI</t>
  </si>
  <si>
    <t>U/ AREA SUMUR PANTAU LJ2 (HS CODE : 8525.81.10). M LEIGA</t>
  </si>
  <si>
    <t>U/ AREA SUMUR PANTAU LJ2 (HS CODE : 8517.79.10). M LEIGA</t>
  </si>
  <si>
    <t>U/ AREA GD PACKING (HS CODE : 8517.79.10). ANDI</t>
  </si>
  <si>
    <t>U/ MENGGANTI YG RUSAK BAGIAN PEMBELIAN (HS CODE : 8471.50.90). DETA</t>
  </si>
  <si>
    <t>(FP : KB PPN 0%) U/ REKAMAN CCTV 6 BULAN TAHAP 1 (HS CODE : 8471.50.90). BILLY</t>
  </si>
  <si>
    <t>URGENT : U/ AREA SUMUR PANTAU LJ2 (HS CODE : 8525.81.10). M LEIGA</t>
  </si>
  <si>
    <t>URGENT : U/ AREA SUMUR PANTAU LJ2 (HS CODE : 8517.79.10). M LEIGA</t>
  </si>
  <si>
    <t>(FP : KB PPN 0%) U/ AREA GD PACKING (HS CODE : 8517.79.10). ANDI</t>
  </si>
  <si>
    <t>PRINTER CANON LBP6030</t>
  </si>
  <si>
    <t>U/ MENGGANTI YANG RUSAK BAGIAN FINAL LJ1 (HS CODE : 8443.31.11). MARGIANTO</t>
  </si>
  <si>
    <t>SOUN SPEAKER</t>
  </si>
  <si>
    <t>U/ BAGIAN FINAL LJ1 (HS CODE : 8518.21.10). MARGIANTO</t>
  </si>
  <si>
    <t>U/ ASST. MGR. PRODUKSI (BPK. NOFRIZAL) (HS CODE : 8443.31.11). KARISA</t>
  </si>
  <si>
    <t>EXPANSION CARD EXTENSION TELEPHONE ESLC 24P</t>
  </si>
  <si>
    <t>U/ MENGGANTI YANG RUSAK. BILLY</t>
  </si>
  <si>
    <t>U/ BAGIAN LABORAT (1), PPC PROCCESING (2), ODTM (1), GUDANG PACKING (1), GUDANG SPAREPART (1), QA (2), MTC PROCCESSING (1), PPC GREY (1), MARKETING (2) (HS CODE : 8471.60.40). ALI</t>
  </si>
  <si>
    <t>U/ BAGIAN LEGAL (HS CODE : 8544.20.31). RICKY</t>
  </si>
  <si>
    <t>(FP : KB PPN  0%) U/ MENGGANTI YANG RUSAK BAGIAN FINAL LJ1 (HS CODE : 8443.31.11). MARGIANTO</t>
  </si>
  <si>
    <t>U/ BAGIAN KEUANGAN (HS CODE : 8471.60.30). NAOMI</t>
  </si>
  <si>
    <t>U/ BAGIAN KEUANGAN (HS CODE : 8471.60.40). NAOMI</t>
  </si>
  <si>
    <t>U/ BAGIAN QA INCOMING (HS CODE : 8414.59.10). RICKY</t>
  </si>
  <si>
    <t>URGENT : U/ BUSINESS MANAGER (BPK ALI) (HS CODE : 8528.52.00). TIO</t>
  </si>
  <si>
    <t>U/ BAGIAN MARKETING (HS CODE : 8414.59.10). RICKY</t>
  </si>
  <si>
    <t>(FP : KB PPN 0%) URGENT : U/ BUSINESS MANAGER (BPK ALI) (LENOVO D32-40) (HS CODE : 8528.52.00). TIO</t>
  </si>
  <si>
    <t>U/ BAGIAN FINAL LJ2 (HS CODE : 8518.21.10). MARGIANTO</t>
  </si>
  <si>
    <t>U/ KARYAWAN BARU DI BAGIAN ODTM. FARIS</t>
  </si>
  <si>
    <t>URGENT : U/ PENGGANTI YG RUSAK BAGIAN LAB (HS CODE : 8479.89.50). RINI</t>
  </si>
  <si>
    <t>U/ WAKABAG BAGIAN MTC WEAVING LJ1 (HS CODE : 8479.89.50). YUDI</t>
  </si>
  <si>
    <t>U/ WAKABAG BAGIAN MTC WEAVING LJ1 (HS CODE : 8443.31.11). YUDI</t>
  </si>
  <si>
    <t>U/ WAKABAG BAGIAN MTC WEAVING LJ1 (HS CODE : 8471.50.90). YUDI</t>
  </si>
  <si>
    <t>U/ WAKABAG BAGIAN MTC WEAVING LJ1 (HS CODE : 8471.60.30). YUDI</t>
  </si>
  <si>
    <t>U/ WAKABAG BAGIAN MTC WEAVING LJ1 (HS CODE : 8471.60.40). YUDI</t>
  </si>
  <si>
    <t>U/ BAGIAN MARKETING (HS CODE : 8544.42.91). TIO</t>
  </si>
  <si>
    <t>U/ BAGIAN MARKETING (HS CODE : 8518.40.20). TIO</t>
  </si>
  <si>
    <t>U/ BAGIAN QA LJ2 (HS CODE : 8414.59.10). RICKY</t>
  </si>
  <si>
    <t>LAPTOP LENOVO</t>
  </si>
  <si>
    <t>ORDER SESUAI PENGAJUAN LENOVO V14 G4 i5, U/ KEBUTUHAN SAP BAGIAN IT (HS CODE : 8507.60.31). BILLY</t>
  </si>
  <si>
    <t>URGENT : RAM 16 GB U/ PENGGANTI YG RUSAK BAGIAN LAB (HS CODE : 8479.89.50). RINI</t>
  </si>
  <si>
    <t>PENGUAT SINYAL GSM</t>
  </si>
  <si>
    <t>U/ KANTOR PROCESSING LJ1 (HS CODE : 8517.79.10). DADANG</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</si>
</sst>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 #,##0_-;_-* &quot;-&quot;_-;_-@_-"/>
    <numFmt numFmtId="164" formatCode="m/d/yyyy;@"/>
  </numFmts>
  <fonts count="10" x14ac:knownFonts="1">
    <font>
      <sz val="11"/>
      <color theme="1"/>
      <name val="Calibri"/>
      <family val="2"/>
      <charset val="1"/>
      <scheme val="minor"/>
    </font>
    <font>
      <sz val="11"/>
      <color theme="1"/>
      <name val="Calibri"/>
      <family val="2"/>
      <scheme val="minor"/>
    </font>
    <font>
      <b/>
      <sz val="11"/>
      <color theme="1"/>
      <name val="Calibri"/>
      <family val="2"/>
      <scheme val="minor"/>
    </font>
    <font>
      <sz val="11"/>
      <color theme="1"/>
      <name val="Calibri"/>
      <family val="2"/>
      <scheme val="minor"/>
    </font>
    <font>
      <b/>
      <sz val="14"/>
      <color theme="1"/>
      <name val="Calibri"/>
      <family val="2"/>
      <scheme val="minor"/>
    </font>
    <font>
      <sz val="11"/>
      <color theme="1"/>
      <name val="Calibri"/>
      <family val="2"/>
      <charset val="1"/>
      <scheme val="minor"/>
    </font>
    <font>
      <sz val="11"/>
      <name val="Calibri"/>
      <family val="2"/>
      <scheme val="minor"/>
    </font>
    <font>
      <sz val="11"/>
      <name val="Calibri"/>
      <family val="2"/>
      <charset val="1"/>
      <scheme val="minor"/>
    </font>
    <font>
      <sz val="9"/>
      <color indexed="81"/>
      <name val="Tahoma"/>
      <family val="2"/>
    </font>
    <font>
      <b/>
      <sz val="9"/>
      <color indexed="81"/>
      <name val="Tahoma"/>
      <family val="2"/>
    </font>
  </fonts>
  <fills count="7">
    <fill>
      <patternFill patternType="none"/>
    </fill>
    <fill>
      <patternFill patternType="gray125"/>
    </fill>
    <fill>
      <patternFill patternType="solid">
        <fgColor theme="3" tint="0.59999389629810485"/>
        <bgColor indexed="64"/>
      </patternFill>
    </fill>
    <fill>
      <patternFill patternType="solid">
        <fgColor theme="9"/>
        <bgColor indexed="64"/>
      </patternFill>
    </fill>
    <fill>
      <patternFill patternType="solid">
        <fgColor rgb="FFFFFF00"/>
        <bgColor indexed="64"/>
      </patternFill>
    </fill>
    <fill>
      <patternFill patternType="solid">
        <fgColor theme="5"/>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1" fontId="5" fillId="0" borderId="0" applyFont="0" applyFill="0" applyBorder="0" applyAlignment="0" applyProtection="0"/>
  </cellStyleXfs>
  <cellXfs count="76">
    <xf numFmtId="0" fontId="0" fillId="0" borderId="0" xfId="0"/>
    <xf numFmtId="0" fontId="2" fillId="0" borderId="0" xfId="0" applyFont="1" applyAlignment="1">
      <alignment horizontal="center" vertical="center"/>
    </xf>
    <xf numFmtId="0" fontId="2" fillId="0" borderId="0" xfId="0" applyFont="1"/>
    <xf numFmtId="0" fontId="2" fillId="0" borderId="0" xfId="0" applyFont="1" applyAlignment="1">
      <alignment horizontal="center"/>
    </xf>
    <xf numFmtId="0" fontId="2" fillId="0" borderId="1" xfId="0" applyFont="1" applyBorder="1" applyAlignment="1">
      <alignment horizontal="center" vertical="center"/>
    </xf>
    <xf numFmtId="0" fontId="3" fillId="0" borderId="0" xfId="0" applyFont="1"/>
    <xf numFmtId="0" fontId="3" fillId="0" borderId="0" xfId="0" applyFont="1" applyAlignment="1">
      <alignment horizontal="center"/>
    </xf>
    <xf numFmtId="0" fontId="3" fillId="4" borderId="0" xfId="0" applyFont="1" applyFill="1" applyAlignment="1">
      <alignment horizontal="center" vertical="center"/>
    </xf>
    <xf numFmtId="0" fontId="3" fillId="2" borderId="0" xfId="0" applyFont="1" applyFill="1" applyAlignment="1">
      <alignment horizontal="center" vertical="center"/>
    </xf>
    <xf numFmtId="0" fontId="3" fillId="3" borderId="0" xfId="0" applyFont="1" applyFill="1" applyAlignment="1">
      <alignment horizontal="center" vertical="center"/>
    </xf>
    <xf numFmtId="14" fontId="0" fillId="0" borderId="0" xfId="0" applyNumberFormat="1"/>
    <xf numFmtId="0" fontId="0" fillId="0" borderId="0" xfId="0" applyAlignment="1">
      <alignment horizontal="center" vertical="center"/>
    </xf>
    <xf numFmtId="0" fontId="0" fillId="0" borderId="0" xfId="0" applyFill="1"/>
    <xf numFmtId="0" fontId="3" fillId="5" borderId="0" xfId="0" applyFont="1" applyFill="1" applyAlignment="1">
      <alignment horizontal="center" vertical="center"/>
    </xf>
    <xf numFmtId="0" fontId="0" fillId="0" borderId="0" xfId="0" applyAlignment="1">
      <alignment vertical="center"/>
    </xf>
    <xf numFmtId="14" fontId="0" fillId="0" borderId="0" xfId="0" applyNumberFormat="1" applyFill="1"/>
    <xf numFmtId="164" fontId="0" fillId="0" borderId="0" xfId="0" applyNumberFormat="1"/>
    <xf numFmtId="164" fontId="2" fillId="0" borderId="0" xfId="0" applyNumberFormat="1" applyFont="1" applyAlignment="1">
      <alignment horizontal="center" vertical="center"/>
    </xf>
    <xf numFmtId="164" fontId="2" fillId="0" borderId="0" xfId="0" applyNumberFormat="1" applyFont="1"/>
    <xf numFmtId="0" fontId="3" fillId="0" borderId="0" xfId="0" applyFont="1" applyAlignment="1">
      <alignment horizontal="right"/>
    </xf>
    <xf numFmtId="14" fontId="0" fillId="0" borderId="0" xfId="0" applyNumberFormat="1" applyAlignment="1">
      <alignment horizontal="center" vertical="center"/>
    </xf>
    <xf numFmtId="0" fontId="3" fillId="0" borderId="0" xfId="0" applyFont="1" applyFill="1"/>
    <xf numFmtId="0" fontId="0" fillId="0" borderId="0" xfId="0" applyFill="1" applyAlignment="1">
      <alignment vertical="center"/>
    </xf>
    <xf numFmtId="41" fontId="0" fillId="0" borderId="0" xfId="1" applyFont="1"/>
    <xf numFmtId="0" fontId="0" fillId="6" borderId="0" xfId="0" applyFill="1"/>
    <xf numFmtId="22" fontId="0" fillId="0" borderId="0" xfId="0" applyNumberFormat="1"/>
    <xf numFmtId="0" fontId="0" fillId="0" borderId="0" xfId="0" applyNumberFormat="1"/>
    <xf numFmtId="0" fontId="1" fillId="0" borderId="0" xfId="0" applyFont="1"/>
    <xf numFmtId="0" fontId="0" fillId="0" borderId="0" xfId="0"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3" fillId="0" borderId="1" xfId="0" applyFont="1" applyFill="1" applyBorder="1" applyAlignment="1">
      <alignment horizontal="center" vertical="center"/>
    </xf>
    <xf numFmtId="0" fontId="3" fillId="0" borderId="1" xfId="0" applyFont="1" applyFill="1" applyBorder="1" applyAlignment="1">
      <alignment vertical="center"/>
    </xf>
    <xf numFmtId="14" fontId="3" fillId="0" borderId="1" xfId="0" applyNumberFormat="1" applyFont="1" applyFill="1" applyBorder="1" applyAlignment="1">
      <alignment vertical="center"/>
    </xf>
    <xf numFmtId="14" fontId="3" fillId="0" borderId="1" xfId="0" applyNumberFormat="1" applyFont="1" applyFill="1" applyBorder="1" applyAlignment="1">
      <alignment horizontal="center" vertical="center"/>
    </xf>
    <xf numFmtId="0" fontId="6" fillId="3" borderId="1" xfId="0" applyFont="1" applyFill="1" applyBorder="1" applyAlignment="1">
      <alignment horizontal="center" vertical="center"/>
    </xf>
    <xf numFmtId="0" fontId="6" fillId="3" borderId="1" xfId="0" applyFont="1" applyFill="1" applyBorder="1" applyAlignment="1">
      <alignment vertical="center"/>
    </xf>
    <xf numFmtId="14" fontId="6" fillId="3" borderId="1" xfId="0" applyNumberFormat="1" applyFont="1" applyFill="1" applyBorder="1" applyAlignment="1">
      <alignment vertical="center"/>
    </xf>
    <xf numFmtId="14" fontId="6" fillId="3" borderId="1" xfId="0" applyNumberFormat="1" applyFont="1" applyFill="1" applyBorder="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vertical="center"/>
    </xf>
    <xf numFmtId="14" fontId="3" fillId="2" borderId="1" xfId="0" applyNumberFormat="1" applyFont="1" applyFill="1" applyBorder="1" applyAlignment="1">
      <alignment vertical="center"/>
    </xf>
    <xf numFmtId="14" fontId="3" fillId="2" borderId="1" xfId="0" applyNumberFormat="1" applyFont="1" applyFill="1" applyBorder="1" applyAlignment="1">
      <alignment horizontal="center" vertical="center"/>
    </xf>
    <xf numFmtId="0" fontId="0" fillId="0" borderId="1" xfId="0" applyBorder="1" applyAlignment="1">
      <alignment vertical="center"/>
    </xf>
    <xf numFmtId="0" fontId="2" fillId="0" borderId="0" xfId="0" applyFont="1" applyAlignment="1">
      <alignment wrapText="1"/>
    </xf>
    <xf numFmtId="0" fontId="0" fillId="0" borderId="0" xfId="0" applyAlignment="1">
      <alignment wrapText="1"/>
    </xf>
    <xf numFmtId="0" fontId="7" fillId="0" borderId="0" xfId="0" applyFont="1" applyFill="1" applyAlignment="1">
      <alignment vertical="center"/>
    </xf>
    <xf numFmtId="0" fontId="7" fillId="0" borderId="0" xfId="0" applyFont="1" applyFill="1"/>
    <xf numFmtId="0" fontId="7" fillId="0" borderId="1" xfId="0" applyFont="1" applyFill="1" applyBorder="1" applyAlignment="1">
      <alignment horizontal="center" vertical="center"/>
    </xf>
    <xf numFmtId="0" fontId="7" fillId="0" borderId="1" xfId="0" applyFont="1" applyFill="1" applyBorder="1" applyAlignment="1">
      <alignment vertical="center"/>
    </xf>
    <xf numFmtId="14" fontId="7" fillId="0" borderId="1" xfId="0" applyNumberFormat="1" applyFont="1" applyFill="1" applyBorder="1" applyAlignment="1">
      <alignment vertical="center"/>
    </xf>
    <xf numFmtId="14" fontId="7" fillId="0" borderId="1" xfId="0" applyNumberFormat="1" applyFont="1" applyFill="1" applyBorder="1" applyAlignment="1">
      <alignment horizontal="center" vertical="center"/>
    </xf>
    <xf numFmtId="0" fontId="6" fillId="0" borderId="1" xfId="0" applyFont="1" applyFill="1" applyBorder="1" applyAlignment="1">
      <alignment horizontal="center" vertical="center"/>
    </xf>
    <xf numFmtId="0" fontId="6" fillId="0" borderId="1" xfId="0" applyFont="1" applyFill="1" applyBorder="1" applyAlignment="1">
      <alignment vertical="center"/>
    </xf>
    <xf numFmtId="14" fontId="6" fillId="0" borderId="1" xfId="0" applyNumberFormat="1" applyFont="1" applyFill="1" applyBorder="1" applyAlignment="1">
      <alignment vertical="center"/>
    </xf>
    <xf numFmtId="14" fontId="6" fillId="0"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0" fontId="3" fillId="4" borderId="1" xfId="0" applyFont="1" applyFill="1" applyBorder="1" applyAlignment="1">
      <alignment vertical="center"/>
    </xf>
    <xf numFmtId="14" fontId="3" fillId="4" borderId="1" xfId="0" applyNumberFormat="1" applyFont="1" applyFill="1" applyBorder="1" applyAlignment="1">
      <alignment vertical="center"/>
    </xf>
    <xf numFmtId="14" fontId="3" fillId="4" borderId="1" xfId="0" applyNumberFormat="1" applyFont="1" applyFill="1" applyBorder="1" applyAlignment="1">
      <alignment horizontal="center" vertical="center"/>
    </xf>
    <xf numFmtId="1" fontId="0" fillId="0" borderId="0" xfId="0" applyNumberFormat="1"/>
    <xf numFmtId="0" fontId="0" fillId="0" borderId="0" xfId="0" applyNumberFormat="1" applyAlignment="1">
      <alignment horizontal="center" vertical="center"/>
    </xf>
    <xf numFmtId="1" fontId="0" fillId="0" borderId="0" xfId="0" applyNumberFormat="1" applyAlignment="1">
      <alignment horizontal="center" vertical="center"/>
    </xf>
    <xf numFmtId="0" fontId="0" fillId="0" borderId="0" xfId="0" applyAlignment="1">
      <alignment vertical="top"/>
    </xf>
    <xf numFmtId="0" fontId="2" fillId="0" borderId="1" xfId="0" applyFont="1" applyBorder="1" applyAlignment="1">
      <alignment horizontal="center" vertical="top"/>
    </xf>
    <xf numFmtId="164" fontId="2" fillId="0" borderId="1" xfId="0" applyNumberFormat="1" applyFont="1" applyBorder="1" applyAlignment="1">
      <alignment horizontal="center" vertical="top"/>
    </xf>
    <xf numFmtId="0" fontId="2" fillId="0" borderId="1" xfId="0" applyFont="1" applyBorder="1" applyAlignment="1">
      <alignment horizontal="center" vertical="top" wrapText="1"/>
    </xf>
    <xf numFmtId="0" fontId="0" fillId="0" borderId="0" xfId="0" applyFill="1" applyAlignment="1">
      <alignment vertical="top"/>
    </xf>
    <xf numFmtId="0" fontId="4" fillId="0" borderId="0" xfId="0" applyFont="1" applyAlignment="1">
      <alignment vertical="center"/>
    </xf>
    <xf numFmtId="0" fontId="3" fillId="0" borderId="1" xfId="0" applyFont="1" applyFill="1" applyBorder="1" applyAlignment="1">
      <alignment vertical="center" wrapText="1"/>
    </xf>
    <xf numFmtId="0" fontId="6" fillId="3" borderId="1" xfId="0" applyFont="1" applyFill="1" applyBorder="1" applyAlignment="1">
      <alignment vertical="center" wrapText="1"/>
    </xf>
    <xf numFmtId="0" fontId="7" fillId="0" borderId="1" xfId="0" applyFont="1" applyFill="1" applyBorder="1" applyAlignment="1">
      <alignment vertical="center" wrapText="1"/>
    </xf>
    <xf numFmtId="0" fontId="6" fillId="0" borderId="1" xfId="0" applyFont="1" applyFill="1" applyBorder="1" applyAlignment="1">
      <alignment vertical="center" wrapText="1"/>
    </xf>
    <xf numFmtId="0" fontId="3" fillId="2" borderId="1" xfId="0" applyFont="1" applyFill="1" applyBorder="1" applyAlignment="1">
      <alignment vertical="center" wrapText="1"/>
    </xf>
    <xf numFmtId="0" fontId="3" fillId="4" borderId="1" xfId="0" applyFont="1" applyFill="1" applyBorder="1" applyAlignment="1">
      <alignment vertical="center" wrapText="1"/>
    </xf>
    <xf numFmtId="0" fontId="4" fillId="0" borderId="0" xfId="0" applyFont="1" applyAlignment="1">
      <alignment horizontal="left" vertical="center"/>
    </xf>
  </cellXfs>
  <cellStyles count="2">
    <cellStyle name="Comma [0]" xfId="1"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O492"/>
  <sheetViews>
    <sheetView tabSelected="1" topLeftCell="D1" zoomScale="85" zoomScaleNormal="85" workbookViewId="0">
      <pane ySplit="3" topLeftCell="A447" activePane="bottomLeft" state="frozen"/>
      <selection activeCell="D1" sqref="D1"/>
      <selection pane="bottomLeft" activeCell="D465" sqref="D465"/>
    </sheetView>
  </sheetViews>
  <sheetFormatPr defaultRowHeight="15" x14ac:dyDescent="0.25"/>
  <cols>
    <col min="1" max="2" width="21.140625" bestFit="1" customWidth="1"/>
    <col min="3" max="3" width="20.140625" bestFit="1" customWidth="1"/>
    <col min="4" max="4" width="5.42578125" customWidth="1"/>
    <col min="5" max="5" width="6.140625" customWidth="1"/>
    <col min="6" max="6" width="16.5703125" customWidth="1"/>
    <col min="7" max="7" width="40" customWidth="1"/>
    <col min="8" max="8" width="11.5703125" bestFit="1" customWidth="1"/>
    <col min="9" max="9" width="11.7109375" bestFit="1" customWidth="1"/>
    <col min="10" max="10" width="6.28515625" customWidth="1"/>
    <col min="11" max="11" width="7.85546875" customWidth="1"/>
    <col min="12" max="12" width="13.85546875" style="16" customWidth="1"/>
    <col min="13" max="13" width="11" customWidth="1"/>
    <col min="14" max="14" width="13.7109375" style="16" customWidth="1"/>
    <col min="15" max="15" width="110.5703125" style="45" customWidth="1"/>
    <col min="16" max="16384" width="9.140625" style="12"/>
  </cols>
  <sheetData>
    <row r="1" spans="1:15" ht="18.75" x14ac:dyDescent="0.25">
      <c r="B1" s="68"/>
      <c r="C1" s="68"/>
      <c r="D1" s="75" t="s">
        <v>126</v>
      </c>
      <c r="E1" s="75"/>
      <c r="F1" s="75"/>
      <c r="G1" s="75"/>
      <c r="H1" s="75"/>
      <c r="I1" s="75"/>
      <c r="J1" s="75"/>
      <c r="K1" s="75"/>
      <c r="L1" s="75"/>
      <c r="M1" s="75"/>
      <c r="N1" s="75"/>
      <c r="O1" s="75"/>
    </row>
    <row r="2" spans="1:15" x14ac:dyDescent="0.25">
      <c r="D2" s="1"/>
      <c r="E2" s="1"/>
      <c r="F2" s="2"/>
      <c r="G2" s="2"/>
      <c r="H2" s="1"/>
      <c r="I2" s="3"/>
      <c r="J2" s="1"/>
      <c r="K2" s="2"/>
      <c r="L2" s="17"/>
      <c r="M2" s="1"/>
      <c r="N2" s="18"/>
      <c r="O2" s="44"/>
    </row>
    <row r="3" spans="1:15" s="67" customFormat="1" ht="30.75" customHeight="1" x14ac:dyDescent="0.25">
      <c r="A3" s="63"/>
      <c r="B3" s="63"/>
      <c r="C3" s="63"/>
      <c r="D3" s="64" t="s">
        <v>0</v>
      </c>
      <c r="E3" s="64" t="s">
        <v>44</v>
      </c>
      <c r="F3" s="64" t="s">
        <v>78</v>
      </c>
      <c r="G3" s="64" t="s">
        <v>2</v>
      </c>
      <c r="H3" s="64" t="s">
        <v>94</v>
      </c>
      <c r="I3" s="64" t="s">
        <v>95</v>
      </c>
      <c r="J3" s="64" t="s">
        <v>3</v>
      </c>
      <c r="K3" s="64" t="s">
        <v>49</v>
      </c>
      <c r="L3" s="65" t="s">
        <v>17</v>
      </c>
      <c r="M3" s="66" t="s">
        <v>30</v>
      </c>
      <c r="N3" s="65" t="s">
        <v>33</v>
      </c>
      <c r="O3" s="66" t="s">
        <v>34</v>
      </c>
    </row>
    <row r="4" spans="1:15" x14ac:dyDescent="0.25">
      <c r="A4" s="22" t="str">
        <f t="shared" ref="A4" si="0">F4&amp;H4&amp;E4</f>
        <v>5000016255108000021</v>
      </c>
      <c r="B4" s="22" t="str">
        <f t="shared" ref="B4" si="1">F4&amp;I4&amp;E4</f>
        <v>5000016255797001611</v>
      </c>
      <c r="C4" s="22" t="str">
        <f t="shared" ref="C4" si="2">F4&amp;I4</f>
        <v>500001625579700161</v>
      </c>
      <c r="D4" s="31">
        <v>1</v>
      </c>
      <c r="E4" s="31">
        <f>'PR 2025'!A2</f>
        <v>1</v>
      </c>
      <c r="F4" s="31">
        <f>'PR 2025'!B2</f>
        <v>5000016255</v>
      </c>
      <c r="G4" s="32" t="str">
        <f>'PR 2025'!C2</f>
        <v>SSD SATA 256GB</v>
      </c>
      <c r="H4" s="31">
        <f>'PR 2025'!D2</f>
        <v>10800002</v>
      </c>
      <c r="I4" s="31">
        <f>VLOOKUP(A4,'PO 2025'!$A$2:$Y$1440,21,FALSE)</f>
        <v>79700161</v>
      </c>
      <c r="J4" s="31">
        <f>'PR 2025'!E2</f>
        <v>2</v>
      </c>
      <c r="K4" s="33" t="str">
        <f>'PR 2025'!F2</f>
        <v>BH</v>
      </c>
      <c r="L4" s="34">
        <f>'PR 2025'!T2</f>
        <v>45659</v>
      </c>
      <c r="M4" s="31" t="str">
        <f>'PR 2025'!AG2</f>
        <v>R</v>
      </c>
      <c r="N4" s="34">
        <f>VLOOKUP(C4,'GRS 2025'!$A$2:$AH$1992,4,FALSE)</f>
        <v>45674</v>
      </c>
      <c r="O4" s="69" t="str">
        <f>'PR 2025'!AJ2</f>
        <v>U/ BAGIAN TRAINING &amp; DEVELOPMENT (HS CODE : 8471.50.90). ERDI</v>
      </c>
    </row>
    <row r="5" spans="1:15" x14ac:dyDescent="0.25">
      <c r="A5" s="22" t="str">
        <f t="shared" ref="A5:A7" si="3">F5&amp;H5&amp;E5</f>
        <v>5000011448108000022</v>
      </c>
      <c r="B5" s="22" t="str">
        <f t="shared" ref="B5:B7" si="4">F5&amp;I5&amp;E5</f>
        <v>5000011448797001662</v>
      </c>
      <c r="C5" s="22" t="str">
        <f t="shared" ref="C5:C7" si="5">F5&amp;I5</f>
        <v>500001144879700166</v>
      </c>
      <c r="D5" s="31">
        <v>2</v>
      </c>
      <c r="E5" s="31">
        <f>'PR 2025'!A3</f>
        <v>2</v>
      </c>
      <c r="F5" s="31">
        <f>'PR 2025'!B3</f>
        <v>5000011448</v>
      </c>
      <c r="G5" s="32" t="str">
        <f>'PR 2025'!C3</f>
        <v>CABLE USB FOR PRINTER</v>
      </c>
      <c r="H5" s="31">
        <f>'PR 2025'!D3</f>
        <v>10800002</v>
      </c>
      <c r="I5" s="31">
        <f>VLOOKUP(A5,'PO 2025'!$A$2:$Y$1440,21,FALSE)</f>
        <v>79700166</v>
      </c>
      <c r="J5" s="31">
        <f>'PR 2025'!E3</f>
        <v>2</v>
      </c>
      <c r="K5" s="33" t="str">
        <f>'PR 2025'!F3</f>
        <v>UNT</v>
      </c>
      <c r="L5" s="34">
        <f>'PR 2025'!T3</f>
        <v>45659</v>
      </c>
      <c r="M5" s="31" t="str">
        <f>'PR 2025'!AG3</f>
        <v>R</v>
      </c>
      <c r="N5" s="34">
        <f>VLOOKUP(C5,'GRS 2025'!$A$2:$AH$1992,4,FALSE)</f>
        <v>45667</v>
      </c>
      <c r="O5" s="69" t="str">
        <f>'PR 2025'!AJ3</f>
        <v>URGENT : ORDER YG 3 METER U/ S. MANAGER PRODUKSI, TEKNIK &amp; HRD DAN PEMBELIAN (HS CODE : 8544.20.31). IDRUS</v>
      </c>
    </row>
    <row r="6" spans="1:15" x14ac:dyDescent="0.25">
      <c r="A6" s="22" t="str">
        <f t="shared" si="3"/>
        <v>5000008929108000321</v>
      </c>
      <c r="B6" s="22" t="str">
        <f t="shared" si="4"/>
        <v>5000008929797001661</v>
      </c>
      <c r="C6" s="22" t="str">
        <f t="shared" si="5"/>
        <v>500000892979700166</v>
      </c>
      <c r="D6" s="31">
        <v>3</v>
      </c>
      <c r="E6" s="31">
        <f>'PR 2025'!A4</f>
        <v>1</v>
      </c>
      <c r="F6" s="31">
        <f>'PR 2025'!B4</f>
        <v>5000008929</v>
      </c>
      <c r="G6" s="32" t="str">
        <f>'PR 2025'!C4</f>
        <v>FAN PROCESSOR P4 LGA</v>
      </c>
      <c r="H6" s="31">
        <f>'PR 2025'!D4</f>
        <v>10800032</v>
      </c>
      <c r="I6" s="31">
        <f>VLOOKUP(A6,'PO 2025'!$A$2:$Y$1440,21,FALSE)</f>
        <v>79700166</v>
      </c>
      <c r="J6" s="31">
        <f>'PR 2025'!E4</f>
        <v>6</v>
      </c>
      <c r="K6" s="33" t="str">
        <f>'PR 2025'!F4</f>
        <v>BH</v>
      </c>
      <c r="L6" s="34">
        <f>'PR 2025'!T4</f>
        <v>45660</v>
      </c>
      <c r="M6" s="31" t="str">
        <f>'PR 2025'!AG4</f>
        <v>R</v>
      </c>
      <c r="N6" s="34">
        <f>VLOOKUP(C6,'GRS 2025'!$A$2:$AH$1992,4,FALSE)</f>
        <v>45667</v>
      </c>
      <c r="O6" s="69" t="str">
        <f>'PR 2025'!AJ4</f>
        <v>U/ BAGIAN IT (3), FINAL LJ2, GD PACKING, PPC PROCESSING LJ1 (HS CODE : 8414.59.10). ERDI</v>
      </c>
    </row>
    <row r="7" spans="1:15" x14ac:dyDescent="0.25">
      <c r="A7" s="22" t="str">
        <f t="shared" si="3"/>
        <v>5000011754108000322</v>
      </c>
      <c r="B7" s="22" t="str">
        <f t="shared" si="4"/>
        <v>5000011754797001632</v>
      </c>
      <c r="C7" s="22" t="str">
        <f t="shared" si="5"/>
        <v>500001175479700163</v>
      </c>
      <c r="D7" s="31">
        <v>4</v>
      </c>
      <c r="E7" s="31">
        <f>'PR 2025'!A5</f>
        <v>2</v>
      </c>
      <c r="F7" s="31">
        <f>'PR 2025'!B5</f>
        <v>5000011754</v>
      </c>
      <c r="G7" s="32" t="str">
        <f>'PR 2025'!C5</f>
        <v>MOUSE PAD</v>
      </c>
      <c r="H7" s="31">
        <f>'PR 2025'!D5</f>
        <v>10800032</v>
      </c>
      <c r="I7" s="31">
        <f>VLOOKUP(A7,'PO 2025'!$A$2:$Y$1440,21,FALSE)</f>
        <v>79700163</v>
      </c>
      <c r="J7" s="31">
        <f>'PR 2025'!E5</f>
        <v>1</v>
      </c>
      <c r="K7" s="33" t="str">
        <f>'PR 2025'!F5</f>
        <v>BH</v>
      </c>
      <c r="L7" s="34">
        <f>'PR 2025'!T5</f>
        <v>45660</v>
      </c>
      <c r="M7" s="31" t="str">
        <f>'PR 2025'!AG5</f>
        <v>R</v>
      </c>
      <c r="N7" s="34">
        <f>VLOOKUP(C7,'GRS 2025'!$A$2:$AH$1992,4,FALSE)</f>
        <v>45670</v>
      </c>
      <c r="O7" s="69" t="str">
        <f>'PR 2025'!AJ5</f>
        <v>U/ S. MANAGER PRODUKSI, TEKNIK &amp; HRD (HS CODE : 8471.60.40). DETA</v>
      </c>
    </row>
    <row r="8" spans="1:15" x14ac:dyDescent="0.25">
      <c r="A8" s="22" t="str">
        <f t="shared" ref="A8:A16" si="6">F8&amp;H8&amp;E8</f>
        <v>5000016308108000621</v>
      </c>
      <c r="B8" s="22" t="str">
        <f t="shared" ref="B8:B16" si="7">F8&amp;I8&amp;E8</f>
        <v>5000016308797003631</v>
      </c>
      <c r="C8" s="22" t="str">
        <f t="shared" ref="C8:C16" si="8">F8&amp;I8</f>
        <v>500001630879700363</v>
      </c>
      <c r="D8" s="31">
        <v>5</v>
      </c>
      <c r="E8" s="31">
        <f>'PR 2025'!A6</f>
        <v>1</v>
      </c>
      <c r="F8" s="31">
        <f>'PR 2025'!B6</f>
        <v>5000016308</v>
      </c>
      <c r="G8" s="32" t="str">
        <f>'PR 2025'!C6</f>
        <v>CPU BUILDUP</v>
      </c>
      <c r="H8" s="31">
        <f>'PR 2025'!D6</f>
        <v>10800062</v>
      </c>
      <c r="I8" s="31">
        <f>VLOOKUP(A8,'PO 2025'!$A$2:$Y$1440,21,FALSE)</f>
        <v>79700363</v>
      </c>
      <c r="J8" s="31">
        <f>'PR 2025'!E6</f>
        <v>4</v>
      </c>
      <c r="K8" s="33" t="str">
        <f>'PR 2025'!F6</f>
        <v>UNT</v>
      </c>
      <c r="L8" s="34">
        <f>'PR 2025'!T6</f>
        <v>45661</v>
      </c>
      <c r="M8" s="31" t="str">
        <f>'PR 2025'!AG6</f>
        <v>R</v>
      </c>
      <c r="N8" s="34">
        <f>VLOOKUP(C8,'GRS 2025'!$A$2:$AH$1992,4,FALSE)</f>
        <v>45674</v>
      </c>
      <c r="O8" s="69" t="str">
        <f>'PR 2025'!AJ6</f>
        <v>U/ PROGRAM APLIKASI BARU GD GREY LJ1 &amp; LJ2 (HS CODE : 8479.89.50). AGUS</v>
      </c>
    </row>
    <row r="9" spans="1:15" x14ac:dyDescent="0.25">
      <c r="A9" s="22" t="str">
        <f t="shared" si="6"/>
        <v>5000016255108000622</v>
      </c>
      <c r="B9" s="22" t="str">
        <f t="shared" si="7"/>
        <v>5000016255797003632</v>
      </c>
      <c r="C9" s="22" t="str">
        <f t="shared" si="8"/>
        <v>500001625579700363</v>
      </c>
      <c r="D9" s="31">
        <v>6</v>
      </c>
      <c r="E9" s="31">
        <f>'PR 2025'!A7</f>
        <v>2</v>
      </c>
      <c r="F9" s="31">
        <f>'PR 2025'!B7</f>
        <v>5000016255</v>
      </c>
      <c r="G9" s="32" t="str">
        <f>'PR 2025'!C7</f>
        <v>SSD SATA 256GB</v>
      </c>
      <c r="H9" s="31">
        <f>'PR 2025'!D7</f>
        <v>10800062</v>
      </c>
      <c r="I9" s="31">
        <f>VLOOKUP(A9,'PO 2025'!$A$2:$Y$1440,21,FALSE)</f>
        <v>79700363</v>
      </c>
      <c r="J9" s="31">
        <f>'PR 2025'!E7</f>
        <v>4</v>
      </c>
      <c r="K9" s="33" t="str">
        <f>'PR 2025'!F7</f>
        <v>BH</v>
      </c>
      <c r="L9" s="34">
        <f>'PR 2025'!T7</f>
        <v>45661</v>
      </c>
      <c r="M9" s="31" t="str">
        <f>'PR 2025'!AG7</f>
        <v>R</v>
      </c>
      <c r="N9" s="34">
        <f>VLOOKUP(C9,'GRS 2025'!$A$2:$AH$1992,4,FALSE)</f>
        <v>45674</v>
      </c>
      <c r="O9" s="69" t="str">
        <f>'PR 2025'!AJ7</f>
        <v>U/ PROGRAM APLIKASI BARU GD GREY LJ1 &amp; LJ2 (HS CODE : 8471.50.90). AGUS</v>
      </c>
    </row>
    <row r="10" spans="1:15" x14ac:dyDescent="0.25">
      <c r="A10" s="22" t="str">
        <f t="shared" si="6"/>
        <v>5000016728108000971</v>
      </c>
      <c r="B10" s="22" t="str">
        <f t="shared" si="7"/>
        <v>5000016728797008031</v>
      </c>
      <c r="C10" s="22" t="str">
        <f t="shared" si="8"/>
        <v>500001672879700803</v>
      </c>
      <c r="D10" s="31">
        <v>7</v>
      </c>
      <c r="E10" s="31">
        <f>'PR 2025'!A8</f>
        <v>1</v>
      </c>
      <c r="F10" s="31">
        <f>'PR 2025'!B8</f>
        <v>5000016728</v>
      </c>
      <c r="G10" s="32" t="str">
        <f>'PR 2025'!C8</f>
        <v>SWITCH D-LINK 8 PORT</v>
      </c>
      <c r="H10" s="31">
        <f>'PR 2025'!D8</f>
        <v>10800097</v>
      </c>
      <c r="I10" s="31">
        <f>VLOOKUP(A10,'PO 2025'!$A$2:$Y$1440,21,FALSE)</f>
        <v>79700803</v>
      </c>
      <c r="J10" s="31">
        <f>'PR 2025'!E8</f>
        <v>1</v>
      </c>
      <c r="K10" s="33" t="str">
        <f>'PR 2025'!F8</f>
        <v>UNT</v>
      </c>
      <c r="L10" s="34">
        <f>'PR 2025'!T8</f>
        <v>45664</v>
      </c>
      <c r="M10" s="31" t="str">
        <f>'PR 2025'!AG8</f>
        <v>R</v>
      </c>
      <c r="N10" s="34">
        <f>VLOOKUP(C10,'GRS 2025'!$A$2:$AH$1992,4,FALSE)</f>
        <v>45684</v>
      </c>
      <c r="O10" s="69" t="str">
        <f>'PR 2025'!AJ8</f>
        <v>U/ MTC PERSIAPAN LJ2 (HS CODE : 8517.79.10). TIO</v>
      </c>
    </row>
    <row r="11" spans="1:15" x14ac:dyDescent="0.25">
      <c r="A11" s="22" t="str">
        <f t="shared" si="6"/>
        <v>5000017356108001391</v>
      </c>
      <c r="B11" s="22" t="str">
        <f t="shared" si="7"/>
        <v>5000017356797007881</v>
      </c>
      <c r="C11" s="22" t="str">
        <f t="shared" si="8"/>
        <v>500001735679700788</v>
      </c>
      <c r="D11" s="31">
        <v>8</v>
      </c>
      <c r="E11" s="31">
        <f>'PR 2025'!A9</f>
        <v>1</v>
      </c>
      <c r="F11" s="31">
        <f>'PR 2025'!B9</f>
        <v>5000017356</v>
      </c>
      <c r="G11" s="32" t="str">
        <f>'PR 2025'!C9</f>
        <v>PROYEKTOR BENQ MX631ST</v>
      </c>
      <c r="H11" s="31">
        <f>'PR 2025'!D9</f>
        <v>10800139</v>
      </c>
      <c r="I11" s="31">
        <f>VLOOKUP(A11,'PO 2025'!$A$2:$Y$1440,21,FALSE)</f>
        <v>79700788</v>
      </c>
      <c r="J11" s="31">
        <f>'PR 2025'!E9</f>
        <v>1</v>
      </c>
      <c r="K11" s="33" t="str">
        <f>'PR 2025'!F9</f>
        <v>UNT</v>
      </c>
      <c r="L11" s="34">
        <f>'PR 2025'!T9</f>
        <v>45666</v>
      </c>
      <c r="M11" s="31" t="str">
        <f>'PR 2025'!AG9</f>
        <v>R</v>
      </c>
      <c r="N11" s="34">
        <f>VLOOKUP(C11,'GRS 2025'!$A$2:$AH$1992,4,FALSE)</f>
        <v>45687</v>
      </c>
      <c r="O11" s="69" t="str">
        <f>'PR 2025'!AJ9</f>
        <v>U/ RUANG MEETING BAGIAN DF LJ1 (HS CODE : 9007.92.00). ERISA</v>
      </c>
    </row>
    <row r="12" spans="1:15" x14ac:dyDescent="0.25">
      <c r="A12" s="22" t="str">
        <f t="shared" si="6"/>
        <v>5000008843108001392</v>
      </c>
      <c r="B12" s="22" t="str">
        <f t="shared" si="7"/>
        <v>5000008843797008022</v>
      </c>
      <c r="C12" s="22" t="str">
        <f t="shared" si="8"/>
        <v>500000884379700802</v>
      </c>
      <c r="D12" s="31">
        <v>9</v>
      </c>
      <c r="E12" s="31">
        <f>'PR 2025'!A10</f>
        <v>2</v>
      </c>
      <c r="F12" s="31">
        <f>'PR 2025'!B10</f>
        <v>5000008843</v>
      </c>
      <c r="G12" s="32" t="str">
        <f>'PR 2025'!C10</f>
        <v>MONITOR LCD 19 INCH</v>
      </c>
      <c r="H12" s="31">
        <f>'PR 2025'!D10</f>
        <v>10800139</v>
      </c>
      <c r="I12" s="31">
        <f>VLOOKUP(A12,'PO 2025'!$A$2:$Y$1440,21,FALSE)</f>
        <v>79700802</v>
      </c>
      <c r="J12" s="31">
        <f>'PR 2025'!E10</f>
        <v>1</v>
      </c>
      <c r="K12" s="33" t="str">
        <f>'PR 2025'!F10</f>
        <v>UNT</v>
      </c>
      <c r="L12" s="34">
        <f>'PR 2025'!T10</f>
        <v>45666</v>
      </c>
      <c r="M12" s="31" t="str">
        <f>'PR 2025'!AG10</f>
        <v>R</v>
      </c>
      <c r="N12" s="34">
        <f>VLOOKUP(C12,'GRS 2025'!$A$2:$AH$1992,4,FALSE)</f>
        <v>45685</v>
      </c>
      <c r="O12" s="69" t="str">
        <f>'PR 2025'!AJ10</f>
        <v>U/ RUANG MEETING BAGIAN DF LJ1 (HS CODE : 8528.52.00). ERISA</v>
      </c>
    </row>
    <row r="13" spans="1:15" x14ac:dyDescent="0.25">
      <c r="A13" s="22" t="str">
        <f t="shared" si="6"/>
        <v>5000016308108001393</v>
      </c>
      <c r="B13" s="22" t="str">
        <f t="shared" si="7"/>
        <v>5000016308797007883</v>
      </c>
      <c r="C13" s="22" t="str">
        <f t="shared" si="8"/>
        <v>500001630879700788</v>
      </c>
      <c r="D13" s="31">
        <v>10</v>
      </c>
      <c r="E13" s="31">
        <f>'PR 2025'!A11</f>
        <v>3</v>
      </c>
      <c r="F13" s="31">
        <f>'PR 2025'!B11</f>
        <v>5000016308</v>
      </c>
      <c r="G13" s="32" t="str">
        <f>'PR 2025'!C11</f>
        <v>CPU BUILDUP</v>
      </c>
      <c r="H13" s="31">
        <f>'PR 2025'!D11</f>
        <v>10800139</v>
      </c>
      <c r="I13" s="31">
        <f>VLOOKUP(A13,'PO 2025'!$A$2:$Y$1440,21,FALSE)</f>
        <v>79700788</v>
      </c>
      <c r="J13" s="31">
        <f>'PR 2025'!E11</f>
        <v>1</v>
      </c>
      <c r="K13" s="33" t="str">
        <f>'PR 2025'!F11</f>
        <v>UNT</v>
      </c>
      <c r="L13" s="34">
        <f>'PR 2025'!T11</f>
        <v>45666</v>
      </c>
      <c r="M13" s="31" t="str">
        <f>'PR 2025'!AG11</f>
        <v>R</v>
      </c>
      <c r="N13" s="34">
        <f>VLOOKUP(C13,'GRS 2025'!$A$2:$AH$1992,4,FALSE)</f>
        <v>45687</v>
      </c>
      <c r="O13" s="69" t="str">
        <f>'PR 2025'!AJ11</f>
        <v>U/ RUANG MEETING BAGIAN DF LJ1 (HS CODE : 8479.89.50). ERISA</v>
      </c>
    </row>
    <row r="14" spans="1:15" x14ac:dyDescent="0.25">
      <c r="A14" s="22" t="str">
        <f t="shared" si="6"/>
        <v>5000005059108001394</v>
      </c>
      <c r="B14" s="22" t="str">
        <f t="shared" si="7"/>
        <v>5000005059797006794</v>
      </c>
      <c r="C14" s="22" t="str">
        <f t="shared" si="8"/>
        <v>500000505979700679</v>
      </c>
      <c r="D14" s="31">
        <v>11</v>
      </c>
      <c r="E14" s="31">
        <f>'PR 2025'!A12</f>
        <v>4</v>
      </c>
      <c r="F14" s="31">
        <f>'PR 2025'!B12</f>
        <v>5000005059</v>
      </c>
      <c r="G14" s="32" t="str">
        <f>'PR 2025'!C12</f>
        <v>KEYBOARD USB</v>
      </c>
      <c r="H14" s="31">
        <f>'PR 2025'!D12</f>
        <v>10800139</v>
      </c>
      <c r="I14" s="31">
        <f>VLOOKUP(A14,'PO 2025'!$A$2:$Y$1440,21,FALSE)</f>
        <v>79700679</v>
      </c>
      <c r="J14" s="31">
        <f>'PR 2025'!E12</f>
        <v>1</v>
      </c>
      <c r="K14" s="33" t="str">
        <f>'PR 2025'!F12</f>
        <v>BH</v>
      </c>
      <c r="L14" s="34">
        <f>'PR 2025'!T12</f>
        <v>45666</v>
      </c>
      <c r="M14" s="31" t="str">
        <f>'PR 2025'!AG12</f>
        <v>R</v>
      </c>
      <c r="N14" s="34">
        <f>VLOOKUP(C14,'GRS 2025'!$A$2:$AH$1992,4,FALSE)</f>
        <v>45688</v>
      </c>
      <c r="O14" s="69" t="str">
        <f>'PR 2025'!AJ12</f>
        <v>U/ RUANG MEETING BAGIAN DF LJ1 (HS CODE : 8471.60.30). ERISA</v>
      </c>
    </row>
    <row r="15" spans="1:15" x14ac:dyDescent="0.25">
      <c r="A15" s="22" t="str">
        <f t="shared" si="6"/>
        <v>5000004248108001395</v>
      </c>
      <c r="B15" s="22" t="str">
        <f t="shared" si="7"/>
        <v>5000004248797006795</v>
      </c>
      <c r="C15" s="22" t="str">
        <f t="shared" si="8"/>
        <v>500000424879700679</v>
      </c>
      <c r="D15" s="31">
        <v>12</v>
      </c>
      <c r="E15" s="31">
        <f>'PR 2025'!A13</f>
        <v>5</v>
      </c>
      <c r="F15" s="31">
        <f>'PR 2025'!B13</f>
        <v>5000004248</v>
      </c>
      <c r="G15" s="32" t="str">
        <f>'PR 2025'!C13</f>
        <v>MOUSE USB</v>
      </c>
      <c r="H15" s="31">
        <f>'PR 2025'!D13</f>
        <v>10800139</v>
      </c>
      <c r="I15" s="31">
        <f>VLOOKUP(A15,'PO 2025'!$A$2:$Y$1440,21,FALSE)</f>
        <v>79700679</v>
      </c>
      <c r="J15" s="31">
        <f>'PR 2025'!E13</f>
        <v>1</v>
      </c>
      <c r="K15" s="33" t="str">
        <f>'PR 2025'!F13</f>
        <v>BH</v>
      </c>
      <c r="L15" s="34">
        <f>'PR 2025'!T13</f>
        <v>45666</v>
      </c>
      <c r="M15" s="31" t="str">
        <f>'PR 2025'!AG13</f>
        <v>R</v>
      </c>
      <c r="N15" s="34">
        <f>VLOOKUP(C15,'GRS 2025'!$A$2:$AH$1992,4,FALSE)</f>
        <v>45688</v>
      </c>
      <c r="O15" s="69" t="str">
        <f>'PR 2025'!AJ13</f>
        <v>U/ RUANG MEETING BAGIAN DF LJ1 (HS CODE : 8471.60.40). ERISA</v>
      </c>
    </row>
    <row r="16" spans="1:15" x14ac:dyDescent="0.25">
      <c r="A16" s="22" t="str">
        <f t="shared" si="6"/>
        <v>5000016428108001396</v>
      </c>
      <c r="B16" s="22" t="str">
        <f t="shared" si="7"/>
        <v>5000016428797008026</v>
      </c>
      <c r="C16" s="22" t="str">
        <f t="shared" si="8"/>
        <v>500001642879700802</v>
      </c>
      <c r="D16" s="31">
        <v>13</v>
      </c>
      <c r="E16" s="31">
        <f>'PR 2025'!A14</f>
        <v>6</v>
      </c>
      <c r="F16" s="31">
        <f>'PR 2025'!B14</f>
        <v>5000016428</v>
      </c>
      <c r="G16" s="32" t="str">
        <f>'PR 2025'!C14</f>
        <v>PRINTER EPSON L-121</v>
      </c>
      <c r="H16" s="31">
        <f>'PR 2025'!D14</f>
        <v>10800139</v>
      </c>
      <c r="I16" s="31">
        <f>VLOOKUP(A16,'PO 2025'!$A$2:$Y$1440,21,FALSE)</f>
        <v>79700802</v>
      </c>
      <c r="J16" s="31">
        <f>'PR 2025'!E14</f>
        <v>1</v>
      </c>
      <c r="K16" s="33" t="str">
        <f>'PR 2025'!F14</f>
        <v>UNT</v>
      </c>
      <c r="L16" s="34">
        <f>'PR 2025'!T14</f>
        <v>45666</v>
      </c>
      <c r="M16" s="31" t="str">
        <f>'PR 2025'!AG14</f>
        <v>R</v>
      </c>
      <c r="N16" s="34">
        <f>VLOOKUP(C16,'GRS 2025'!$A$2:$AH$1992,4,FALSE)</f>
        <v>45685</v>
      </c>
      <c r="O16" s="69" t="str">
        <f>'PR 2025'!AJ14</f>
        <v>U/ BAGIAN MTC GREY LJ3 (HS CODE :  8443.31.11). WAHDYAT</v>
      </c>
    </row>
    <row r="17" spans="1:15" x14ac:dyDescent="0.25">
      <c r="A17" s="22" t="str">
        <f t="shared" ref="A17" si="9">F17&amp;H17&amp;E17</f>
        <v>5000013640108001397</v>
      </c>
      <c r="B17" s="22" t="str">
        <f t="shared" ref="B17" si="10">F17&amp;I17&amp;E17</f>
        <v>5000013640797006797</v>
      </c>
      <c r="C17" s="22" t="str">
        <f t="shared" ref="C17" si="11">F17&amp;I17</f>
        <v>500001364079700679</v>
      </c>
      <c r="D17" s="31">
        <v>14</v>
      </c>
      <c r="E17" s="31">
        <f>'PR 2025'!A15</f>
        <v>7</v>
      </c>
      <c r="F17" s="31">
        <f>'PR 2025'!B15</f>
        <v>5000013640</v>
      </c>
      <c r="G17" s="32" t="str">
        <f>'PR 2025'!C15</f>
        <v>CONNECTOR TELEPHONE</v>
      </c>
      <c r="H17" s="31">
        <f>'PR 2025'!D15</f>
        <v>10800139</v>
      </c>
      <c r="I17" s="31">
        <f>VLOOKUP(A17,'PO 2025'!$A$2:$Y$1440,21,FALSE)</f>
        <v>79700679</v>
      </c>
      <c r="J17" s="31">
        <f>'PR 2025'!E15</f>
        <v>10</v>
      </c>
      <c r="K17" s="33" t="str">
        <f>'PR 2025'!F15</f>
        <v>BH</v>
      </c>
      <c r="L17" s="34">
        <f>'PR 2025'!T15</f>
        <v>45666</v>
      </c>
      <c r="M17" s="31" t="str">
        <f>'PR 2025'!AG15</f>
        <v>R</v>
      </c>
      <c r="N17" s="34">
        <f>VLOOKUP(C17,'GRS 2025'!$A$2:$AH$1992,4,FALSE)</f>
        <v>45688</v>
      </c>
      <c r="O17" s="69" t="str">
        <f>'PR 2025'!AJ15</f>
        <v>U/ BAGIAN IT, PPC (3), HRD (3), RND DAN MARKETING (2) (HS CODE : 8518.40.20). ERDI</v>
      </c>
    </row>
    <row r="18" spans="1:15" x14ac:dyDescent="0.25">
      <c r="A18" s="22" t="str">
        <f t="shared" ref="A18:A22" si="12">F18&amp;H18&amp;E18</f>
        <v>5000015861108002131</v>
      </c>
      <c r="B18" s="22" t="str">
        <f t="shared" ref="B18:B22" si="13">F18&amp;I18&amp;E18</f>
        <v>5000015861797007331</v>
      </c>
      <c r="C18" s="22" t="str">
        <f t="shared" ref="C18:C22" si="14">F18&amp;I18</f>
        <v>500001586179700733</v>
      </c>
      <c r="D18" s="31">
        <v>15</v>
      </c>
      <c r="E18" s="31">
        <f>'PR 2025'!A16</f>
        <v>1</v>
      </c>
      <c r="F18" s="31">
        <f>'PR 2025'!B16</f>
        <v>5000015861</v>
      </c>
      <c r="G18" s="32" t="str">
        <f>'PR 2025'!C16</f>
        <v>KAMERA WATERPROOF IP 4MP DAHUA POE</v>
      </c>
      <c r="H18" s="31">
        <f>'PR 2025'!D16</f>
        <v>10800213</v>
      </c>
      <c r="I18" s="31">
        <f>VLOOKUP(A18,'PO 2025'!$A$2:$Y$1440,21,FALSE)</f>
        <v>79700733</v>
      </c>
      <c r="J18" s="31">
        <f>'PR 2025'!E16</f>
        <v>4</v>
      </c>
      <c r="K18" s="33" t="str">
        <f>'PR 2025'!F16</f>
        <v>UNT</v>
      </c>
      <c r="L18" s="34">
        <f>'PR 2025'!T16</f>
        <v>45671</v>
      </c>
      <c r="M18" s="31" t="str">
        <f>'PR 2025'!AG16</f>
        <v>R</v>
      </c>
      <c r="N18" s="34">
        <f>VLOOKUP(C18,'GRS 2025'!$A$2:$AH$1992,4,FALSE)</f>
        <v>45684</v>
      </c>
      <c r="O18" s="69" t="str">
        <f>'PR 2025'!AJ16</f>
        <v>U/ AREA GUDANG BARU (BENANG &amp; PACKING) (HS CODE : 8525.81.10). DESSY</v>
      </c>
    </row>
    <row r="19" spans="1:15" x14ac:dyDescent="0.25">
      <c r="A19" s="22" t="str">
        <f t="shared" si="12"/>
        <v>5000015000108002132</v>
      </c>
      <c r="B19" s="22" t="str">
        <f t="shared" si="13"/>
        <v>5000015000797007332</v>
      </c>
      <c r="C19" s="22" t="str">
        <f t="shared" si="14"/>
        <v>500001500079700733</v>
      </c>
      <c r="D19" s="31">
        <v>16</v>
      </c>
      <c r="E19" s="31">
        <f>'PR 2025'!A17</f>
        <v>2</v>
      </c>
      <c r="F19" s="31">
        <f>'PR 2025'!B17</f>
        <v>5000015000</v>
      </c>
      <c r="G19" s="32" t="str">
        <f>'PR 2025'!C17</f>
        <v>POE INJECTOR</v>
      </c>
      <c r="H19" s="31">
        <f>'PR 2025'!D17</f>
        <v>10800213</v>
      </c>
      <c r="I19" s="31">
        <f>VLOOKUP(A19,'PO 2025'!$A$2:$Y$1440,21,FALSE)</f>
        <v>79700733</v>
      </c>
      <c r="J19" s="31">
        <f>'PR 2025'!E17</f>
        <v>4</v>
      </c>
      <c r="K19" s="33" t="str">
        <f>'PR 2025'!F17</f>
        <v>UNT</v>
      </c>
      <c r="L19" s="34">
        <f>'PR 2025'!T17</f>
        <v>45671</v>
      </c>
      <c r="M19" s="31" t="str">
        <f>'PR 2025'!AG17</f>
        <v>R</v>
      </c>
      <c r="N19" s="34">
        <f>VLOOKUP(C19,'GRS 2025'!$A$2:$AH$1992,4,FALSE)</f>
        <v>45684</v>
      </c>
      <c r="O19" s="69" t="str">
        <f>'PR 2025'!AJ17</f>
        <v>U/ AREA GUDANG BARU (BENANG &amp; PACKING) (HS CODE : 8517.79.10). DESSY</v>
      </c>
    </row>
    <row r="20" spans="1:15" x14ac:dyDescent="0.25">
      <c r="A20" s="22" t="str">
        <f t="shared" si="12"/>
        <v>5000014683108002133</v>
      </c>
      <c r="B20" s="22" t="e">
        <f t="shared" si="13"/>
        <v>#N/A</v>
      </c>
      <c r="C20" s="22" t="e">
        <f t="shared" si="14"/>
        <v>#N/A</v>
      </c>
      <c r="D20" s="35">
        <v>17</v>
      </c>
      <c r="E20" s="35">
        <f>'PR 2025'!A18</f>
        <v>3</v>
      </c>
      <c r="F20" s="35">
        <f>'PR 2025'!B18</f>
        <v>5000014683</v>
      </c>
      <c r="G20" s="36" t="str">
        <f>'PR 2025'!C18</f>
        <v>NVR 32 Ch DAHUA 4432</v>
      </c>
      <c r="H20" s="35">
        <f>'PR 2025'!D18</f>
        <v>10800213</v>
      </c>
      <c r="I20" s="35" t="e">
        <f>VLOOKUP(A20,'PO 2025'!$A$2:$Y$1440,21,FALSE)</f>
        <v>#N/A</v>
      </c>
      <c r="J20" s="35">
        <f>'PR 2025'!E18</f>
        <v>1</v>
      </c>
      <c r="K20" s="37" t="str">
        <f>'PR 2025'!F18</f>
        <v>UNT</v>
      </c>
      <c r="L20" s="38">
        <f>'PR 2025'!T18</f>
        <v>45671</v>
      </c>
      <c r="M20" s="35" t="str">
        <f>'PR 2025'!AG18</f>
        <v>F</v>
      </c>
      <c r="N20" s="38" t="e">
        <f>VLOOKUP(C20,'GRS 2025'!$A$2:$AH$1992,4,FALSE)</f>
        <v>#N/A</v>
      </c>
      <c r="O20" s="70" t="str">
        <f>'PR 2025'!AJ18</f>
        <v>U/ AREA GUDANG BARU (BENANG &amp; PACKING) (HS CODE : 8521.90.99). DESSY</v>
      </c>
    </row>
    <row r="21" spans="1:15" x14ac:dyDescent="0.25">
      <c r="A21" s="22" t="str">
        <f t="shared" si="12"/>
        <v>5000005059108002351</v>
      </c>
      <c r="B21" s="22" t="str">
        <f t="shared" si="13"/>
        <v>5000005059797006791</v>
      </c>
      <c r="C21" s="22" t="str">
        <f t="shared" si="14"/>
        <v>500000505979700679</v>
      </c>
      <c r="D21" s="31">
        <v>18</v>
      </c>
      <c r="E21" s="31">
        <f>'PR 2025'!A19</f>
        <v>1</v>
      </c>
      <c r="F21" s="31">
        <f>'PR 2025'!B19</f>
        <v>5000005059</v>
      </c>
      <c r="G21" s="32" t="str">
        <f>'PR 2025'!C19</f>
        <v>KEYBOARD USB</v>
      </c>
      <c r="H21" s="31">
        <f>'PR 2025'!D19</f>
        <v>10800235</v>
      </c>
      <c r="I21" s="31">
        <f>VLOOKUP(A21,'PO 2025'!$A$2:$Y$1440,21,FALSE)</f>
        <v>79700679</v>
      </c>
      <c r="J21" s="31">
        <f>'PR 2025'!E19</f>
        <v>10</v>
      </c>
      <c r="K21" s="33" t="str">
        <f>'PR 2025'!F19</f>
        <v>BH</v>
      </c>
      <c r="L21" s="34">
        <f>'PR 2025'!T19</f>
        <v>45672</v>
      </c>
      <c r="M21" s="31" t="str">
        <f>'PR 2025'!AG19</f>
        <v>R</v>
      </c>
      <c r="N21" s="34">
        <f>VLOOKUP(C21,'GRS 2025'!$A$2:$AH$1992,4,FALSE)</f>
        <v>45688</v>
      </c>
      <c r="O21" s="69" t="str">
        <f>'PR 2025'!AJ19</f>
        <v>U/ BAGIAN QA (2), WEAVING, FINAL, GA, PERSIAPAN LJ3, PPC GREY, MARKETING (2) DAN RND (HS CODE : 8471.60.30). ALI</v>
      </c>
    </row>
    <row r="22" spans="1:15" x14ac:dyDescent="0.25">
      <c r="A22" s="22" t="str">
        <f t="shared" si="12"/>
        <v>5000016541108002711</v>
      </c>
      <c r="B22" s="22" t="str">
        <f t="shared" si="13"/>
        <v>5000016541797006801</v>
      </c>
      <c r="C22" s="22" t="str">
        <f t="shared" si="14"/>
        <v>500001654179700680</v>
      </c>
      <c r="D22" s="31">
        <v>19</v>
      </c>
      <c r="E22" s="31">
        <f>'PR 2025'!A20</f>
        <v>1</v>
      </c>
      <c r="F22" s="31">
        <f>'PR 2025'!B20</f>
        <v>5000016541</v>
      </c>
      <c r="G22" s="32" t="str">
        <f>'PR 2025'!C20</f>
        <v>FLASH DISK 16 GB</v>
      </c>
      <c r="H22" s="31">
        <f>'PR 2025'!D20</f>
        <v>10800271</v>
      </c>
      <c r="I22" s="31">
        <f>VLOOKUP(A22,'PO 2025'!$A$2:$Y$1440,21,FALSE)</f>
        <v>79700680</v>
      </c>
      <c r="J22" s="31">
        <f>'PR 2025'!E20</f>
        <v>3</v>
      </c>
      <c r="K22" s="33" t="str">
        <f>'PR 2025'!F20</f>
        <v>BH</v>
      </c>
      <c r="L22" s="34">
        <f>'PR 2025'!T20</f>
        <v>45673</v>
      </c>
      <c r="M22" s="31" t="str">
        <f>'PR 2025'!AG20</f>
        <v>R</v>
      </c>
      <c r="N22" s="34">
        <f>VLOOKUP(C22,'GRS 2025'!$A$2:$AH$1992,4,FALSE)</f>
        <v>45684</v>
      </c>
      <c r="O22" s="69" t="str">
        <f>'PR 2025'!AJ20</f>
        <v>U/ BAGIAN BI : PROYEK BALI, ASURANSI (HS CODE : 8523.29.71). REYZA</v>
      </c>
    </row>
    <row r="23" spans="1:15" x14ac:dyDescent="0.25">
      <c r="A23" s="22" t="str">
        <f t="shared" ref="A23:A29" si="15">F23&amp;H23&amp;E23</f>
        <v>5000017216108003091</v>
      </c>
      <c r="B23" s="22" t="str">
        <f t="shared" ref="B23:B29" si="16">F23&amp;I23&amp;E23</f>
        <v>5000017216797008021</v>
      </c>
      <c r="C23" s="22" t="str">
        <f t="shared" ref="C23:C29" si="17">F23&amp;I23</f>
        <v>500001721679700802</v>
      </c>
      <c r="D23" s="31">
        <v>20</v>
      </c>
      <c r="E23" s="31">
        <f>'PR 2025'!A21</f>
        <v>1</v>
      </c>
      <c r="F23" s="31">
        <f>'PR 2025'!B21</f>
        <v>5000017216</v>
      </c>
      <c r="G23" s="32" t="str">
        <f>'PR 2025'!C21</f>
        <v>MONITOR LCD 22 INCH</v>
      </c>
      <c r="H23" s="31">
        <f>'PR 2025'!D21</f>
        <v>10800309</v>
      </c>
      <c r="I23" s="31">
        <f>VLOOKUP(A23,'PO 2025'!$A$2:$Y$1440,21,FALSE)</f>
        <v>79700802</v>
      </c>
      <c r="J23" s="31">
        <f>'PR 2025'!E21</f>
        <v>1</v>
      </c>
      <c r="K23" s="33" t="str">
        <f>'PR 2025'!F21</f>
        <v>UNT</v>
      </c>
      <c r="L23" s="34">
        <f>'PR 2025'!T21</f>
        <v>45675</v>
      </c>
      <c r="M23" s="31" t="str">
        <f>'PR 2025'!AG21</f>
        <v>R</v>
      </c>
      <c r="N23" s="34">
        <f>VLOOKUP(C23,'GRS 2025'!$A$2:$AH$1992,4,FALSE)</f>
        <v>45685</v>
      </c>
      <c r="O23" s="69" t="str">
        <f>'PR 2025'!AJ21</f>
        <v>U/ KADEPT HRD OPERASIONAL YANG BARU (HS CODE : 8528.52.00). AYU</v>
      </c>
    </row>
    <row r="24" spans="1:15" x14ac:dyDescent="0.25">
      <c r="A24" s="22" t="str">
        <f t="shared" si="15"/>
        <v>5000005059108003092</v>
      </c>
      <c r="B24" s="22" t="str">
        <f t="shared" si="16"/>
        <v>5000005059797007862</v>
      </c>
      <c r="C24" s="22" t="str">
        <f t="shared" si="17"/>
        <v>500000505979700786</v>
      </c>
      <c r="D24" s="31">
        <v>21</v>
      </c>
      <c r="E24" s="31">
        <f>'PR 2025'!A22</f>
        <v>2</v>
      </c>
      <c r="F24" s="31">
        <f>'PR 2025'!B22</f>
        <v>5000005059</v>
      </c>
      <c r="G24" s="32" t="str">
        <f>'PR 2025'!C22</f>
        <v>KEYBOARD USB</v>
      </c>
      <c r="H24" s="31">
        <f>'PR 2025'!D22</f>
        <v>10800309</v>
      </c>
      <c r="I24" s="31">
        <f>VLOOKUP(A24,'PO 2025'!$A$2:$Y$1440,21,FALSE)</f>
        <v>79700786</v>
      </c>
      <c r="J24" s="31">
        <f>'PR 2025'!E22</f>
        <v>1</v>
      </c>
      <c r="K24" s="33" t="str">
        <f>'PR 2025'!F22</f>
        <v>BH</v>
      </c>
      <c r="L24" s="34">
        <f>'PR 2025'!T22</f>
        <v>45675</v>
      </c>
      <c r="M24" s="31" t="str">
        <f>'PR 2025'!AG22</f>
        <v>R</v>
      </c>
      <c r="N24" s="34">
        <f>VLOOKUP(C24,'GRS 2025'!$A$2:$AH$1992,4,FALSE)</f>
        <v>45685</v>
      </c>
      <c r="O24" s="69" t="str">
        <f>'PR 2025'!AJ22</f>
        <v>U/ KADEPT HRD OPERASIONAL YANG BARU (HS CODE : 8471.60.30). AYU</v>
      </c>
    </row>
    <row r="25" spans="1:15" x14ac:dyDescent="0.25">
      <c r="A25" s="22" t="str">
        <f t="shared" si="15"/>
        <v>5000004248108003093</v>
      </c>
      <c r="B25" s="22" t="str">
        <f t="shared" si="16"/>
        <v>5000004248797007863</v>
      </c>
      <c r="C25" s="22" t="str">
        <f t="shared" si="17"/>
        <v>500000424879700786</v>
      </c>
      <c r="D25" s="31">
        <v>22</v>
      </c>
      <c r="E25" s="31">
        <f>'PR 2025'!A23</f>
        <v>3</v>
      </c>
      <c r="F25" s="31">
        <f>'PR 2025'!B23</f>
        <v>5000004248</v>
      </c>
      <c r="G25" s="32" t="str">
        <f>'PR 2025'!C23</f>
        <v>MOUSE USB</v>
      </c>
      <c r="H25" s="31">
        <f>'PR 2025'!D23</f>
        <v>10800309</v>
      </c>
      <c r="I25" s="31">
        <f>VLOOKUP(A25,'PO 2025'!$A$2:$Y$1440,21,FALSE)</f>
        <v>79700786</v>
      </c>
      <c r="J25" s="31">
        <f>'PR 2025'!E23</f>
        <v>1</v>
      </c>
      <c r="K25" s="33" t="str">
        <f>'PR 2025'!F23</f>
        <v>BH</v>
      </c>
      <c r="L25" s="34">
        <f>'PR 2025'!T23</f>
        <v>45675</v>
      </c>
      <c r="M25" s="31" t="str">
        <f>'PR 2025'!AG23</f>
        <v>R</v>
      </c>
      <c r="N25" s="34">
        <f>VLOOKUP(C25,'GRS 2025'!$A$2:$AH$1992,4,FALSE)</f>
        <v>45685</v>
      </c>
      <c r="O25" s="69" t="str">
        <f>'PR 2025'!AJ23</f>
        <v>U/ KADEPT HRD OPERASIONAL YANG BARU (HS CODE : 8471.60.40). AYU</v>
      </c>
    </row>
    <row r="26" spans="1:15" x14ac:dyDescent="0.25">
      <c r="A26" s="22" t="str">
        <f t="shared" si="15"/>
        <v>5000016308108003094</v>
      </c>
      <c r="B26" s="22" t="str">
        <f t="shared" si="16"/>
        <v>5000016308797007884</v>
      </c>
      <c r="C26" s="22" t="str">
        <f t="shared" si="17"/>
        <v>500001630879700788</v>
      </c>
      <c r="D26" s="31">
        <v>23</v>
      </c>
      <c r="E26" s="31">
        <f>'PR 2025'!A24</f>
        <v>4</v>
      </c>
      <c r="F26" s="31">
        <f>'PR 2025'!B24</f>
        <v>5000016308</v>
      </c>
      <c r="G26" s="32" t="str">
        <f>'PR 2025'!C24</f>
        <v>CPU BUILDUP</v>
      </c>
      <c r="H26" s="31">
        <f>'PR 2025'!D24</f>
        <v>10800309</v>
      </c>
      <c r="I26" s="31">
        <f>VLOOKUP(A26,'PO 2025'!$A$2:$Y$1440,21,FALSE)</f>
        <v>79700788</v>
      </c>
      <c r="J26" s="31">
        <f>'PR 2025'!E24</f>
        <v>1</v>
      </c>
      <c r="K26" s="33" t="str">
        <f>'PR 2025'!F24</f>
        <v>UNT</v>
      </c>
      <c r="L26" s="34">
        <f>'PR 2025'!T24</f>
        <v>45675</v>
      </c>
      <c r="M26" s="31" t="str">
        <f>'PR 2025'!AG24</f>
        <v>R</v>
      </c>
      <c r="N26" s="34">
        <f>VLOOKUP(C26,'GRS 2025'!$A$2:$AH$1992,4,FALSE)</f>
        <v>45687</v>
      </c>
      <c r="O26" s="69" t="str">
        <f>'PR 2025'!AJ24</f>
        <v>U/ KADEPT HRD OPERASIONAL YANG BARU (HS CODE : 8479.89.50). AYU</v>
      </c>
    </row>
    <row r="27" spans="1:15" x14ac:dyDescent="0.25">
      <c r="A27" s="22" t="str">
        <f t="shared" si="15"/>
        <v>5000012021108003095</v>
      </c>
      <c r="B27" s="22" t="str">
        <f t="shared" si="16"/>
        <v>5000012021797007865</v>
      </c>
      <c r="C27" s="22" t="str">
        <f t="shared" si="17"/>
        <v>500001202179700786</v>
      </c>
      <c r="D27" s="31">
        <v>24</v>
      </c>
      <c r="E27" s="31">
        <f>'PR 2025'!A25</f>
        <v>5</v>
      </c>
      <c r="F27" s="31">
        <f>'PR 2025'!B25</f>
        <v>5000012021</v>
      </c>
      <c r="G27" s="32" t="str">
        <f>'PR 2025'!C25</f>
        <v>KABEL VGA</v>
      </c>
      <c r="H27" s="31">
        <f>'PR 2025'!D25</f>
        <v>10800309</v>
      </c>
      <c r="I27" s="31">
        <f>VLOOKUP(A27,'PO 2025'!$A$2:$Y$1440,21,FALSE)</f>
        <v>79700786</v>
      </c>
      <c r="J27" s="31">
        <f>'PR 2025'!E25</f>
        <v>1</v>
      </c>
      <c r="K27" s="33" t="str">
        <f>'PR 2025'!F25</f>
        <v>BH</v>
      </c>
      <c r="L27" s="34">
        <f>'PR 2025'!T25</f>
        <v>45675</v>
      </c>
      <c r="M27" s="31" t="str">
        <f>'PR 2025'!AG25</f>
        <v>R</v>
      </c>
      <c r="N27" s="34">
        <f>VLOOKUP(C27,'GRS 2025'!$A$2:$AH$1992,4,FALSE)</f>
        <v>45685</v>
      </c>
      <c r="O27" s="69" t="str">
        <f>'PR 2025'!AJ25</f>
        <v>U/ KADEPT HRD OPERASIONAL YANG BARU (HS CODE : 8544.20.31). AYU</v>
      </c>
    </row>
    <row r="28" spans="1:15" x14ac:dyDescent="0.25">
      <c r="A28" s="22" t="str">
        <f t="shared" si="15"/>
        <v>5000011754108003096</v>
      </c>
      <c r="B28" s="22" t="str">
        <f t="shared" si="16"/>
        <v>5000011754797007866</v>
      </c>
      <c r="C28" s="22" t="str">
        <f t="shared" si="17"/>
        <v>500001175479700786</v>
      </c>
      <c r="D28" s="31">
        <v>25</v>
      </c>
      <c r="E28" s="31">
        <f>'PR 2025'!A26</f>
        <v>6</v>
      </c>
      <c r="F28" s="31">
        <f>'PR 2025'!B26</f>
        <v>5000011754</v>
      </c>
      <c r="G28" s="32" t="str">
        <f>'PR 2025'!C26</f>
        <v>MOUSE PAD</v>
      </c>
      <c r="H28" s="31">
        <f>'PR 2025'!D26</f>
        <v>10800309</v>
      </c>
      <c r="I28" s="31">
        <f>VLOOKUP(A28,'PO 2025'!$A$2:$Y$1440,21,FALSE)</f>
        <v>79700786</v>
      </c>
      <c r="J28" s="31">
        <f>'PR 2025'!E26</f>
        <v>2</v>
      </c>
      <c r="K28" s="33" t="str">
        <f>'PR 2025'!F26</f>
        <v>BH</v>
      </c>
      <c r="L28" s="34">
        <f>'PR 2025'!T26</f>
        <v>45675</v>
      </c>
      <c r="M28" s="31" t="str">
        <f>'PR 2025'!AG26</f>
        <v>R</v>
      </c>
      <c r="N28" s="34">
        <f>VLOOKUP(C28,'GRS 2025'!$A$2:$AH$1992,4,FALSE)</f>
        <v>45685</v>
      </c>
      <c r="O28" s="69" t="str">
        <f>'PR 2025'!AJ26</f>
        <v>U/ KADEPT HRD OPERASIONAL YANG BARU &amp; BAGIAN BEACUKAI (HS CODE : 8471.60.40). AYU &amp; PUTRI</v>
      </c>
    </row>
    <row r="29" spans="1:15" x14ac:dyDescent="0.25">
      <c r="A29" s="22" t="str">
        <f t="shared" si="15"/>
        <v>5000016185108003097</v>
      </c>
      <c r="B29" s="22" t="str">
        <f t="shared" si="16"/>
        <v>5000016185797007887</v>
      </c>
      <c r="C29" s="22" t="str">
        <f t="shared" si="17"/>
        <v>500001618579700788</v>
      </c>
      <c r="D29" s="31">
        <v>26</v>
      </c>
      <c r="E29" s="31">
        <f>'PR 2025'!A27</f>
        <v>7</v>
      </c>
      <c r="F29" s="31">
        <f>'PR 2025'!B27</f>
        <v>5000016185</v>
      </c>
      <c r="G29" s="32" t="str">
        <f>'PR 2025'!C27</f>
        <v>TELEPHONE DIGITAL</v>
      </c>
      <c r="H29" s="31">
        <f>'PR 2025'!D27</f>
        <v>10800309</v>
      </c>
      <c r="I29" s="31">
        <f>VLOOKUP(A29,'PO 2025'!$A$2:$Y$1440,21,FALSE)</f>
        <v>79700788</v>
      </c>
      <c r="J29" s="31">
        <f>'PR 2025'!E27</f>
        <v>1</v>
      </c>
      <c r="K29" s="33" t="str">
        <f>'PR 2025'!F27</f>
        <v>BH</v>
      </c>
      <c r="L29" s="34">
        <f>'PR 2025'!T27</f>
        <v>45675</v>
      </c>
      <c r="M29" s="31" t="str">
        <f>'PR 2025'!AG27</f>
        <v>R</v>
      </c>
      <c r="N29" s="34">
        <f>VLOOKUP(C29,'GRS 2025'!$A$2:$AH$1992,4,FALSE)</f>
        <v>45687</v>
      </c>
      <c r="O29" s="69" t="str">
        <f>'PR 2025'!AJ27</f>
        <v>U/ KADEPT HRD OPERASIONAL YANG BARU (HS CODE : 8517.14.00). AYU</v>
      </c>
    </row>
    <row r="30" spans="1:15" x14ac:dyDescent="0.25">
      <c r="A30" s="22" t="str">
        <f t="shared" ref="A30" si="18">F30&amp;H30&amp;E30</f>
        <v>5000009128108003711</v>
      </c>
      <c r="B30" s="22" t="str">
        <f t="shared" ref="B30" si="19">F30&amp;I30&amp;E30</f>
        <v>5000009128797011931</v>
      </c>
      <c r="C30" s="22" t="str">
        <f t="shared" ref="C30" si="20">F30&amp;I30</f>
        <v>500000912879701193</v>
      </c>
      <c r="D30" s="31">
        <v>27</v>
      </c>
      <c r="E30" s="31">
        <f>'PR 2025'!A28</f>
        <v>1</v>
      </c>
      <c r="F30" s="31">
        <f>'PR 2025'!B28</f>
        <v>5000009128</v>
      </c>
      <c r="G30" s="32" t="str">
        <f>'PR 2025'!C28</f>
        <v>KABEL POWER SATA</v>
      </c>
      <c r="H30" s="31">
        <f>'PR 2025'!D28</f>
        <v>10800371</v>
      </c>
      <c r="I30" s="31">
        <f>VLOOKUP(A30,'PO 2025'!$A$2:$Y$1440,21,FALSE)</f>
        <v>79701193</v>
      </c>
      <c r="J30" s="31">
        <f>'PR 2025'!E28</f>
        <v>5</v>
      </c>
      <c r="K30" s="33" t="str">
        <f>'PR 2025'!F28</f>
        <v>BH</v>
      </c>
      <c r="L30" s="34">
        <f>'PR 2025'!T28</f>
        <v>45679</v>
      </c>
      <c r="M30" s="31" t="str">
        <f>'PR 2025'!AG28</f>
        <v>R</v>
      </c>
      <c r="N30" s="34">
        <f>VLOOKUP(C30,'GRS 2025'!$A$2:$AH$1992,4,FALSE)</f>
        <v>45712</v>
      </c>
      <c r="O30" s="69" t="str">
        <f>'PR 2025'!AJ28</f>
        <v>U/ BAGIAN IT (HS CODE : 8544.20.31). TIO</v>
      </c>
    </row>
    <row r="31" spans="1:15" x14ac:dyDescent="0.25">
      <c r="A31" s="22" t="str">
        <f t="shared" ref="A31:A41" si="21">F31&amp;H31&amp;E31</f>
        <v>5000005340108003712</v>
      </c>
      <c r="B31" s="22" t="str">
        <f t="shared" ref="B31:B41" si="22">F31&amp;I31&amp;E31</f>
        <v>5000005340797011972</v>
      </c>
      <c r="C31" s="22" t="str">
        <f t="shared" ref="C31:C41" si="23">F31&amp;I31</f>
        <v>500000534079701197</v>
      </c>
      <c r="D31" s="31">
        <v>28</v>
      </c>
      <c r="E31" s="31">
        <f>'PR 2025'!A29</f>
        <v>2</v>
      </c>
      <c r="F31" s="31">
        <f>'PR 2025'!B29</f>
        <v>5000005340</v>
      </c>
      <c r="G31" s="32" t="str">
        <f>'PR 2025'!C29</f>
        <v>POWER SUPLY ATX 450 WATT</v>
      </c>
      <c r="H31" s="31">
        <f>'PR 2025'!D29</f>
        <v>10800371</v>
      </c>
      <c r="I31" s="31">
        <f>VLOOKUP(A31,'PO 2025'!$A$2:$Y$1440,21,FALSE)</f>
        <v>79701197</v>
      </c>
      <c r="J31" s="31">
        <f>'PR 2025'!E29</f>
        <v>2</v>
      </c>
      <c r="K31" s="33" t="str">
        <f>'PR 2025'!F29</f>
        <v>UNT</v>
      </c>
      <c r="L31" s="34">
        <f>'PR 2025'!T29</f>
        <v>45679</v>
      </c>
      <c r="M31" s="31" t="str">
        <f>'PR 2025'!AG29</f>
        <v>R</v>
      </c>
      <c r="N31" s="34">
        <f>VLOOKUP(C31,'GRS 2025'!$A$2:$AH$1992,4,FALSE)</f>
        <v>45699</v>
      </c>
      <c r="O31" s="69" t="str">
        <f>'PR 2025'!AJ29</f>
        <v>U/ MENGGANTI YG RUSAK BAGIAN PERSONALIA DAN GD PACKING (HS CODE : 8414.59.10). ERDI</v>
      </c>
    </row>
    <row r="32" spans="1:15" x14ac:dyDescent="0.25">
      <c r="A32" s="22" t="str">
        <f t="shared" si="21"/>
        <v>5000014667108003713</v>
      </c>
      <c r="B32" s="22" t="str">
        <f t="shared" si="22"/>
        <v>5000014667797011933</v>
      </c>
      <c r="C32" s="22" t="str">
        <f t="shared" si="23"/>
        <v>500001466779701193</v>
      </c>
      <c r="D32" s="31">
        <v>29</v>
      </c>
      <c r="E32" s="31">
        <f>'PR 2025'!A30</f>
        <v>3</v>
      </c>
      <c r="F32" s="31">
        <f>'PR 2025'!B30</f>
        <v>5000014667</v>
      </c>
      <c r="G32" s="32" t="str">
        <f>'PR 2025'!C30</f>
        <v>ADAPTER 5V</v>
      </c>
      <c r="H32" s="31">
        <f>'PR 2025'!D30</f>
        <v>10800371</v>
      </c>
      <c r="I32" s="31">
        <f>VLOOKUP(A32,'PO 2025'!$A$2:$Y$1440,21,FALSE)</f>
        <v>79701193</v>
      </c>
      <c r="J32" s="31">
        <f>'PR 2025'!E30</f>
        <v>1</v>
      </c>
      <c r="K32" s="33" t="str">
        <f>'PR 2025'!F30</f>
        <v>UNT</v>
      </c>
      <c r="L32" s="34">
        <f>'PR 2025'!T30</f>
        <v>45679</v>
      </c>
      <c r="M32" s="31" t="str">
        <f>'PR 2025'!AG30</f>
        <v>R</v>
      </c>
      <c r="N32" s="34">
        <f>VLOOKUP(C32,'GRS 2025'!$A$2:$AH$1992,4,FALSE)</f>
        <v>45712</v>
      </c>
      <c r="O32" s="69" t="str">
        <f>'PR 2025'!AJ30</f>
        <v>U/ MENGGANTI YG RUSAK BAGIAN DF LJ1 (HS CODE : 8517.79.10). TIO</v>
      </c>
    </row>
    <row r="33" spans="1:15" x14ac:dyDescent="0.25">
      <c r="A33" s="22" t="str">
        <f t="shared" si="21"/>
        <v>5000016428108004291</v>
      </c>
      <c r="B33" s="22" t="str">
        <f t="shared" si="22"/>
        <v>5000016428797011731</v>
      </c>
      <c r="C33" s="22" t="str">
        <f t="shared" si="23"/>
        <v>500001642879701173</v>
      </c>
      <c r="D33" s="31">
        <v>30</v>
      </c>
      <c r="E33" s="31">
        <f>'PR 2025'!A31</f>
        <v>1</v>
      </c>
      <c r="F33" s="31">
        <f>'PR 2025'!B31</f>
        <v>5000016428</v>
      </c>
      <c r="G33" s="32" t="str">
        <f>'PR 2025'!C31</f>
        <v>PRINTER EPSON L-121</v>
      </c>
      <c r="H33" s="31">
        <f>'PR 2025'!D31</f>
        <v>10800429</v>
      </c>
      <c r="I33" s="31">
        <f>VLOOKUP(A33,'PO 2025'!$A$2:$Y$1440,21,FALSE)</f>
        <v>79701173</v>
      </c>
      <c r="J33" s="31">
        <f>'PR 2025'!E31</f>
        <v>1</v>
      </c>
      <c r="K33" s="33" t="str">
        <f>'PR 2025'!F31</f>
        <v>UNT</v>
      </c>
      <c r="L33" s="34">
        <f>'PR 2025'!T31</f>
        <v>45681</v>
      </c>
      <c r="M33" s="31" t="str">
        <f>'PR 2025'!AG31</f>
        <v>R</v>
      </c>
      <c r="N33" s="34">
        <f>VLOOKUP(C33,'GRS 2025'!$A$2:$AH$1992,4,FALSE)</f>
        <v>45699</v>
      </c>
      <c r="O33" s="69" t="str">
        <f>'PR 2025'!AJ31</f>
        <v>U/ PENAMBAHAN DI RUANG BARU BAGIAN UTILITY (HS CODE : 8443.31.11). ERLIN</v>
      </c>
    </row>
    <row r="34" spans="1:15" x14ac:dyDescent="0.25">
      <c r="A34" s="22" t="str">
        <f t="shared" si="21"/>
        <v>5000016930108004292</v>
      </c>
      <c r="B34" s="22" t="str">
        <f t="shared" si="22"/>
        <v>5000016930797016862</v>
      </c>
      <c r="C34" s="22" t="str">
        <f t="shared" si="23"/>
        <v>500001693079701686</v>
      </c>
      <c r="D34" s="31">
        <v>31</v>
      </c>
      <c r="E34" s="31">
        <f>'PR 2025'!A32</f>
        <v>2</v>
      </c>
      <c r="F34" s="31">
        <f>'PR 2025'!B32</f>
        <v>5000016930</v>
      </c>
      <c r="G34" s="32" t="str">
        <f>'PR 2025'!C32</f>
        <v>PRINT SERVER</v>
      </c>
      <c r="H34" s="31">
        <f>'PR 2025'!D32</f>
        <v>10800429</v>
      </c>
      <c r="I34" s="31">
        <f>VLOOKUP(A34,'PO 2025'!$A$2:$Y$1440,21,FALSE)</f>
        <v>79701686</v>
      </c>
      <c r="J34" s="31">
        <f>'PR 2025'!E32</f>
        <v>2</v>
      </c>
      <c r="K34" s="33" t="str">
        <f>'PR 2025'!F32</f>
        <v>BH</v>
      </c>
      <c r="L34" s="34">
        <f>'PR 2025'!T32</f>
        <v>45681</v>
      </c>
      <c r="M34" s="31" t="str">
        <f>'PR 2025'!AG32</f>
        <v>R</v>
      </c>
      <c r="N34" s="34">
        <f>VLOOKUP(C34,'GRS 2025'!$A$2:$AH$1992,4,FALSE)</f>
        <v>45712</v>
      </c>
      <c r="O34" s="69" t="str">
        <f>'PR 2025'!AJ32</f>
        <v>URGENT : U/ DF LJ2 DAN PENAMBAHAN DI RUANG BARU BAGIAN UTILITY (HS CODE : 8517.79.10). AGUS &amp; ERLIN</v>
      </c>
    </row>
    <row r="35" spans="1:15" x14ac:dyDescent="0.25">
      <c r="A35" s="22" t="str">
        <f t="shared" si="21"/>
        <v>5000014904108004293</v>
      </c>
      <c r="B35" s="22" t="str">
        <f t="shared" si="22"/>
        <v>5000014904797011973</v>
      </c>
      <c r="C35" s="22" t="str">
        <f t="shared" si="23"/>
        <v>500001490479701197</v>
      </c>
      <c r="D35" s="31">
        <v>32</v>
      </c>
      <c r="E35" s="31">
        <f>'PR 2025'!A33</f>
        <v>3</v>
      </c>
      <c r="F35" s="31">
        <f>'PR 2025'!B33</f>
        <v>5000014904</v>
      </c>
      <c r="G35" s="32" t="str">
        <f>'PR 2025'!C33</f>
        <v>FINGER SCAN SOLUTION X100-C</v>
      </c>
      <c r="H35" s="31">
        <f>'PR 2025'!D33</f>
        <v>10800429</v>
      </c>
      <c r="I35" s="31">
        <f>VLOOKUP(A35,'PO 2025'!$A$2:$Y$1440,21,FALSE)</f>
        <v>79701197</v>
      </c>
      <c r="J35" s="31">
        <f>'PR 2025'!E33</f>
        <v>1</v>
      </c>
      <c r="K35" s="33" t="str">
        <f>'PR 2025'!F33</f>
        <v>UNT</v>
      </c>
      <c r="L35" s="34">
        <f>'PR 2025'!T33</f>
        <v>45682</v>
      </c>
      <c r="M35" s="31" t="str">
        <f>'PR 2025'!AG33</f>
        <v>R</v>
      </c>
      <c r="N35" s="34">
        <f>VLOOKUP(C35,'GRS 2025'!$A$2:$AH$1992,4,FALSE)</f>
        <v>45699</v>
      </c>
      <c r="O35" s="69" t="str">
        <f>'PR 2025'!AJ33</f>
        <v>U/ MENGGANTI YANG RUSAK DI AREA EX. PERSONALIA (HS CODE : 8471.90.30). ERIK</v>
      </c>
    </row>
    <row r="36" spans="1:15" x14ac:dyDescent="0.25">
      <c r="A36" s="22" t="str">
        <f t="shared" si="21"/>
        <v>5000005059108004294</v>
      </c>
      <c r="B36" s="22" t="str">
        <f t="shared" si="22"/>
        <v>5000005059797015444</v>
      </c>
      <c r="C36" s="22" t="str">
        <f t="shared" si="23"/>
        <v>500000505979701544</v>
      </c>
      <c r="D36" s="31">
        <v>33</v>
      </c>
      <c r="E36" s="31">
        <f>'PR 2025'!A34</f>
        <v>4</v>
      </c>
      <c r="F36" s="31">
        <f>'PR 2025'!B34</f>
        <v>5000005059</v>
      </c>
      <c r="G36" s="32" t="str">
        <f>'PR 2025'!C34</f>
        <v>KEYBOARD USB</v>
      </c>
      <c r="H36" s="31">
        <f>'PR 2025'!D34</f>
        <v>10800429</v>
      </c>
      <c r="I36" s="31">
        <f>VLOOKUP(A36,'PO 2025'!$A$2:$Y$1440,21,FALSE)</f>
        <v>79701544</v>
      </c>
      <c r="J36" s="31">
        <f>'PR 2025'!E34</f>
        <v>1</v>
      </c>
      <c r="K36" s="33" t="str">
        <f>'PR 2025'!F34</f>
        <v>BH</v>
      </c>
      <c r="L36" s="34">
        <f>'PR 2025'!T34</f>
        <v>45682</v>
      </c>
      <c r="M36" s="31" t="str">
        <f>'PR 2025'!AG34</f>
        <v>R</v>
      </c>
      <c r="N36" s="34">
        <f>VLOOKUP(C36,'GRS 2025'!$A$2:$AH$1992,4,FALSE)</f>
        <v>45708</v>
      </c>
      <c r="O36" s="69" t="str">
        <f>'PR 2025'!AJ34</f>
        <v>ORDER YANG LOGITECH U/ BAGIAN IT (HS CODE : 8471.60.30). BUDI</v>
      </c>
    </row>
    <row r="37" spans="1:15" x14ac:dyDescent="0.25">
      <c r="A37" s="22" t="str">
        <f t="shared" si="21"/>
        <v>5000008843108004501</v>
      </c>
      <c r="B37" s="22" t="str">
        <f t="shared" si="22"/>
        <v>5000008843797011731</v>
      </c>
      <c r="C37" s="22" t="str">
        <f t="shared" si="23"/>
        <v>500000884379701173</v>
      </c>
      <c r="D37" s="31">
        <v>34</v>
      </c>
      <c r="E37" s="31">
        <f>'PR 2025'!A35</f>
        <v>1</v>
      </c>
      <c r="F37" s="31">
        <f>'PR 2025'!B35</f>
        <v>5000008843</v>
      </c>
      <c r="G37" s="32" t="str">
        <f>'PR 2025'!C35</f>
        <v>MONITOR LCD 19 INCH</v>
      </c>
      <c r="H37" s="31">
        <f>'PR 2025'!D35</f>
        <v>10800450</v>
      </c>
      <c r="I37" s="31">
        <f>VLOOKUP(A37,'PO 2025'!$A$2:$Y$1440,21,FALSE)</f>
        <v>79701173</v>
      </c>
      <c r="J37" s="31">
        <f>'PR 2025'!E35</f>
        <v>1</v>
      </c>
      <c r="K37" s="33" t="str">
        <f>'PR 2025'!F35</f>
        <v>UNT</v>
      </c>
      <c r="L37" s="34">
        <f>'PR 2025'!T35</f>
        <v>45682</v>
      </c>
      <c r="M37" s="31" t="str">
        <f>'PR 2025'!AG35</f>
        <v>R</v>
      </c>
      <c r="N37" s="34">
        <f>VLOOKUP(C37,'GRS 2025'!$A$2:$AH$1992,4,FALSE)</f>
        <v>45699</v>
      </c>
      <c r="O37" s="69" t="str">
        <f>'PR 2025'!AJ35</f>
        <v>U/ BAGIAN RND PROCESSING LJ1 (HS CODE : 8528.52.00). TETEN</v>
      </c>
    </row>
    <row r="38" spans="1:15" x14ac:dyDescent="0.25">
      <c r="A38" s="22" t="str">
        <f t="shared" si="21"/>
        <v>5000005059108004502</v>
      </c>
      <c r="B38" s="22" t="str">
        <f t="shared" si="22"/>
        <v>5000005059797011972</v>
      </c>
      <c r="C38" s="22" t="str">
        <f t="shared" si="23"/>
        <v>500000505979701197</v>
      </c>
      <c r="D38" s="31">
        <v>35</v>
      </c>
      <c r="E38" s="31">
        <f>'PR 2025'!A36</f>
        <v>2</v>
      </c>
      <c r="F38" s="31">
        <f>'PR 2025'!B36</f>
        <v>5000005059</v>
      </c>
      <c r="G38" s="32" t="str">
        <f>'PR 2025'!C36</f>
        <v>KEYBOARD USB</v>
      </c>
      <c r="H38" s="31">
        <f>'PR 2025'!D36</f>
        <v>10800450</v>
      </c>
      <c r="I38" s="31">
        <f>VLOOKUP(A38,'PO 2025'!$A$2:$Y$1440,21,FALSE)</f>
        <v>79701197</v>
      </c>
      <c r="J38" s="31">
        <f>'PR 2025'!E36</f>
        <v>1</v>
      </c>
      <c r="K38" s="33" t="str">
        <f>'PR 2025'!F36</f>
        <v>BH</v>
      </c>
      <c r="L38" s="34">
        <f>'PR 2025'!T36</f>
        <v>45682</v>
      </c>
      <c r="M38" s="31" t="str">
        <f>'PR 2025'!AG36</f>
        <v>R</v>
      </c>
      <c r="N38" s="34">
        <f>VLOOKUP(C38,'GRS 2025'!$A$2:$AH$1992,4,FALSE)</f>
        <v>45699</v>
      </c>
      <c r="O38" s="69" t="str">
        <f>'PR 2025'!AJ36</f>
        <v>U/ BAGIAN RND PROCESSING LJ1 (HS CODE : 8471.60.30). TETEN</v>
      </c>
    </row>
    <row r="39" spans="1:15" ht="30" x14ac:dyDescent="0.25">
      <c r="A39" s="22" t="str">
        <f t="shared" si="21"/>
        <v>5000004248108004503</v>
      </c>
      <c r="B39" s="22" t="str">
        <f t="shared" si="22"/>
        <v>5000004248797011973</v>
      </c>
      <c r="C39" s="22" t="str">
        <f t="shared" si="23"/>
        <v>500000424879701197</v>
      </c>
      <c r="D39" s="31">
        <v>36</v>
      </c>
      <c r="E39" s="31">
        <f>'PR 2025'!A37</f>
        <v>3</v>
      </c>
      <c r="F39" s="31">
        <f>'PR 2025'!B37</f>
        <v>5000004248</v>
      </c>
      <c r="G39" s="32" t="str">
        <f>'PR 2025'!C37</f>
        <v>MOUSE USB</v>
      </c>
      <c r="H39" s="31">
        <f>'PR 2025'!D37</f>
        <v>10800450</v>
      </c>
      <c r="I39" s="31">
        <f>VLOOKUP(A39,'PO 2025'!$A$2:$Y$1440,21,FALSE)</f>
        <v>79701197</v>
      </c>
      <c r="J39" s="31">
        <f>'PR 2025'!E37</f>
        <v>3</v>
      </c>
      <c r="K39" s="33" t="str">
        <f>'PR 2025'!F37</f>
        <v>BH</v>
      </c>
      <c r="L39" s="34">
        <f>'PR 2025'!T37</f>
        <v>45682</v>
      </c>
      <c r="M39" s="31" t="str">
        <f>'PR 2025'!AG37</f>
        <v>R</v>
      </c>
      <c r="N39" s="34">
        <f>VLOOKUP(C39,'GRS 2025'!$A$2:$AH$1992,4,FALSE)</f>
        <v>45699</v>
      </c>
      <c r="O39" s="69" t="str">
        <f>'PR 2025'!AJ37</f>
        <v>U/ BAGIAN RND PROCESSING LJ1 DAN MENGGANTI YANG RUSAK BAGIAN KEUANGAN (2) (HS CODE : 8471.60.40). TETEN &amp; FAJAR</v>
      </c>
    </row>
    <row r="40" spans="1:15" x14ac:dyDescent="0.25">
      <c r="A40" s="22" t="str">
        <f t="shared" si="21"/>
        <v>5000016308108004504</v>
      </c>
      <c r="B40" s="22" t="str">
        <f t="shared" si="22"/>
        <v>5000016308797011934</v>
      </c>
      <c r="C40" s="22" t="str">
        <f t="shared" si="23"/>
        <v>500001630879701193</v>
      </c>
      <c r="D40" s="31">
        <v>37</v>
      </c>
      <c r="E40" s="31">
        <f>'PR 2025'!A38</f>
        <v>4</v>
      </c>
      <c r="F40" s="31">
        <f>'PR 2025'!B38</f>
        <v>5000016308</v>
      </c>
      <c r="G40" s="32" t="str">
        <f>'PR 2025'!C38</f>
        <v>CPU BUILDUP</v>
      </c>
      <c r="H40" s="31">
        <f>'PR 2025'!D38</f>
        <v>10800450</v>
      </c>
      <c r="I40" s="31">
        <f>VLOOKUP(A40,'PO 2025'!$A$2:$Y$1440,21,FALSE)</f>
        <v>79701193</v>
      </c>
      <c r="J40" s="31">
        <f>'PR 2025'!E38</f>
        <v>1</v>
      </c>
      <c r="K40" s="33" t="str">
        <f>'PR 2025'!F38</f>
        <v>UNT</v>
      </c>
      <c r="L40" s="34">
        <f>'PR 2025'!T38</f>
        <v>45682</v>
      </c>
      <c r="M40" s="31" t="str">
        <f>'PR 2025'!AG38</f>
        <v>R</v>
      </c>
      <c r="N40" s="34">
        <f>VLOOKUP(C40,'GRS 2025'!$A$2:$AH$1992,4,FALSE)</f>
        <v>45712</v>
      </c>
      <c r="O40" s="69" t="str">
        <f>'PR 2025'!AJ38</f>
        <v>U/ BAGIAN RND PROCESSING LJ1 (HS CODE : 8479.89.50). TETEN</v>
      </c>
    </row>
    <row r="41" spans="1:15" x14ac:dyDescent="0.25">
      <c r="A41" s="22" t="str">
        <f t="shared" si="21"/>
        <v>5000012021108004505</v>
      </c>
      <c r="B41" s="22" t="str">
        <f t="shared" si="22"/>
        <v>5000012021797011975</v>
      </c>
      <c r="C41" s="22" t="str">
        <f t="shared" si="23"/>
        <v>500001202179701197</v>
      </c>
      <c r="D41" s="31">
        <v>38</v>
      </c>
      <c r="E41" s="31">
        <f>'PR 2025'!A39</f>
        <v>5</v>
      </c>
      <c r="F41" s="31">
        <f>'PR 2025'!B39</f>
        <v>5000012021</v>
      </c>
      <c r="G41" s="32" t="str">
        <f>'PR 2025'!C39</f>
        <v>KABEL VGA</v>
      </c>
      <c r="H41" s="31">
        <f>'PR 2025'!D39</f>
        <v>10800450</v>
      </c>
      <c r="I41" s="31">
        <f>VLOOKUP(A41,'PO 2025'!$A$2:$Y$1440,21,FALSE)</f>
        <v>79701197</v>
      </c>
      <c r="J41" s="31">
        <f>'PR 2025'!E39</f>
        <v>1</v>
      </c>
      <c r="K41" s="33" t="str">
        <f>'PR 2025'!F39</f>
        <v>BH</v>
      </c>
      <c r="L41" s="34">
        <f>'PR 2025'!T39</f>
        <v>45682</v>
      </c>
      <c r="M41" s="31" t="str">
        <f>'PR 2025'!AG39</f>
        <v>R</v>
      </c>
      <c r="N41" s="34">
        <f>VLOOKUP(C41,'GRS 2025'!$A$2:$AH$1992,4,FALSE)</f>
        <v>45699</v>
      </c>
      <c r="O41" s="69" t="str">
        <f>'PR 2025'!AJ39</f>
        <v>U/ BAGIAN RND PROCESSING LJ1 (HS CODE : 8544.20.31). TETEN</v>
      </c>
    </row>
    <row r="42" spans="1:15" x14ac:dyDescent="0.25">
      <c r="A42" s="22" t="str">
        <f t="shared" ref="A42:A50" si="24">F42&amp;H42&amp;E42</f>
        <v>5000016671108004641</v>
      </c>
      <c r="B42" s="22" t="str">
        <f t="shared" ref="B42:B50" si="25">F42&amp;I42&amp;E42</f>
        <v>5000016671797011971</v>
      </c>
      <c r="C42" s="22" t="str">
        <f t="shared" ref="C42:C50" si="26">F42&amp;I42</f>
        <v>500001667179701197</v>
      </c>
      <c r="D42" s="31">
        <v>39</v>
      </c>
      <c r="E42" s="31">
        <f>'PR 2025'!A40</f>
        <v>1</v>
      </c>
      <c r="F42" s="31">
        <f>'PR 2025'!B40</f>
        <v>5000016671</v>
      </c>
      <c r="G42" s="32" t="str">
        <f>'PR 2025'!C40</f>
        <v>ADAPTER MONITOR 19V</v>
      </c>
      <c r="H42" s="31">
        <f>'PR 2025'!D40</f>
        <v>10800464</v>
      </c>
      <c r="I42" s="31">
        <f>VLOOKUP(A42,'PO 2025'!$A$2:$Y$1440,21,FALSE)</f>
        <v>79701197</v>
      </c>
      <c r="J42" s="31">
        <f>'PR 2025'!E40</f>
        <v>2</v>
      </c>
      <c r="K42" s="33" t="str">
        <f>'PR 2025'!F40</f>
        <v>BH</v>
      </c>
      <c r="L42" s="34">
        <f>'PR 2025'!T40</f>
        <v>45684</v>
      </c>
      <c r="M42" s="31" t="str">
        <f>'PR 2025'!AG40</f>
        <v>R</v>
      </c>
      <c r="N42" s="34">
        <f>VLOOKUP(C42,'GRS 2025'!$A$2:$AH$1992,4,FALSE)</f>
        <v>45699</v>
      </c>
      <c r="O42" s="69" t="str">
        <f>'PR 2025'!AJ40</f>
        <v>U/ MENGGANTI YANG RUSAK BAGIAN RND DAN KEUANGAN (HS CODE : 8517.79.10). RICKY</v>
      </c>
    </row>
    <row r="43" spans="1:15" x14ac:dyDescent="0.25">
      <c r="A43" s="22" t="str">
        <f t="shared" si="24"/>
        <v>5000017105108004642</v>
      </c>
      <c r="B43" s="22" t="str">
        <f t="shared" si="25"/>
        <v>5000017105797014952</v>
      </c>
      <c r="C43" s="22" t="str">
        <f t="shared" si="26"/>
        <v>500001710579701495</v>
      </c>
      <c r="D43" s="31">
        <v>40</v>
      </c>
      <c r="E43" s="31">
        <f>'PR 2025'!A41</f>
        <v>2</v>
      </c>
      <c r="F43" s="31">
        <f>'PR 2025'!B41</f>
        <v>5000017105</v>
      </c>
      <c r="G43" s="32" t="str">
        <f>'PR 2025'!C41</f>
        <v>TERMINAL BOX ISI FRAME LSA</v>
      </c>
      <c r="H43" s="31">
        <f>'PR 2025'!D41</f>
        <v>10800464</v>
      </c>
      <c r="I43" s="31">
        <f>VLOOKUP(A43,'PO 2025'!$A$2:$Y$1440,21,FALSE)</f>
        <v>79701495</v>
      </c>
      <c r="J43" s="31">
        <f>'PR 2025'!E41</f>
        <v>3</v>
      </c>
      <c r="K43" s="33" t="str">
        <f>'PR 2025'!F41</f>
        <v>UNT</v>
      </c>
      <c r="L43" s="34">
        <f>'PR 2025'!T41</f>
        <v>45684</v>
      </c>
      <c r="M43" s="31" t="str">
        <f>'PR 2025'!AG41</f>
        <v>R</v>
      </c>
      <c r="N43" s="34">
        <f>VLOOKUP(C43,'GRS 2025'!$A$2:$AH$1992,4,FALSE)</f>
        <v>45708</v>
      </c>
      <c r="O43" s="69" t="str">
        <f>'PR 2025'!AJ41</f>
        <v>ORDER 100 PAIR (2), 200 PAIR (1) U/ PROJECT GEDUNG MARKETING YG BARU (HS CODE : 8536.90.93).TIO</v>
      </c>
    </row>
    <row r="44" spans="1:15" x14ac:dyDescent="0.25">
      <c r="A44" s="22" t="str">
        <f t="shared" si="24"/>
        <v>5000015480108004941</v>
      </c>
      <c r="B44" s="22" t="str">
        <f t="shared" si="25"/>
        <v>5000015480797011971</v>
      </c>
      <c r="C44" s="22" t="str">
        <f t="shared" si="26"/>
        <v>500001548079701197</v>
      </c>
      <c r="D44" s="31">
        <v>41</v>
      </c>
      <c r="E44" s="31">
        <f>'PR 2025'!A42</f>
        <v>1</v>
      </c>
      <c r="F44" s="31">
        <f>'PR 2025'!B42</f>
        <v>5000015480</v>
      </c>
      <c r="G44" s="32" t="str">
        <f>'PR 2025'!C42</f>
        <v>USB TERMINAL</v>
      </c>
      <c r="H44" s="31">
        <f>'PR 2025'!D42</f>
        <v>10800494</v>
      </c>
      <c r="I44" s="31">
        <f>VLOOKUP(A44,'PO 2025'!$A$2:$Y$1440,21,FALSE)</f>
        <v>79701197</v>
      </c>
      <c r="J44" s="31">
        <f>'PR 2025'!E42</f>
        <v>1</v>
      </c>
      <c r="K44" s="33" t="str">
        <f>'PR 2025'!F42</f>
        <v>BH</v>
      </c>
      <c r="L44" s="34">
        <f>'PR 2025'!T42</f>
        <v>45685</v>
      </c>
      <c r="M44" s="31" t="str">
        <f>'PR 2025'!AG42</f>
        <v>R</v>
      </c>
      <c r="N44" s="34">
        <f>VLOOKUP(C44,'GRS 2025'!$A$2:$AH$1992,4,FALSE)</f>
        <v>45699</v>
      </c>
      <c r="O44" s="69" t="str">
        <f>'PR 2025'!AJ42</f>
        <v>U/ BAGIAN PERSONALIA (HS CODE : 8454.10.00). SARI</v>
      </c>
    </row>
    <row r="45" spans="1:15" x14ac:dyDescent="0.25">
      <c r="A45" s="22" t="str">
        <f t="shared" si="24"/>
        <v>5000008843108005371</v>
      </c>
      <c r="B45" s="22" t="str">
        <f t="shared" si="25"/>
        <v>5000008843797011731</v>
      </c>
      <c r="C45" s="22" t="str">
        <f t="shared" si="26"/>
        <v>500000884379701173</v>
      </c>
      <c r="D45" s="31">
        <v>42</v>
      </c>
      <c r="E45" s="31">
        <f>'PR 2025'!A43</f>
        <v>1</v>
      </c>
      <c r="F45" s="31">
        <f>'PR 2025'!B43</f>
        <v>5000008843</v>
      </c>
      <c r="G45" s="32" t="str">
        <f>'PR 2025'!C43</f>
        <v>MONITOR LCD 19 INCH</v>
      </c>
      <c r="H45" s="31">
        <f>'PR 2025'!D43</f>
        <v>10800537</v>
      </c>
      <c r="I45" s="31">
        <f>VLOOKUP(A45,'PO 2025'!$A$2:$Y$1440,21,FALSE)</f>
        <v>79701173</v>
      </c>
      <c r="J45" s="31">
        <f>'PR 2025'!E43</f>
        <v>1</v>
      </c>
      <c r="K45" s="33" t="str">
        <f>'PR 2025'!F43</f>
        <v>UNT</v>
      </c>
      <c r="L45" s="34">
        <f>'PR 2025'!T43</f>
        <v>45688</v>
      </c>
      <c r="M45" s="31" t="str">
        <f>'PR 2025'!AG43</f>
        <v>R</v>
      </c>
      <c r="N45" s="34">
        <f>VLOOKUP(C45,'GRS 2025'!$A$2:$AH$1992,4,FALSE)</f>
        <v>45699</v>
      </c>
      <c r="O45" s="69" t="str">
        <f>'PR 2025'!AJ43</f>
        <v>U/ PIMPINAN PERSIAPAN LJ3 YG BARU (HS CODE : 8528.52.00). DJAFAR</v>
      </c>
    </row>
    <row r="46" spans="1:15" x14ac:dyDescent="0.25">
      <c r="A46" s="22" t="str">
        <f t="shared" si="24"/>
        <v>5000016308108005372</v>
      </c>
      <c r="B46" s="22" t="str">
        <f t="shared" si="25"/>
        <v>5000016308797011932</v>
      </c>
      <c r="C46" s="22" t="str">
        <f t="shared" si="26"/>
        <v>500001630879701193</v>
      </c>
      <c r="D46" s="31">
        <v>43</v>
      </c>
      <c r="E46" s="31">
        <f>'PR 2025'!A44</f>
        <v>2</v>
      </c>
      <c r="F46" s="31">
        <f>'PR 2025'!B44</f>
        <v>5000016308</v>
      </c>
      <c r="G46" s="32" t="str">
        <f>'PR 2025'!C44</f>
        <v>CPU BUILDUP</v>
      </c>
      <c r="H46" s="31">
        <f>'PR 2025'!D44</f>
        <v>10800537</v>
      </c>
      <c r="I46" s="31">
        <f>VLOOKUP(A46,'PO 2025'!$A$2:$Y$1440,21,FALSE)</f>
        <v>79701193</v>
      </c>
      <c r="J46" s="31">
        <f>'PR 2025'!E44</f>
        <v>1</v>
      </c>
      <c r="K46" s="33" t="str">
        <f>'PR 2025'!F44</f>
        <v>UNT</v>
      </c>
      <c r="L46" s="34">
        <f>'PR 2025'!T44</f>
        <v>45688</v>
      </c>
      <c r="M46" s="31" t="str">
        <f>'PR 2025'!AG44</f>
        <v>R</v>
      </c>
      <c r="N46" s="34">
        <f>VLOOKUP(C46,'GRS 2025'!$A$2:$AH$1992,4,FALSE)</f>
        <v>45712</v>
      </c>
      <c r="O46" s="69" t="str">
        <f>'PR 2025'!AJ44</f>
        <v>U/ PIMPINAN PERSIAPAN LJ3 YG BARU (HS CODE : 8479.89.50). DJAFAR</v>
      </c>
    </row>
    <row r="47" spans="1:15" x14ac:dyDescent="0.25">
      <c r="A47" s="22" t="str">
        <f t="shared" si="24"/>
        <v>5000005059108005373</v>
      </c>
      <c r="B47" s="22" t="str">
        <f t="shared" si="25"/>
        <v>5000005059797011973</v>
      </c>
      <c r="C47" s="22" t="str">
        <f t="shared" si="26"/>
        <v>500000505979701197</v>
      </c>
      <c r="D47" s="31">
        <v>44</v>
      </c>
      <c r="E47" s="31">
        <f>'PR 2025'!A45</f>
        <v>3</v>
      </c>
      <c r="F47" s="31">
        <f>'PR 2025'!B45</f>
        <v>5000005059</v>
      </c>
      <c r="G47" s="32" t="str">
        <f>'PR 2025'!C45</f>
        <v>KEYBOARD USB</v>
      </c>
      <c r="H47" s="31">
        <f>'PR 2025'!D45</f>
        <v>10800537</v>
      </c>
      <c r="I47" s="31">
        <f>VLOOKUP(A47,'PO 2025'!$A$2:$Y$1440,21,FALSE)</f>
        <v>79701197</v>
      </c>
      <c r="J47" s="31">
        <f>'PR 2025'!E45</f>
        <v>1</v>
      </c>
      <c r="K47" s="33" t="str">
        <f>'PR 2025'!F45</f>
        <v>BH</v>
      </c>
      <c r="L47" s="34">
        <f>'PR 2025'!T45</f>
        <v>45688</v>
      </c>
      <c r="M47" s="31" t="str">
        <f>'PR 2025'!AG45</f>
        <v>R</v>
      </c>
      <c r="N47" s="34">
        <f>VLOOKUP(C47,'GRS 2025'!$A$2:$AH$1992,4,FALSE)</f>
        <v>45699</v>
      </c>
      <c r="O47" s="69" t="str">
        <f>'PR 2025'!AJ45</f>
        <v>U/ PIMPINAN PERSIAPAN LJ3 YG BARU (HS CODE : 8471.60.30). DJAFAR</v>
      </c>
    </row>
    <row r="48" spans="1:15" ht="30" x14ac:dyDescent="0.25">
      <c r="A48" s="22" t="str">
        <f t="shared" si="24"/>
        <v>5000004248108005374</v>
      </c>
      <c r="B48" s="22" t="str">
        <f t="shared" si="25"/>
        <v>5000004248797011974</v>
      </c>
      <c r="C48" s="22" t="str">
        <f t="shared" si="26"/>
        <v>500000424879701197</v>
      </c>
      <c r="D48" s="31">
        <v>45</v>
      </c>
      <c r="E48" s="31">
        <f>'PR 2025'!A46</f>
        <v>4</v>
      </c>
      <c r="F48" s="31">
        <f>'PR 2025'!B46</f>
        <v>5000004248</v>
      </c>
      <c r="G48" s="32" t="str">
        <f>'PR 2025'!C46</f>
        <v>MOUSE USB</v>
      </c>
      <c r="H48" s="31">
        <f>'PR 2025'!D46</f>
        <v>10800537</v>
      </c>
      <c r="I48" s="31">
        <f>VLOOKUP(A48,'PO 2025'!$A$2:$Y$1440,21,FALSE)</f>
        <v>79701197</v>
      </c>
      <c r="J48" s="31">
        <f>'PR 2025'!E46</f>
        <v>3</v>
      </c>
      <c r="K48" s="33" t="str">
        <f>'PR 2025'!F46</f>
        <v>BH</v>
      </c>
      <c r="L48" s="34">
        <f>'PR 2025'!T46</f>
        <v>45688</v>
      </c>
      <c r="M48" s="31" t="str">
        <f>'PR 2025'!AG46</f>
        <v>R</v>
      </c>
      <c r="N48" s="34">
        <f>VLOOKUP(C48,'GRS 2025'!$A$2:$AH$1992,4,FALSE)</f>
        <v>45699</v>
      </c>
      <c r="O48" s="69" t="str">
        <f>'PR 2025'!AJ46</f>
        <v>U/ PIMPINAN PERSIAPAN LJ3 YG BARU, MENGGANTI YG RUSAK BAGIAN PEMBELIAN (2) (HS CODE : 8471.60.40). DJAFAR &amp; DETA</v>
      </c>
    </row>
    <row r="49" spans="1:15" x14ac:dyDescent="0.25">
      <c r="A49" s="22" t="str">
        <f t="shared" si="24"/>
        <v>5000012021108005375</v>
      </c>
      <c r="B49" s="22" t="str">
        <f t="shared" si="25"/>
        <v>5000012021797011975</v>
      </c>
      <c r="C49" s="22" t="str">
        <f t="shared" si="26"/>
        <v>500001202179701197</v>
      </c>
      <c r="D49" s="31">
        <v>46</v>
      </c>
      <c r="E49" s="31">
        <f>'PR 2025'!A47</f>
        <v>5</v>
      </c>
      <c r="F49" s="31">
        <f>'PR 2025'!B47</f>
        <v>5000012021</v>
      </c>
      <c r="G49" s="32" t="str">
        <f>'PR 2025'!C47</f>
        <v>KABEL VGA</v>
      </c>
      <c r="H49" s="31">
        <f>'PR 2025'!D47</f>
        <v>10800537</v>
      </c>
      <c r="I49" s="31">
        <f>VLOOKUP(A49,'PO 2025'!$A$2:$Y$1440,21,FALSE)</f>
        <v>79701197</v>
      </c>
      <c r="J49" s="31">
        <f>'PR 2025'!E47</f>
        <v>1</v>
      </c>
      <c r="K49" s="33" t="str">
        <f>'PR 2025'!F47</f>
        <v>BH</v>
      </c>
      <c r="L49" s="34">
        <f>'PR 2025'!T47</f>
        <v>45688</v>
      </c>
      <c r="M49" s="31" t="str">
        <f>'PR 2025'!AG47</f>
        <v>R</v>
      </c>
      <c r="N49" s="34">
        <f>VLOOKUP(C49,'GRS 2025'!$A$2:$AH$1992,4,FALSE)</f>
        <v>45699</v>
      </c>
      <c r="O49" s="69" t="str">
        <f>'PR 2025'!AJ47</f>
        <v>U/ PIMPINAN PERSIAPAN LJ3 YG BARU (HS CODE : 8544.20.31). DJAFAR</v>
      </c>
    </row>
    <row r="50" spans="1:15" x14ac:dyDescent="0.25">
      <c r="A50" s="22" t="str">
        <f t="shared" si="24"/>
        <v>5000017624108005376</v>
      </c>
      <c r="B50" s="22" t="str">
        <f t="shared" si="25"/>
        <v>5000017624797014956</v>
      </c>
      <c r="C50" s="22" t="str">
        <f t="shared" si="26"/>
        <v>500001762479701495</v>
      </c>
      <c r="D50" s="31">
        <v>47</v>
      </c>
      <c r="E50" s="31">
        <f>'PR 2025'!A48</f>
        <v>6</v>
      </c>
      <c r="F50" s="31">
        <f>'PR 2025'!B48</f>
        <v>5000017624</v>
      </c>
      <c r="G50" s="32" t="str">
        <f>'PR 2025'!C48</f>
        <v>MONITOR 32 INCH</v>
      </c>
      <c r="H50" s="31">
        <f>'PR 2025'!D48</f>
        <v>10800537</v>
      </c>
      <c r="I50" s="31">
        <f>VLOOKUP(A50,'PO 2025'!$A$2:$Y$1440,21,FALSE)</f>
        <v>79701495</v>
      </c>
      <c r="J50" s="31">
        <f>'PR 2025'!E48</f>
        <v>2</v>
      </c>
      <c r="K50" s="33" t="str">
        <f>'PR 2025'!F48</f>
        <v>UNT</v>
      </c>
      <c r="L50" s="34">
        <f>'PR 2025'!T48</f>
        <v>45688</v>
      </c>
      <c r="M50" s="31" t="str">
        <f>'PR 2025'!AG48</f>
        <v>R</v>
      </c>
      <c r="N50" s="34">
        <f>VLOOKUP(C50,'GRS 2025'!$A$2:$AH$1992,4,FALSE)</f>
        <v>45708</v>
      </c>
      <c r="O50" s="69" t="str">
        <f>'PR 2025'!AJ48</f>
        <v>U/ ASS. MGR GREY &amp; PROCESSING (PAK DEDE ROHIMAT &amp; PAK NOFRIZAL) (HS CODE : 8528.52.00). DADANG</v>
      </c>
    </row>
    <row r="51" spans="1:15" x14ac:dyDescent="0.25">
      <c r="A51" s="22" t="str">
        <f t="shared" ref="A51:A64" si="27">F51&amp;H51&amp;E51</f>
        <v>5000016409108006351</v>
      </c>
      <c r="B51" s="22" t="str">
        <f t="shared" ref="B51:B64" si="28">F51&amp;I51&amp;E51</f>
        <v>5000016409797014951</v>
      </c>
      <c r="C51" s="22" t="str">
        <f t="shared" ref="C51:C64" si="29">F51&amp;I51</f>
        <v>500001640979701495</v>
      </c>
      <c r="D51" s="31">
        <v>48</v>
      </c>
      <c r="E51" s="31">
        <f>'PR 2025'!A49</f>
        <v>1</v>
      </c>
      <c r="F51" s="31">
        <f>'PR 2025'!B49</f>
        <v>5000016409</v>
      </c>
      <c r="G51" s="32" t="str">
        <f>'PR 2025'!C49</f>
        <v>PRINTER EPSON L 1250</v>
      </c>
      <c r="H51" s="31">
        <f>'PR 2025'!D49</f>
        <v>10800635</v>
      </c>
      <c r="I51" s="31">
        <f>VLOOKUP(A51,'PO 2025'!$A$2:$Y$1440,21,FALSE)</f>
        <v>79701495</v>
      </c>
      <c r="J51" s="31">
        <f>'PR 2025'!E49</f>
        <v>1</v>
      </c>
      <c r="K51" s="33" t="str">
        <f>'PR 2025'!F49</f>
        <v>UNT</v>
      </c>
      <c r="L51" s="34">
        <f>'PR 2025'!T49</f>
        <v>45694</v>
      </c>
      <c r="M51" s="31" t="str">
        <f>'PR 2025'!AG49</f>
        <v>R</v>
      </c>
      <c r="N51" s="34">
        <f>VLOOKUP(C51,'GRS 2025'!$A$2:$AH$1992,4,FALSE)</f>
        <v>45708</v>
      </c>
      <c r="O51" s="69" t="str">
        <f>'PR 2025'!AJ49</f>
        <v>U/ BAGIAN QA (HS CODE :  8443.31.11). HENGKY</v>
      </c>
    </row>
    <row r="52" spans="1:15" x14ac:dyDescent="0.25">
      <c r="A52" s="22" t="str">
        <f t="shared" si="27"/>
        <v>5000008843108006551</v>
      </c>
      <c r="B52" s="22" t="str">
        <f t="shared" si="28"/>
        <v>5000008843797014951</v>
      </c>
      <c r="C52" s="22" t="str">
        <f t="shared" si="29"/>
        <v>500000884379701495</v>
      </c>
      <c r="D52" s="31">
        <v>49</v>
      </c>
      <c r="E52" s="31">
        <f>'PR 2025'!A50</f>
        <v>1</v>
      </c>
      <c r="F52" s="31">
        <f>'PR 2025'!B50</f>
        <v>5000008843</v>
      </c>
      <c r="G52" s="32" t="str">
        <f>'PR 2025'!C50</f>
        <v>MONITOR LCD 19 INCH</v>
      </c>
      <c r="H52" s="31">
        <f>'PR 2025'!D50</f>
        <v>10800655</v>
      </c>
      <c r="I52" s="31">
        <f>VLOOKUP(A52,'PO 2025'!$A$2:$Y$1440,21,FALSE)</f>
        <v>79701495</v>
      </c>
      <c r="J52" s="31">
        <f>'PR 2025'!E50</f>
        <v>1</v>
      </c>
      <c r="K52" s="33" t="str">
        <f>'PR 2025'!F50</f>
        <v>UNT</v>
      </c>
      <c r="L52" s="34">
        <f>'PR 2025'!T50</f>
        <v>45695</v>
      </c>
      <c r="M52" s="31" t="str">
        <f>'PR 2025'!AG50</f>
        <v>R</v>
      </c>
      <c r="N52" s="34">
        <f>VLOOKUP(C52,'GRS 2025'!$A$2:$AH$1992,4,FALSE)</f>
        <v>45708</v>
      </c>
      <c r="O52" s="69" t="str">
        <f>'PR 2025'!AJ50</f>
        <v>U/ KADEPT TAX ACCOUNTING YANG BARU (HS CODE : 8528.52.00). CYNTHIA</v>
      </c>
    </row>
    <row r="53" spans="1:15" x14ac:dyDescent="0.25">
      <c r="A53" s="22" t="str">
        <f t="shared" si="27"/>
        <v>5000016308108006552</v>
      </c>
      <c r="B53" s="22" t="str">
        <f t="shared" si="28"/>
        <v>5000016308797014972</v>
      </c>
      <c r="C53" s="22" t="str">
        <f t="shared" si="29"/>
        <v>500001630879701497</v>
      </c>
      <c r="D53" s="31">
        <v>50</v>
      </c>
      <c r="E53" s="31">
        <f>'PR 2025'!A51</f>
        <v>2</v>
      </c>
      <c r="F53" s="31">
        <f>'PR 2025'!B51</f>
        <v>5000016308</v>
      </c>
      <c r="G53" s="32" t="str">
        <f>'PR 2025'!C51</f>
        <v>CPU BUILDUP</v>
      </c>
      <c r="H53" s="31">
        <f>'PR 2025'!D51</f>
        <v>10800655</v>
      </c>
      <c r="I53" s="31">
        <f>VLOOKUP(A53,'PO 2025'!$A$2:$Y$1440,21,FALSE)</f>
        <v>79701497</v>
      </c>
      <c r="J53" s="31">
        <f>'PR 2025'!E51</f>
        <v>1</v>
      </c>
      <c r="K53" s="33" t="str">
        <f>'PR 2025'!F51</f>
        <v>UNT</v>
      </c>
      <c r="L53" s="34">
        <f>'PR 2025'!T51</f>
        <v>45695</v>
      </c>
      <c r="M53" s="31" t="str">
        <f>'PR 2025'!AG51</f>
        <v>R</v>
      </c>
      <c r="N53" s="34">
        <f>VLOOKUP(C53,'GRS 2025'!$A$2:$AH$1992,4,FALSE)</f>
        <v>45708</v>
      </c>
      <c r="O53" s="69" t="str">
        <f>'PR 2025'!AJ51</f>
        <v>U/ KADEPT TAX ACCOUNTING YANG BARU (HS CODE : 8479.89.50). CYNTHIA</v>
      </c>
    </row>
    <row r="54" spans="1:15" x14ac:dyDescent="0.25">
      <c r="A54" s="22" t="str">
        <f t="shared" si="27"/>
        <v>5000005059108006553</v>
      </c>
      <c r="B54" s="22" t="str">
        <f t="shared" si="28"/>
        <v>5000005059797015443</v>
      </c>
      <c r="C54" s="22" t="str">
        <f t="shared" si="29"/>
        <v>500000505979701544</v>
      </c>
      <c r="D54" s="31">
        <v>51</v>
      </c>
      <c r="E54" s="31">
        <f>'PR 2025'!A52</f>
        <v>3</v>
      </c>
      <c r="F54" s="31">
        <f>'PR 2025'!B52</f>
        <v>5000005059</v>
      </c>
      <c r="G54" s="32" t="str">
        <f>'PR 2025'!C52</f>
        <v>KEYBOARD USB</v>
      </c>
      <c r="H54" s="31">
        <f>'PR 2025'!D52</f>
        <v>10800655</v>
      </c>
      <c r="I54" s="31">
        <f>VLOOKUP(A54,'PO 2025'!$A$2:$Y$1440,21,FALSE)</f>
        <v>79701544</v>
      </c>
      <c r="J54" s="31">
        <f>'PR 2025'!E52</f>
        <v>1</v>
      </c>
      <c r="K54" s="33" t="str">
        <f>'PR 2025'!F52</f>
        <v>BH</v>
      </c>
      <c r="L54" s="34">
        <f>'PR 2025'!T52</f>
        <v>45695</v>
      </c>
      <c r="M54" s="31" t="str">
        <f>'PR 2025'!AG52</f>
        <v>R</v>
      </c>
      <c r="N54" s="34">
        <f>VLOOKUP(C54,'GRS 2025'!$A$2:$AH$1992,4,FALSE)</f>
        <v>45708</v>
      </c>
      <c r="O54" s="69" t="str">
        <f>'PR 2025'!AJ52</f>
        <v>U/ KADEPT TAX ACCOUNTING YANG BARU (HS CODE : 8471.60.30). CYNTHIA</v>
      </c>
    </row>
    <row r="55" spans="1:15" ht="30" x14ac:dyDescent="0.25">
      <c r="A55" s="22" t="str">
        <f t="shared" si="27"/>
        <v>5000004248108006554</v>
      </c>
      <c r="B55" s="22" t="str">
        <f t="shared" si="28"/>
        <v>5000004248797015444</v>
      </c>
      <c r="C55" s="22" t="str">
        <f t="shared" si="29"/>
        <v>500000424879701544</v>
      </c>
      <c r="D55" s="31">
        <v>52</v>
      </c>
      <c r="E55" s="31">
        <f>'PR 2025'!A53</f>
        <v>4</v>
      </c>
      <c r="F55" s="31">
        <f>'PR 2025'!B53</f>
        <v>5000004248</v>
      </c>
      <c r="G55" s="32" t="str">
        <f>'PR 2025'!C53</f>
        <v>MOUSE USB</v>
      </c>
      <c r="H55" s="31">
        <f>'PR 2025'!D53</f>
        <v>10800655</v>
      </c>
      <c r="I55" s="31">
        <f>VLOOKUP(A55,'PO 2025'!$A$2:$Y$1440,21,FALSE)</f>
        <v>79701544</v>
      </c>
      <c r="J55" s="31">
        <f>'PR 2025'!E53</f>
        <v>13</v>
      </c>
      <c r="K55" s="33" t="str">
        <f>'PR 2025'!F53</f>
        <v>BH</v>
      </c>
      <c r="L55" s="34">
        <f>'PR 2025'!T53</f>
        <v>45695</v>
      </c>
      <c r="M55" s="31" t="str">
        <f>'PR 2025'!AG53</f>
        <v>R</v>
      </c>
      <c r="N55" s="34">
        <f>VLOOKUP(C55,'GRS 2025'!$A$2:$AH$1992,4,FALSE)</f>
        <v>45708</v>
      </c>
      <c r="O55" s="69" t="str">
        <f>'PR 2025'!AJ53</f>
        <v>U/ KADEPT TAX ACCOUNTING YANG BARU &amp; MENGGANTI YG RUSAK BAGIAN PROCESSING DF (2), FINAL, QA (2), PAJAK (4), RND DAN GD PACKING (2) (HS CODE : 8471.60.40). CYNTHIA &amp; ALI</v>
      </c>
    </row>
    <row r="56" spans="1:15" x14ac:dyDescent="0.25">
      <c r="A56" s="22" t="str">
        <f t="shared" si="27"/>
        <v>5000012021108006555</v>
      </c>
      <c r="B56" s="22" t="str">
        <f t="shared" si="28"/>
        <v>5000012021797015445</v>
      </c>
      <c r="C56" s="22" t="str">
        <f t="shared" si="29"/>
        <v>500001202179701544</v>
      </c>
      <c r="D56" s="31">
        <v>53</v>
      </c>
      <c r="E56" s="31">
        <f>'PR 2025'!A54</f>
        <v>5</v>
      </c>
      <c r="F56" s="31">
        <f>'PR 2025'!B54</f>
        <v>5000012021</v>
      </c>
      <c r="G56" s="32" t="str">
        <f>'PR 2025'!C54</f>
        <v>KABEL VGA</v>
      </c>
      <c r="H56" s="31">
        <f>'PR 2025'!D54</f>
        <v>10800655</v>
      </c>
      <c r="I56" s="31">
        <f>VLOOKUP(A56,'PO 2025'!$A$2:$Y$1440,21,FALSE)</f>
        <v>79701544</v>
      </c>
      <c r="J56" s="31">
        <f>'PR 2025'!E54</f>
        <v>1</v>
      </c>
      <c r="K56" s="33" t="str">
        <f>'PR 2025'!F54</f>
        <v>BH</v>
      </c>
      <c r="L56" s="34">
        <f>'PR 2025'!T54</f>
        <v>45695</v>
      </c>
      <c r="M56" s="31" t="str">
        <f>'PR 2025'!AG54</f>
        <v>R</v>
      </c>
      <c r="N56" s="34">
        <f>VLOOKUP(C56,'GRS 2025'!$A$2:$AH$1992,4,FALSE)</f>
        <v>45708</v>
      </c>
      <c r="O56" s="69" t="str">
        <f>'PR 2025'!AJ54</f>
        <v>U/ KADEPT TAX ACCOUNTING YANG BARU (HS CODE : 8544.20.31). CYNTHIA</v>
      </c>
    </row>
    <row r="57" spans="1:15" x14ac:dyDescent="0.25">
      <c r="A57" s="22" t="str">
        <f t="shared" si="27"/>
        <v>5000008843108006761</v>
      </c>
      <c r="B57" s="22" t="str">
        <f t="shared" si="28"/>
        <v>5000008843797014951</v>
      </c>
      <c r="C57" s="22" t="str">
        <f t="shared" si="29"/>
        <v>500000884379701495</v>
      </c>
      <c r="D57" s="31">
        <v>54</v>
      </c>
      <c r="E57" s="31">
        <f>'PR 2025'!A55</f>
        <v>1</v>
      </c>
      <c r="F57" s="31">
        <f>'PR 2025'!B55</f>
        <v>5000008843</v>
      </c>
      <c r="G57" s="32" t="str">
        <f>'PR 2025'!C55</f>
        <v>MONITOR LCD 19 INCH</v>
      </c>
      <c r="H57" s="31">
        <f>'PR 2025'!D55</f>
        <v>10800676</v>
      </c>
      <c r="I57" s="31">
        <f>VLOOKUP(A57,'PO 2025'!$A$2:$Y$1440,21,FALSE)</f>
        <v>79701495</v>
      </c>
      <c r="J57" s="31">
        <f>'PR 2025'!E55</f>
        <v>1</v>
      </c>
      <c r="K57" s="33" t="str">
        <f>'PR 2025'!F55</f>
        <v>UNT</v>
      </c>
      <c r="L57" s="34">
        <f>'PR 2025'!T55</f>
        <v>45698</v>
      </c>
      <c r="M57" s="31" t="str">
        <f>'PR 2025'!AG55</f>
        <v>R</v>
      </c>
      <c r="N57" s="34">
        <f>VLOOKUP(C57,'GRS 2025'!$A$2:$AH$1992,4,FALSE)</f>
        <v>45708</v>
      </c>
      <c r="O57" s="69" t="str">
        <f>'PR 2025'!AJ55</f>
        <v>U/ ASS. MANAGER HRD YANG BARU (HS CODE : 8528.52.00). AYU</v>
      </c>
    </row>
    <row r="58" spans="1:15" x14ac:dyDescent="0.25">
      <c r="A58" s="22" t="str">
        <f t="shared" si="27"/>
        <v>5000016308108006762</v>
      </c>
      <c r="B58" s="22" t="str">
        <f t="shared" si="28"/>
        <v>5000016308797014972</v>
      </c>
      <c r="C58" s="22" t="str">
        <f t="shared" si="29"/>
        <v>500001630879701497</v>
      </c>
      <c r="D58" s="31">
        <v>55</v>
      </c>
      <c r="E58" s="31">
        <f>'PR 2025'!A56</f>
        <v>2</v>
      </c>
      <c r="F58" s="31">
        <f>'PR 2025'!B56</f>
        <v>5000016308</v>
      </c>
      <c r="G58" s="32" t="str">
        <f>'PR 2025'!C56</f>
        <v>CPU BUILDUP</v>
      </c>
      <c r="H58" s="31">
        <f>'PR 2025'!D56</f>
        <v>10800676</v>
      </c>
      <c r="I58" s="31">
        <f>VLOOKUP(A58,'PO 2025'!$A$2:$Y$1440,21,FALSE)</f>
        <v>79701497</v>
      </c>
      <c r="J58" s="31">
        <f>'PR 2025'!E56</f>
        <v>1</v>
      </c>
      <c r="K58" s="33" t="str">
        <f>'PR 2025'!F56</f>
        <v>UNT</v>
      </c>
      <c r="L58" s="34">
        <f>'PR 2025'!T56</f>
        <v>45698</v>
      </c>
      <c r="M58" s="31" t="str">
        <f>'PR 2025'!AG56</f>
        <v>R</v>
      </c>
      <c r="N58" s="34">
        <f>VLOOKUP(C58,'GRS 2025'!$A$2:$AH$1992,4,FALSE)</f>
        <v>45708</v>
      </c>
      <c r="O58" s="69" t="str">
        <f>'PR 2025'!AJ56</f>
        <v>U/ ASS. MANAGER HRD YANG BARU (HS CODE : 8479.89.50). AYU</v>
      </c>
    </row>
    <row r="59" spans="1:15" x14ac:dyDescent="0.25">
      <c r="A59" s="22" t="str">
        <f t="shared" si="27"/>
        <v>5000005059108006763</v>
      </c>
      <c r="B59" s="22" t="str">
        <f t="shared" si="28"/>
        <v>5000005059797015443</v>
      </c>
      <c r="C59" s="22" t="str">
        <f t="shared" si="29"/>
        <v>500000505979701544</v>
      </c>
      <c r="D59" s="31">
        <v>56</v>
      </c>
      <c r="E59" s="31">
        <f>'PR 2025'!A57</f>
        <v>3</v>
      </c>
      <c r="F59" s="31">
        <f>'PR 2025'!B57</f>
        <v>5000005059</v>
      </c>
      <c r="G59" s="32" t="str">
        <f>'PR 2025'!C57</f>
        <v>KEYBOARD USB</v>
      </c>
      <c r="H59" s="31">
        <f>'PR 2025'!D57</f>
        <v>10800676</v>
      </c>
      <c r="I59" s="31">
        <f>VLOOKUP(A59,'PO 2025'!$A$2:$Y$1440,21,FALSE)</f>
        <v>79701544</v>
      </c>
      <c r="J59" s="31">
        <f>'PR 2025'!E57</f>
        <v>1</v>
      </c>
      <c r="K59" s="33" t="str">
        <f>'PR 2025'!F57</f>
        <v>BH</v>
      </c>
      <c r="L59" s="34">
        <f>'PR 2025'!T57</f>
        <v>45698</v>
      </c>
      <c r="M59" s="31" t="str">
        <f>'PR 2025'!AG57</f>
        <v>R</v>
      </c>
      <c r="N59" s="34">
        <f>VLOOKUP(C59,'GRS 2025'!$A$2:$AH$1992,4,FALSE)</f>
        <v>45708</v>
      </c>
      <c r="O59" s="69" t="str">
        <f>'PR 2025'!AJ57</f>
        <v>U/ ASS. MANAGER HRD YANG BARU (HS CODE : 8471.60.30). AYU</v>
      </c>
    </row>
    <row r="60" spans="1:15" x14ac:dyDescent="0.25">
      <c r="A60" s="22" t="str">
        <f t="shared" si="27"/>
        <v>5000004248108006764</v>
      </c>
      <c r="B60" s="22" t="str">
        <f t="shared" si="28"/>
        <v>5000004248797015444</v>
      </c>
      <c r="C60" s="22" t="str">
        <f t="shared" si="29"/>
        <v>500000424879701544</v>
      </c>
      <c r="D60" s="31">
        <v>57</v>
      </c>
      <c r="E60" s="31">
        <f>'PR 2025'!A58</f>
        <v>4</v>
      </c>
      <c r="F60" s="31">
        <f>'PR 2025'!B58</f>
        <v>5000004248</v>
      </c>
      <c r="G60" s="32" t="str">
        <f>'PR 2025'!C58</f>
        <v>MOUSE USB</v>
      </c>
      <c r="H60" s="31">
        <f>'PR 2025'!D58</f>
        <v>10800676</v>
      </c>
      <c r="I60" s="31">
        <f>VLOOKUP(A60,'PO 2025'!$A$2:$Y$1440,21,FALSE)</f>
        <v>79701544</v>
      </c>
      <c r="J60" s="31">
        <f>'PR 2025'!E58</f>
        <v>1</v>
      </c>
      <c r="K60" s="33" t="str">
        <f>'PR 2025'!F58</f>
        <v>BH</v>
      </c>
      <c r="L60" s="34">
        <f>'PR 2025'!T58</f>
        <v>45698</v>
      </c>
      <c r="M60" s="31" t="str">
        <f>'PR 2025'!AG58</f>
        <v>R</v>
      </c>
      <c r="N60" s="34">
        <f>VLOOKUP(C60,'GRS 2025'!$A$2:$AH$1992,4,FALSE)</f>
        <v>45708</v>
      </c>
      <c r="O60" s="69" t="str">
        <f>'PR 2025'!AJ58</f>
        <v>U/ ASS. MANAGER HRD YANG BARU (HS CODE : 8471.60.40). AYU</v>
      </c>
    </row>
    <row r="61" spans="1:15" x14ac:dyDescent="0.25">
      <c r="A61" s="22" t="str">
        <f t="shared" si="27"/>
        <v>5000012021108006765</v>
      </c>
      <c r="B61" s="22" t="str">
        <f t="shared" si="28"/>
        <v>5000012021797015445</v>
      </c>
      <c r="C61" s="22" t="str">
        <f t="shared" si="29"/>
        <v>500001202179701544</v>
      </c>
      <c r="D61" s="31">
        <v>58</v>
      </c>
      <c r="E61" s="31">
        <f>'PR 2025'!A59</f>
        <v>5</v>
      </c>
      <c r="F61" s="31">
        <f>'PR 2025'!B59</f>
        <v>5000012021</v>
      </c>
      <c r="G61" s="32" t="str">
        <f>'PR 2025'!C59</f>
        <v>KABEL VGA</v>
      </c>
      <c r="H61" s="31">
        <f>'PR 2025'!D59</f>
        <v>10800676</v>
      </c>
      <c r="I61" s="31">
        <f>VLOOKUP(A61,'PO 2025'!$A$2:$Y$1440,21,FALSE)</f>
        <v>79701544</v>
      </c>
      <c r="J61" s="31">
        <f>'PR 2025'!E59</f>
        <v>1</v>
      </c>
      <c r="K61" s="33" t="str">
        <f>'PR 2025'!F59</f>
        <v>BH</v>
      </c>
      <c r="L61" s="34">
        <f>'PR 2025'!T59</f>
        <v>45698</v>
      </c>
      <c r="M61" s="31" t="str">
        <f>'PR 2025'!AG59</f>
        <v>R</v>
      </c>
      <c r="N61" s="34">
        <f>VLOOKUP(C61,'GRS 2025'!$A$2:$AH$1992,4,FALSE)</f>
        <v>45708</v>
      </c>
      <c r="O61" s="69" t="str">
        <f>'PR 2025'!AJ59</f>
        <v>U/ ASS. MANAGER HRD YANG BARU (HS CODE : 8544.20.31). AYU</v>
      </c>
    </row>
    <row r="62" spans="1:15" x14ac:dyDescent="0.25">
      <c r="A62" s="22" t="str">
        <f t="shared" si="27"/>
        <v>5000011754108006766</v>
      </c>
      <c r="B62" s="22" t="str">
        <f t="shared" si="28"/>
        <v>5000011754797015446</v>
      </c>
      <c r="C62" s="22" t="str">
        <f t="shared" si="29"/>
        <v>500001175479701544</v>
      </c>
      <c r="D62" s="31">
        <v>59</v>
      </c>
      <c r="E62" s="31">
        <f>'PR 2025'!A60</f>
        <v>6</v>
      </c>
      <c r="F62" s="31">
        <f>'PR 2025'!B60</f>
        <v>5000011754</v>
      </c>
      <c r="G62" s="32" t="str">
        <f>'PR 2025'!C60</f>
        <v>MOUSE PAD</v>
      </c>
      <c r="H62" s="31">
        <f>'PR 2025'!D60</f>
        <v>10800676</v>
      </c>
      <c r="I62" s="31">
        <f>VLOOKUP(A62,'PO 2025'!$A$2:$Y$1440,21,FALSE)</f>
        <v>79701544</v>
      </c>
      <c r="J62" s="31">
        <f>'PR 2025'!E60</f>
        <v>1</v>
      </c>
      <c r="K62" s="33" t="str">
        <f>'PR 2025'!F60</f>
        <v>BH</v>
      </c>
      <c r="L62" s="34">
        <f>'PR 2025'!T60</f>
        <v>45698</v>
      </c>
      <c r="M62" s="31" t="str">
        <f>'PR 2025'!AG60</f>
        <v>R</v>
      </c>
      <c r="N62" s="34">
        <f>VLOOKUP(C62,'GRS 2025'!$A$2:$AH$1992,4,FALSE)</f>
        <v>45708</v>
      </c>
      <c r="O62" s="69" t="str">
        <f>'PR 2025'!AJ60</f>
        <v>U/ ASS. MANAGER HRD YANG BARU (HS CODE : 8471.60.40). AYU</v>
      </c>
    </row>
    <row r="63" spans="1:15" x14ac:dyDescent="0.25">
      <c r="A63" s="22" t="str">
        <f t="shared" si="27"/>
        <v>5000013499108006767</v>
      </c>
      <c r="B63" s="22" t="str">
        <f t="shared" si="28"/>
        <v>5000013499797015487</v>
      </c>
      <c r="C63" s="22" t="str">
        <f t="shared" si="29"/>
        <v>500001349979701548</v>
      </c>
      <c r="D63" s="31">
        <v>60</v>
      </c>
      <c r="E63" s="31">
        <f>'PR 2025'!A61</f>
        <v>7</v>
      </c>
      <c r="F63" s="31">
        <f>'PR 2025'!B61</f>
        <v>5000013499</v>
      </c>
      <c r="G63" s="32" t="str">
        <f>'PR 2025'!C61</f>
        <v>KX-TS505SLT (PESAWAT TELEPHONE )</v>
      </c>
      <c r="H63" s="31">
        <f>'PR 2025'!D61</f>
        <v>10800676</v>
      </c>
      <c r="I63" s="31">
        <f>VLOOKUP(A63,'PO 2025'!$A$2:$Y$1440,21,FALSE)</f>
        <v>79701548</v>
      </c>
      <c r="J63" s="31">
        <f>'PR 2025'!E61</f>
        <v>1</v>
      </c>
      <c r="K63" s="33" t="str">
        <f>'PR 2025'!F61</f>
        <v>BH</v>
      </c>
      <c r="L63" s="34">
        <f>'PR 2025'!T61</f>
        <v>45698</v>
      </c>
      <c r="M63" s="31" t="str">
        <f>'PR 2025'!AG61</f>
        <v>R</v>
      </c>
      <c r="N63" s="34">
        <f>VLOOKUP(C63,'GRS 2025'!$A$2:$AH$1992,4,FALSE)</f>
        <v>45708</v>
      </c>
      <c r="O63" s="69" t="str">
        <f>'PR 2025'!AJ61</f>
        <v>U/ ASS. MANAGER HRD YANG BARU (HS CODE : 8517.14.00). AYU</v>
      </c>
    </row>
    <row r="64" spans="1:15" x14ac:dyDescent="0.25">
      <c r="A64" s="22" t="str">
        <f t="shared" si="27"/>
        <v>5000016428108006768</v>
      </c>
      <c r="B64" s="22" t="str">
        <f t="shared" si="28"/>
        <v>5000016428797014958</v>
      </c>
      <c r="C64" s="22" t="str">
        <f t="shared" si="29"/>
        <v>500001642879701495</v>
      </c>
      <c r="D64" s="31">
        <v>61</v>
      </c>
      <c r="E64" s="31">
        <f>'PR 2025'!A62</f>
        <v>8</v>
      </c>
      <c r="F64" s="31">
        <f>'PR 2025'!B62</f>
        <v>5000016428</v>
      </c>
      <c r="G64" s="32" t="str">
        <f>'PR 2025'!C62</f>
        <v>PRINTER EPSON L-121</v>
      </c>
      <c r="H64" s="31">
        <f>'PR 2025'!D62</f>
        <v>10800676</v>
      </c>
      <c r="I64" s="31">
        <f>VLOOKUP(A64,'PO 2025'!$A$2:$Y$1440,21,FALSE)</f>
        <v>79701495</v>
      </c>
      <c r="J64" s="31">
        <f>'PR 2025'!E62</f>
        <v>1</v>
      </c>
      <c r="K64" s="33" t="str">
        <f>'PR 2025'!F62</f>
        <v>UNT</v>
      </c>
      <c r="L64" s="34">
        <f>'PR 2025'!T62</f>
        <v>45698</v>
      </c>
      <c r="M64" s="31" t="str">
        <f>'PR 2025'!AG62</f>
        <v>R</v>
      </c>
      <c r="N64" s="34">
        <f>VLOOKUP(C64,'GRS 2025'!$A$2:$AH$1992,4,FALSE)</f>
        <v>45708</v>
      </c>
      <c r="O64" s="69" t="str">
        <f>'PR 2025'!AJ62</f>
        <v>U/ ASS. MANAGER HRD YANG BARU (HS CODE : 8443.31.11). AYU</v>
      </c>
    </row>
    <row r="65" spans="1:15" x14ac:dyDescent="0.25">
      <c r="A65" s="22" t="str">
        <f t="shared" ref="A65:A66" si="30">F65&amp;H65&amp;E65</f>
        <v>5000016642108006911</v>
      </c>
      <c r="B65" s="22" t="str">
        <f t="shared" ref="B65:B66" si="31">F65&amp;I65&amp;E65</f>
        <v>5000016642797017031</v>
      </c>
      <c r="C65" s="22" t="str">
        <f t="shared" ref="C65:C66" si="32">F65&amp;I65</f>
        <v>500001664279701703</v>
      </c>
      <c r="D65" s="31">
        <v>62</v>
      </c>
      <c r="E65" s="31">
        <f>'PR 2025'!A63</f>
        <v>1</v>
      </c>
      <c r="F65" s="31">
        <f>'PR 2025'!B63</f>
        <v>5000016642</v>
      </c>
      <c r="G65" s="32" t="str">
        <f>'PR 2025'!C63</f>
        <v>BRACKET PROJECTOR</v>
      </c>
      <c r="H65" s="31">
        <f>'PR 2025'!D63</f>
        <v>10800691</v>
      </c>
      <c r="I65" s="31">
        <f>VLOOKUP(A65,'PO 2025'!$A$2:$Y$1440,21,FALSE)</f>
        <v>79701703</v>
      </c>
      <c r="J65" s="31">
        <f>'PR 2025'!E63</f>
        <v>1</v>
      </c>
      <c r="K65" s="33" t="str">
        <f>'PR 2025'!F63</f>
        <v>BH</v>
      </c>
      <c r="L65" s="34">
        <f>'PR 2025'!T63</f>
        <v>45699</v>
      </c>
      <c r="M65" s="31" t="str">
        <f>'PR 2025'!AG63</f>
        <v>R</v>
      </c>
      <c r="N65" s="34">
        <f>VLOOKUP(C65,'GRS 2025'!$A$2:$AH$1992,4,FALSE)</f>
        <v>45713</v>
      </c>
      <c r="O65" s="69" t="str">
        <f>'PR 2025'!AJ63</f>
        <v>U/ RUANG MEETING DF LJ1 (HS CODE : 8714.99.91). KARISA</v>
      </c>
    </row>
    <row r="66" spans="1:15" x14ac:dyDescent="0.25">
      <c r="A66" s="22" t="str">
        <f t="shared" si="30"/>
        <v>5000016255108006912</v>
      </c>
      <c r="B66" s="22" t="str">
        <f t="shared" si="31"/>
        <v>5000016255797016962</v>
      </c>
      <c r="C66" s="22" t="str">
        <f t="shared" si="32"/>
        <v>500001625579701696</v>
      </c>
      <c r="D66" s="31">
        <v>63</v>
      </c>
      <c r="E66" s="31">
        <f>'PR 2025'!A64</f>
        <v>2</v>
      </c>
      <c r="F66" s="31">
        <f>'PR 2025'!B64</f>
        <v>5000016255</v>
      </c>
      <c r="G66" s="32" t="str">
        <f>'PR 2025'!C64</f>
        <v>SSD SATA 256GB</v>
      </c>
      <c r="H66" s="31">
        <f>'PR 2025'!D64</f>
        <v>10800691</v>
      </c>
      <c r="I66" s="31">
        <f>VLOOKUP(A66,'PO 2025'!$A$2:$Y$1440,21,FALSE)</f>
        <v>79701696</v>
      </c>
      <c r="J66" s="31">
        <f>'PR 2025'!E64</f>
        <v>1</v>
      </c>
      <c r="K66" s="33" t="str">
        <f>'PR 2025'!F64</f>
        <v>BH</v>
      </c>
      <c r="L66" s="34">
        <f>'PR 2025'!T64</f>
        <v>45699</v>
      </c>
      <c r="M66" s="31" t="str">
        <f>'PR 2025'!AG64</f>
        <v>R</v>
      </c>
      <c r="N66" s="34">
        <f>VLOOKUP(C66,'GRS 2025'!$A$2:$AH$1992,4,FALSE)</f>
        <v>45713</v>
      </c>
      <c r="O66" s="69" t="str">
        <f>'PR 2025'!AJ64</f>
        <v>U/ MENGGANTI YANG RUSAK BAGIAN GD BENANG (HS CODE : 8471.50.90). TIO</v>
      </c>
    </row>
    <row r="67" spans="1:15" x14ac:dyDescent="0.25">
      <c r="A67" s="22" t="str">
        <f t="shared" ref="A67:A74" si="33">F67&amp;H67&amp;E67</f>
        <v>5000012021108006913</v>
      </c>
      <c r="B67" s="22" t="str">
        <f t="shared" ref="B67:B74" si="34">F67&amp;I67&amp;E67</f>
        <v>5000012021797016983</v>
      </c>
      <c r="C67" s="22" t="str">
        <f t="shared" ref="C67:C74" si="35">F67&amp;I67</f>
        <v>500001202179701698</v>
      </c>
      <c r="D67" s="31">
        <v>64</v>
      </c>
      <c r="E67" s="31">
        <f>'PR 2025'!A65</f>
        <v>3</v>
      </c>
      <c r="F67" s="31">
        <f>'PR 2025'!B65</f>
        <v>5000012021</v>
      </c>
      <c r="G67" s="32" t="str">
        <f>'PR 2025'!C65</f>
        <v>KABEL VGA</v>
      </c>
      <c r="H67" s="31">
        <f>'PR 2025'!D65</f>
        <v>10800691</v>
      </c>
      <c r="I67" s="31">
        <f>VLOOKUP(A67,'PO 2025'!$A$2:$Y$1440,21,FALSE)</f>
        <v>79701698</v>
      </c>
      <c r="J67" s="31">
        <f>'PR 2025'!E65</f>
        <v>1</v>
      </c>
      <c r="K67" s="33" t="str">
        <f>'PR 2025'!F65</f>
        <v>BH</v>
      </c>
      <c r="L67" s="34">
        <f>'PR 2025'!T65</f>
        <v>45700</v>
      </c>
      <c r="M67" s="31" t="str">
        <f>'PR 2025'!AG65</f>
        <v>R</v>
      </c>
      <c r="N67" s="34">
        <f>VLOOKUP(C67,'GRS 2025'!$A$2:$AH$1992,4,FALSE)</f>
        <v>45715</v>
      </c>
      <c r="O67" s="69" t="str">
        <f>'PR 2025'!AJ65</f>
        <v>ORDER UKURAN 7 METER, U/ RUANG MEETING DF LJ1 (HS CODE : 8544.20.31). KARISA</v>
      </c>
    </row>
    <row r="68" spans="1:15" x14ac:dyDescent="0.25">
      <c r="A68" s="22" t="str">
        <f t="shared" si="33"/>
        <v>5000016671108007441</v>
      </c>
      <c r="B68" s="22" t="str">
        <f t="shared" si="34"/>
        <v>5000016671797016981</v>
      </c>
      <c r="C68" s="22" t="str">
        <f t="shared" si="35"/>
        <v>500001667179701698</v>
      </c>
      <c r="D68" s="31">
        <v>65</v>
      </c>
      <c r="E68" s="31">
        <f>'PR 2025'!A66</f>
        <v>1</v>
      </c>
      <c r="F68" s="31">
        <f>'PR 2025'!B66</f>
        <v>5000016671</v>
      </c>
      <c r="G68" s="32" t="str">
        <f>'PR 2025'!C66</f>
        <v>ADAPTER MONITOR 19V</v>
      </c>
      <c r="H68" s="31">
        <f>'PR 2025'!D66</f>
        <v>10800744</v>
      </c>
      <c r="I68" s="31">
        <f>VLOOKUP(A68,'PO 2025'!$A$2:$Y$1440,21,FALSE)</f>
        <v>79701698</v>
      </c>
      <c r="J68" s="31">
        <f>'PR 2025'!E66</f>
        <v>1</v>
      </c>
      <c r="K68" s="33" t="str">
        <f>'PR 2025'!F66</f>
        <v>BH</v>
      </c>
      <c r="L68" s="34">
        <f>'PR 2025'!T66</f>
        <v>45701</v>
      </c>
      <c r="M68" s="31" t="str">
        <f>'PR 2025'!AG66</f>
        <v>R</v>
      </c>
      <c r="N68" s="34">
        <f>VLOOKUP(C68,'GRS 2025'!$A$2:$AH$1992,4,FALSE)</f>
        <v>45715</v>
      </c>
      <c r="O68" s="69" t="str">
        <f>'PR 2025'!AJ66</f>
        <v>URGENT : U/ MENGGANTI YANG RUSAK BAGIAN KEUANGAN (HS CODE : 8517.79.10). RICKY</v>
      </c>
    </row>
    <row r="69" spans="1:15" x14ac:dyDescent="0.25">
      <c r="A69" s="22" t="str">
        <f t="shared" si="33"/>
        <v>5000016308108007442</v>
      </c>
      <c r="B69" s="22" t="str">
        <f t="shared" si="34"/>
        <v>5000016308797016962</v>
      </c>
      <c r="C69" s="22" t="str">
        <f t="shared" si="35"/>
        <v>500001630879701696</v>
      </c>
      <c r="D69" s="31">
        <v>66</v>
      </c>
      <c r="E69" s="31">
        <f>'PR 2025'!A67</f>
        <v>2</v>
      </c>
      <c r="F69" s="31">
        <f>'PR 2025'!B67</f>
        <v>5000016308</v>
      </c>
      <c r="G69" s="32" t="str">
        <f>'PR 2025'!C67</f>
        <v>CPU BUILDUP</v>
      </c>
      <c r="H69" s="31">
        <f>'PR 2025'!D67</f>
        <v>10800744</v>
      </c>
      <c r="I69" s="31">
        <f>VLOOKUP(A69,'PO 2025'!$A$2:$Y$1440,21,FALSE)</f>
        <v>79701696</v>
      </c>
      <c r="J69" s="31">
        <f>'PR 2025'!E67</f>
        <v>1</v>
      </c>
      <c r="K69" s="33" t="str">
        <f>'PR 2025'!F67</f>
        <v>UNT</v>
      </c>
      <c r="L69" s="34">
        <f>'PR 2025'!T67</f>
        <v>45702</v>
      </c>
      <c r="M69" s="31" t="str">
        <f>'PR 2025'!AG67</f>
        <v>R</v>
      </c>
      <c r="N69" s="34">
        <f>VLOOKUP(C69,'GRS 2025'!$A$2:$AH$1992,4,FALSE)</f>
        <v>45713</v>
      </c>
      <c r="O69" s="69" t="str">
        <f>'PR 2025'!AJ67</f>
        <v>U/ BAGIAN GUDANG BENANG (HS CODE : 8479.89.50). SALIK</v>
      </c>
    </row>
    <row r="70" spans="1:15" x14ac:dyDescent="0.25">
      <c r="A70" s="22" t="str">
        <f t="shared" si="33"/>
        <v>5000017258108007443</v>
      </c>
      <c r="B70" s="22" t="str">
        <f t="shared" si="34"/>
        <v>5000017258797016953</v>
      </c>
      <c r="C70" s="22" t="str">
        <f t="shared" si="35"/>
        <v>500001725879701695</v>
      </c>
      <c r="D70" s="31">
        <v>67</v>
      </c>
      <c r="E70" s="31">
        <f>'PR 2025'!A68</f>
        <v>3</v>
      </c>
      <c r="F70" s="31">
        <f>'PR 2025'!B68</f>
        <v>5000017258</v>
      </c>
      <c r="G70" s="32" t="str">
        <f>'PR 2025'!C68</f>
        <v>SWITCH D-LINK 24 PORT</v>
      </c>
      <c r="H70" s="31">
        <f>'PR 2025'!D68</f>
        <v>10800744</v>
      </c>
      <c r="I70" s="31">
        <f>VLOOKUP(A70,'PO 2025'!$A$2:$Y$1440,21,FALSE)</f>
        <v>79701695</v>
      </c>
      <c r="J70" s="31">
        <f>'PR 2025'!E68</f>
        <v>1</v>
      </c>
      <c r="K70" s="33" t="str">
        <f>'PR 2025'!F68</f>
        <v>UNT</v>
      </c>
      <c r="L70" s="34">
        <f>'PR 2025'!T68</f>
        <v>45702</v>
      </c>
      <c r="M70" s="31" t="str">
        <f>'PR 2025'!AG68</f>
        <v>R</v>
      </c>
      <c r="N70" s="34">
        <f>VLOOKUP(C70,'GRS 2025'!$A$2:$AH$1992,4,FALSE)</f>
        <v>45712</v>
      </c>
      <c r="O70" s="69" t="str">
        <f>'PR 2025'!AJ68</f>
        <v>U/ PROJECT RUANG BARU MARKETING (HS CODE : 8517.79.10). ERDI</v>
      </c>
    </row>
    <row r="71" spans="1:15" x14ac:dyDescent="0.25">
      <c r="A71" s="22" t="str">
        <f t="shared" si="33"/>
        <v>5000000739108007447</v>
      </c>
      <c r="B71" s="22" t="str">
        <f t="shared" si="34"/>
        <v>5000000739797016987</v>
      </c>
      <c r="C71" s="22" t="str">
        <f t="shared" si="35"/>
        <v>500000073979701698</v>
      </c>
      <c r="D71" s="31">
        <v>68</v>
      </c>
      <c r="E71" s="31">
        <f>'PR 2025'!A69</f>
        <v>7</v>
      </c>
      <c r="F71" s="31">
        <f>'PR 2025'!B69</f>
        <v>5000000739</v>
      </c>
      <c r="G71" s="32" t="str">
        <f>'PR 2025'!C69</f>
        <v>KABEL UTP BELDEN</v>
      </c>
      <c r="H71" s="31">
        <f>'PR 2025'!D69</f>
        <v>10800744</v>
      </c>
      <c r="I71" s="31">
        <f>VLOOKUP(A71,'PO 2025'!$A$2:$Y$1440,21,FALSE)</f>
        <v>79701698</v>
      </c>
      <c r="J71" s="31">
        <f>'PR 2025'!E69</f>
        <v>1</v>
      </c>
      <c r="K71" s="33" t="str">
        <f>'PR 2025'!F69</f>
        <v>ROL</v>
      </c>
      <c r="L71" s="34">
        <f>'PR 2025'!T69</f>
        <v>45702</v>
      </c>
      <c r="M71" s="31" t="str">
        <f>'PR 2025'!AG69</f>
        <v>R</v>
      </c>
      <c r="N71" s="34">
        <f>VLOOKUP(C71,'GRS 2025'!$A$2:$AH$1992,4,FALSE)</f>
        <v>45715</v>
      </c>
      <c r="O71" s="69" t="str">
        <f>'PR 2025'!AJ69</f>
        <v>U/ GUDANG BARU DI PERSIAPAN LJ3 (HS CODE : 8517.14.00). ERDI</v>
      </c>
    </row>
    <row r="72" spans="1:15" x14ac:dyDescent="0.25">
      <c r="A72" s="22" t="str">
        <f t="shared" si="33"/>
        <v>5000013640108007445</v>
      </c>
      <c r="B72" s="22" t="str">
        <f t="shared" si="34"/>
        <v>5000013640797016985</v>
      </c>
      <c r="C72" s="22" t="str">
        <f t="shared" si="35"/>
        <v>500001364079701698</v>
      </c>
      <c r="D72" s="31">
        <v>69</v>
      </c>
      <c r="E72" s="31">
        <f>'PR 2025'!A70</f>
        <v>5</v>
      </c>
      <c r="F72" s="31">
        <f>'PR 2025'!B70</f>
        <v>5000013640</v>
      </c>
      <c r="G72" s="32" t="str">
        <f>'PR 2025'!C70</f>
        <v>CONNECTOR TELEPHONE</v>
      </c>
      <c r="H72" s="31">
        <f>'PR 2025'!D70</f>
        <v>10800744</v>
      </c>
      <c r="I72" s="31">
        <f>VLOOKUP(A72,'PO 2025'!$A$2:$Y$1440,21,FALSE)</f>
        <v>79701698</v>
      </c>
      <c r="J72" s="31">
        <f>'PR 2025'!E70</f>
        <v>10</v>
      </c>
      <c r="K72" s="33" t="str">
        <f>'PR 2025'!F70</f>
        <v>BH</v>
      </c>
      <c r="L72" s="34">
        <f>'PR 2025'!T70</f>
        <v>45702</v>
      </c>
      <c r="M72" s="31" t="str">
        <f>'PR 2025'!AG70</f>
        <v>R</v>
      </c>
      <c r="N72" s="34">
        <f>VLOOKUP(C72,'GRS 2025'!$A$2:$AH$1992,4,FALSE)</f>
        <v>45715</v>
      </c>
      <c r="O72" s="69" t="str">
        <f>'PR 2025'!AJ70</f>
        <v>U/ PROJECT RUANG BARU MARKETING (HS CODE : 8518.40.20). ERDI</v>
      </c>
    </row>
    <row r="73" spans="1:15" x14ac:dyDescent="0.25">
      <c r="A73" s="22" t="str">
        <f t="shared" si="33"/>
        <v>5000016248108007446</v>
      </c>
      <c r="B73" s="22" t="str">
        <f t="shared" si="34"/>
        <v>5000016248797016986</v>
      </c>
      <c r="C73" s="22" t="str">
        <f t="shared" si="35"/>
        <v>500001624879701698</v>
      </c>
      <c r="D73" s="31">
        <v>70</v>
      </c>
      <c r="E73" s="31">
        <f>'PR 2025'!A71</f>
        <v>6</v>
      </c>
      <c r="F73" s="31">
        <f>'PR 2025'!B71</f>
        <v>5000016248</v>
      </c>
      <c r="G73" s="32" t="str">
        <f>'PR 2025'!C71</f>
        <v>RACK 4U WALLMOUNT</v>
      </c>
      <c r="H73" s="31">
        <f>'PR 2025'!D71</f>
        <v>10800744</v>
      </c>
      <c r="I73" s="31">
        <f>VLOOKUP(A73,'PO 2025'!$A$2:$Y$1440,21,FALSE)</f>
        <v>79701698</v>
      </c>
      <c r="J73" s="31">
        <f>'PR 2025'!E71</f>
        <v>1</v>
      </c>
      <c r="K73" s="33" t="str">
        <f>'PR 2025'!F71</f>
        <v>UNT</v>
      </c>
      <c r="L73" s="34">
        <f>'PR 2025'!T71</f>
        <v>45702</v>
      </c>
      <c r="M73" s="31" t="str">
        <f>'PR 2025'!AG71</f>
        <v>R</v>
      </c>
      <c r="N73" s="34">
        <f>VLOOKUP(C73,'GRS 2025'!$A$2:$AH$1992,4,FALSE)</f>
        <v>45715</v>
      </c>
      <c r="O73" s="69" t="str">
        <f>'PR 2025'!AJ71</f>
        <v>U/ PROJECT RUANG BARU MARKETING (HS CODE : 8304.00.99). ERDI</v>
      </c>
    </row>
    <row r="74" spans="1:15" x14ac:dyDescent="0.25">
      <c r="A74" s="22" t="str">
        <f t="shared" si="33"/>
        <v>5000016779108007444</v>
      </c>
      <c r="B74" s="22" t="str">
        <f t="shared" si="34"/>
        <v>5000016779797016954</v>
      </c>
      <c r="C74" s="22" t="str">
        <f t="shared" si="35"/>
        <v>500001677979701695</v>
      </c>
      <c r="D74" s="31">
        <v>71</v>
      </c>
      <c r="E74" s="31">
        <f>'PR 2025'!A72</f>
        <v>4</v>
      </c>
      <c r="F74" s="31">
        <f>'PR 2025'!B72</f>
        <v>5000016779</v>
      </c>
      <c r="G74" s="32" t="str">
        <f>'PR 2025'!C72</f>
        <v>SWITCH D-LINK 16 PORT</v>
      </c>
      <c r="H74" s="31">
        <f>'PR 2025'!D72</f>
        <v>10800744</v>
      </c>
      <c r="I74" s="31">
        <f>VLOOKUP(A74,'PO 2025'!$A$2:$Y$1440,21,FALSE)</f>
        <v>79701695</v>
      </c>
      <c r="J74" s="31">
        <f>'PR 2025'!E72</f>
        <v>2</v>
      </c>
      <c r="K74" s="33" t="str">
        <f>'PR 2025'!F72</f>
        <v>UNT</v>
      </c>
      <c r="L74" s="34">
        <f>'PR 2025'!T72</f>
        <v>45702</v>
      </c>
      <c r="M74" s="31" t="str">
        <f>'PR 2025'!AG72</f>
        <v>R</v>
      </c>
      <c r="N74" s="34">
        <f>VLOOKUP(C74,'GRS 2025'!$A$2:$AH$1992,4,FALSE)</f>
        <v>45712</v>
      </c>
      <c r="O74" s="69" t="str">
        <f>'PR 2025'!AJ72</f>
        <v>U/ PROJECT RUANG BARU MARKETING &amp; KOMPRESOR LJ3 (HS CODE : 8517.79.10). ERDI &amp; TIO</v>
      </c>
    </row>
    <row r="75" spans="1:15" x14ac:dyDescent="0.25">
      <c r="A75" s="22" t="str">
        <f t="shared" ref="A75:A82" si="36">F75&amp;H75&amp;E75</f>
        <v>5000016930108008191</v>
      </c>
      <c r="B75" s="22" t="str">
        <f t="shared" ref="B75:B82" si="37">F75&amp;I75&amp;E75</f>
        <v>5000016930797027591</v>
      </c>
      <c r="C75" s="22" t="str">
        <f t="shared" ref="C75:C82" si="38">F75&amp;I75</f>
        <v>500001693079702759</v>
      </c>
      <c r="D75" s="31">
        <v>72</v>
      </c>
      <c r="E75" s="31">
        <f>'PR 2025'!A73</f>
        <v>1</v>
      </c>
      <c r="F75" s="31">
        <f>'PR 2025'!B73</f>
        <v>5000016930</v>
      </c>
      <c r="G75" s="32" t="str">
        <f>'PR 2025'!C73</f>
        <v>PRINT SERVER</v>
      </c>
      <c r="H75" s="31">
        <f>'PR 2025'!D73</f>
        <v>10800819</v>
      </c>
      <c r="I75" s="31">
        <f>VLOOKUP(A75,'PO 2025'!$A$2:$Y$1440,21,FALSE)</f>
        <v>79702759</v>
      </c>
      <c r="J75" s="31">
        <f>'PR 2025'!E73</f>
        <v>1</v>
      </c>
      <c r="K75" s="33" t="str">
        <f>'PR 2025'!F73</f>
        <v>BH</v>
      </c>
      <c r="L75" s="34">
        <f>'PR 2025'!T73</f>
        <v>45705</v>
      </c>
      <c r="M75" s="31" t="str">
        <f>'PR 2025'!AG73</f>
        <v>R</v>
      </c>
      <c r="N75" s="34">
        <f>VLOOKUP(C75,'GRS 2025'!$A$2:$AH$1992,4,FALSE)</f>
        <v>45737</v>
      </c>
      <c r="O75" s="69" t="str">
        <f>'PR 2025'!AJ73</f>
        <v>U/ MENGGANTI YANG RUSAK BAGIAN IT (HS CODE : 8517.79.10). MERIS</v>
      </c>
    </row>
    <row r="76" spans="1:15" x14ac:dyDescent="0.25">
      <c r="A76" s="22" t="str">
        <f t="shared" si="36"/>
        <v>5000015000108008301</v>
      </c>
      <c r="B76" s="22" t="str">
        <f t="shared" si="37"/>
        <v>5000015000797019641</v>
      </c>
      <c r="C76" s="22" t="str">
        <f t="shared" si="38"/>
        <v>500001500079701964</v>
      </c>
      <c r="D76" s="31">
        <v>73</v>
      </c>
      <c r="E76" s="31">
        <f>'PR 2025'!A74</f>
        <v>1</v>
      </c>
      <c r="F76" s="31">
        <f>'PR 2025'!B74</f>
        <v>5000015000</v>
      </c>
      <c r="G76" s="32" t="str">
        <f>'PR 2025'!C74</f>
        <v>POE INJECTOR</v>
      </c>
      <c r="H76" s="31">
        <f>'PR 2025'!D74</f>
        <v>10800830</v>
      </c>
      <c r="I76" s="31">
        <f>VLOOKUP(A76,'PO 2025'!$A$2:$Y$1440,21,FALSE)</f>
        <v>79701964</v>
      </c>
      <c r="J76" s="31">
        <f>'PR 2025'!E74</f>
        <v>3</v>
      </c>
      <c r="K76" s="33" t="str">
        <f>'PR 2025'!F74</f>
        <v>UNT</v>
      </c>
      <c r="L76" s="34">
        <f>'PR 2025'!T74</f>
        <v>45706</v>
      </c>
      <c r="M76" s="31" t="str">
        <f>'PR 2025'!AG74</f>
        <v>R</v>
      </c>
      <c r="N76" s="34">
        <f>VLOOKUP(C76,'GRS 2025'!$A$2:$AH$1992,4,FALSE)</f>
        <v>45721</v>
      </c>
      <c r="O76" s="69" t="str">
        <f>'PR 2025'!AJ74</f>
        <v>U/ AREA GD GREY, BONGKAR MUAT LJ3 DAN IPAL (HS CODE : 8517.79.10). ERDI</v>
      </c>
    </row>
    <row r="77" spans="1:15" x14ac:dyDescent="0.25">
      <c r="A77" s="22" t="str">
        <f t="shared" si="36"/>
        <v>5000017258108008302</v>
      </c>
      <c r="B77" s="22" t="str">
        <f t="shared" si="37"/>
        <v>5000017258797019662</v>
      </c>
      <c r="C77" s="22" t="str">
        <f t="shared" si="38"/>
        <v>500001725879701966</v>
      </c>
      <c r="D77" s="31">
        <v>74</v>
      </c>
      <c r="E77" s="31">
        <f>'PR 2025'!A75</f>
        <v>2</v>
      </c>
      <c r="F77" s="31">
        <f>'PR 2025'!B75</f>
        <v>5000017258</v>
      </c>
      <c r="G77" s="32" t="str">
        <f>'PR 2025'!C75</f>
        <v>SWITCH D-LINK 24 PORT</v>
      </c>
      <c r="H77" s="31">
        <f>'PR 2025'!D75</f>
        <v>10800830</v>
      </c>
      <c r="I77" s="31">
        <f>VLOOKUP(A77,'PO 2025'!$A$2:$Y$1440,21,FALSE)</f>
        <v>79701966</v>
      </c>
      <c r="J77" s="31">
        <f>'PR 2025'!E75</f>
        <v>1</v>
      </c>
      <c r="K77" s="33" t="str">
        <f>'PR 2025'!F75</f>
        <v>UNT</v>
      </c>
      <c r="L77" s="34">
        <f>'PR 2025'!T75</f>
        <v>45706</v>
      </c>
      <c r="M77" s="31" t="str">
        <f>'PR 2025'!AG75</f>
        <v>R</v>
      </c>
      <c r="N77" s="34">
        <f>VLOOKUP(C77,'GRS 2025'!$A$2:$AH$1992,4,FALSE)</f>
        <v>45720</v>
      </c>
      <c r="O77" s="69" t="str">
        <f>'PR 2025'!AJ75</f>
        <v>U/ MENGGANTI YG RUSAK DI AREA GEDUNG SUPPORTING LANTAI 2 (HS CODE : 8517.79.10). ERDI</v>
      </c>
    </row>
    <row r="78" spans="1:15" x14ac:dyDescent="0.25">
      <c r="A78" s="22" t="str">
        <f t="shared" si="36"/>
        <v>5000008843108008303</v>
      </c>
      <c r="B78" s="22" t="str">
        <f t="shared" si="37"/>
        <v>5000008843797019663</v>
      </c>
      <c r="C78" s="22" t="str">
        <f t="shared" si="38"/>
        <v>500000884379701966</v>
      </c>
      <c r="D78" s="31">
        <v>75</v>
      </c>
      <c r="E78" s="31">
        <f>'PR 2025'!A76</f>
        <v>3</v>
      </c>
      <c r="F78" s="31">
        <f>'PR 2025'!B76</f>
        <v>5000008843</v>
      </c>
      <c r="G78" s="32" t="str">
        <f>'PR 2025'!C76</f>
        <v>MONITOR LCD 19 INCH</v>
      </c>
      <c r="H78" s="31">
        <f>'PR 2025'!D76</f>
        <v>10800830</v>
      </c>
      <c r="I78" s="31">
        <f>VLOOKUP(A78,'PO 2025'!$A$2:$Y$1440,21,FALSE)</f>
        <v>79701966</v>
      </c>
      <c r="J78" s="31">
        <f>'PR 2025'!E76</f>
        <v>1</v>
      </c>
      <c r="K78" s="33" t="str">
        <f>'PR 2025'!F76</f>
        <v>UNT</v>
      </c>
      <c r="L78" s="34">
        <f>'PR 2025'!T76</f>
        <v>45706</v>
      </c>
      <c r="M78" s="31" t="str">
        <f>'PR 2025'!AG76</f>
        <v>R</v>
      </c>
      <c r="N78" s="34">
        <f>VLOOKUP(C78,'GRS 2025'!$A$2:$AH$1992,4,FALSE)</f>
        <v>45720</v>
      </c>
      <c r="O78" s="69" t="str">
        <f>'PR 2025'!AJ76</f>
        <v>U/ BAGIAN GD BENANG (PENDATAAN STOCK BENANG DI GUDANG BARU) (HS CODE : 8528.52.00). SALIK</v>
      </c>
    </row>
    <row r="79" spans="1:15" x14ac:dyDescent="0.25">
      <c r="A79" s="22" t="str">
        <f t="shared" si="36"/>
        <v>5000016308108008304</v>
      </c>
      <c r="B79" s="22" t="str">
        <f t="shared" si="37"/>
        <v>5000016308797019474</v>
      </c>
      <c r="C79" s="22" t="str">
        <f t="shared" si="38"/>
        <v>500001630879701947</v>
      </c>
      <c r="D79" s="31">
        <v>76</v>
      </c>
      <c r="E79" s="31">
        <f>'PR 2025'!A77</f>
        <v>4</v>
      </c>
      <c r="F79" s="31">
        <f>'PR 2025'!B77</f>
        <v>5000016308</v>
      </c>
      <c r="G79" s="32" t="str">
        <f>'PR 2025'!C77</f>
        <v>CPU BUILDUP</v>
      </c>
      <c r="H79" s="31">
        <f>'PR 2025'!D77</f>
        <v>10800830</v>
      </c>
      <c r="I79" s="31">
        <f>VLOOKUP(A79,'PO 2025'!$A$2:$Y$1440,21,FALSE)</f>
        <v>79701947</v>
      </c>
      <c r="J79" s="31">
        <f>'PR 2025'!E77</f>
        <v>1</v>
      </c>
      <c r="K79" s="33" t="str">
        <f>'PR 2025'!F77</f>
        <v>UNT</v>
      </c>
      <c r="L79" s="34">
        <f>'PR 2025'!T77</f>
        <v>45706</v>
      </c>
      <c r="M79" s="31" t="str">
        <f>'PR 2025'!AG77</f>
        <v>R</v>
      </c>
      <c r="N79" s="34">
        <f>VLOOKUP(C79,'GRS 2025'!$A$2:$AH$1992,4,FALSE)</f>
        <v>45720</v>
      </c>
      <c r="O79" s="69" t="str">
        <f>'PR 2025'!AJ77</f>
        <v>U/ BAGIAN GD BENANG (PENDATAAN STOCK BENANG DI GUDANG BARU) (HS CODE : 8479.89.50). SALIK</v>
      </c>
    </row>
    <row r="80" spans="1:15" x14ac:dyDescent="0.25">
      <c r="A80" s="22" t="str">
        <f t="shared" si="36"/>
        <v>5000005059108008305</v>
      </c>
      <c r="B80" s="22" t="str">
        <f t="shared" si="37"/>
        <v>5000005059797019115</v>
      </c>
      <c r="C80" s="22" t="str">
        <f t="shared" si="38"/>
        <v>500000505979701911</v>
      </c>
      <c r="D80" s="31">
        <v>77</v>
      </c>
      <c r="E80" s="31">
        <f>'PR 2025'!A78</f>
        <v>5</v>
      </c>
      <c r="F80" s="31">
        <f>'PR 2025'!B78</f>
        <v>5000005059</v>
      </c>
      <c r="G80" s="32" t="str">
        <f>'PR 2025'!C78</f>
        <v>KEYBOARD USB</v>
      </c>
      <c r="H80" s="31">
        <f>'PR 2025'!D78</f>
        <v>10800830</v>
      </c>
      <c r="I80" s="31">
        <f>VLOOKUP(A80,'PO 2025'!$A$2:$Y$1440,21,FALSE)</f>
        <v>79701911</v>
      </c>
      <c r="J80" s="31">
        <f>'PR 2025'!E78</f>
        <v>1</v>
      </c>
      <c r="K80" s="33" t="str">
        <f>'PR 2025'!F78</f>
        <v>BH</v>
      </c>
      <c r="L80" s="34">
        <f>'PR 2025'!T78</f>
        <v>45706</v>
      </c>
      <c r="M80" s="31" t="str">
        <f>'PR 2025'!AG78</f>
        <v>R</v>
      </c>
      <c r="N80" s="34">
        <f>VLOOKUP(C80,'GRS 2025'!$A$2:$AH$1992,4,FALSE)</f>
        <v>45728</v>
      </c>
      <c r="O80" s="69" t="str">
        <f>'PR 2025'!AJ78</f>
        <v>U/ BAGIAN GD BENANG (PENDATAAN STOCK BENANG DI GUDANG BARU) (HS CODE : 8471.60.30). SALIK</v>
      </c>
    </row>
    <row r="81" spans="1:15" x14ac:dyDescent="0.25">
      <c r="A81" s="22" t="str">
        <f t="shared" si="36"/>
        <v>5000004248108008306</v>
      </c>
      <c r="B81" s="22" t="str">
        <f t="shared" si="37"/>
        <v>5000004248797019116</v>
      </c>
      <c r="C81" s="22" t="str">
        <f t="shared" si="38"/>
        <v>500000424879701911</v>
      </c>
      <c r="D81" s="31">
        <v>78</v>
      </c>
      <c r="E81" s="31">
        <f>'PR 2025'!A79</f>
        <v>6</v>
      </c>
      <c r="F81" s="31">
        <f>'PR 2025'!B79</f>
        <v>5000004248</v>
      </c>
      <c r="G81" s="32" t="str">
        <f>'PR 2025'!C79</f>
        <v>MOUSE USB</v>
      </c>
      <c r="H81" s="31">
        <f>'PR 2025'!D79</f>
        <v>10800830</v>
      </c>
      <c r="I81" s="31">
        <f>VLOOKUP(A81,'PO 2025'!$A$2:$Y$1440,21,FALSE)</f>
        <v>79701911</v>
      </c>
      <c r="J81" s="31">
        <f>'PR 2025'!E79</f>
        <v>1</v>
      </c>
      <c r="K81" s="33" t="str">
        <f>'PR 2025'!F79</f>
        <v>BH</v>
      </c>
      <c r="L81" s="34">
        <f>'PR 2025'!T79</f>
        <v>45706</v>
      </c>
      <c r="M81" s="31" t="str">
        <f>'PR 2025'!AG79</f>
        <v>R</v>
      </c>
      <c r="N81" s="34">
        <f>VLOOKUP(C81,'GRS 2025'!$A$2:$AH$1992,4,FALSE)</f>
        <v>45728</v>
      </c>
      <c r="O81" s="69" t="str">
        <f>'PR 2025'!AJ79</f>
        <v>U/ BAGIAN GD BENANG (PENDATAAN STOCK BENANG DI GUDANG BARU) (HS CODE : 8471.60.40). SALIK</v>
      </c>
    </row>
    <row r="82" spans="1:15" x14ac:dyDescent="0.25">
      <c r="A82" s="22" t="str">
        <f t="shared" si="36"/>
        <v>5000012021108008307</v>
      </c>
      <c r="B82" s="22" t="str">
        <f t="shared" si="37"/>
        <v>5000012021797019117</v>
      </c>
      <c r="C82" s="22" t="str">
        <f t="shared" si="38"/>
        <v>500001202179701911</v>
      </c>
      <c r="D82" s="31">
        <v>79</v>
      </c>
      <c r="E82" s="31">
        <f>'PR 2025'!A80</f>
        <v>7</v>
      </c>
      <c r="F82" s="31">
        <f>'PR 2025'!B80</f>
        <v>5000012021</v>
      </c>
      <c r="G82" s="32" t="str">
        <f>'PR 2025'!C80</f>
        <v>KABEL VGA</v>
      </c>
      <c r="H82" s="31">
        <f>'PR 2025'!D80</f>
        <v>10800830</v>
      </c>
      <c r="I82" s="31">
        <f>VLOOKUP(A82,'PO 2025'!$A$2:$Y$1440,21,FALSE)</f>
        <v>79701911</v>
      </c>
      <c r="J82" s="31">
        <f>'PR 2025'!E80</f>
        <v>1</v>
      </c>
      <c r="K82" s="33" t="str">
        <f>'PR 2025'!F80</f>
        <v>BH</v>
      </c>
      <c r="L82" s="34">
        <f>'PR 2025'!T80</f>
        <v>45706</v>
      </c>
      <c r="M82" s="31" t="str">
        <f>'PR 2025'!AG80</f>
        <v>R</v>
      </c>
      <c r="N82" s="34">
        <f>VLOOKUP(C82,'GRS 2025'!$A$2:$AH$1992,4,FALSE)</f>
        <v>45728</v>
      </c>
      <c r="O82" s="69" t="str">
        <f>'PR 2025'!AJ80</f>
        <v>U/ BAGIAN GD BENANG (PENDATAAN STOCK BENANG DI GUDANG BARU) (HS CODE : 8544.20.31). SALIK</v>
      </c>
    </row>
    <row r="83" spans="1:15" x14ac:dyDescent="0.25">
      <c r="A83" s="22" t="str">
        <f t="shared" ref="A83:A89" si="39">F83&amp;H83&amp;E83</f>
        <v>5000015916108008801</v>
      </c>
      <c r="B83" s="22" t="str">
        <f t="shared" ref="B83:B89" si="40">F83&amp;I83&amp;E83</f>
        <v>5000015916797019111</v>
      </c>
      <c r="C83" s="22" t="str">
        <f t="shared" ref="C83:C89" si="41">F83&amp;I83</f>
        <v>500001591679701911</v>
      </c>
      <c r="D83" s="31">
        <v>80</v>
      </c>
      <c r="E83" s="31">
        <f>'PR 2025'!A81</f>
        <v>1</v>
      </c>
      <c r="F83" s="31">
        <f>'PR 2025'!B81</f>
        <v>5000015916</v>
      </c>
      <c r="G83" s="32" t="str">
        <f>'PR 2025'!C81</f>
        <v>RAM DDR3 4GB</v>
      </c>
      <c r="H83" s="31">
        <f>'PR 2025'!D81</f>
        <v>10800880</v>
      </c>
      <c r="I83" s="31">
        <f>VLOOKUP(A83,'PO 2025'!$A$2:$Y$1440,21,FALSE)</f>
        <v>79701911</v>
      </c>
      <c r="J83" s="31">
        <f>'PR 2025'!E81</f>
        <v>1</v>
      </c>
      <c r="K83" s="33" t="str">
        <f>'PR 2025'!F81</f>
        <v>BH</v>
      </c>
      <c r="L83" s="34">
        <f>'PR 2025'!T81</f>
        <v>45708</v>
      </c>
      <c r="M83" s="31" t="str">
        <f>'PR 2025'!AG81</f>
        <v>R</v>
      </c>
      <c r="N83" s="34">
        <f>VLOOKUP(C83,'GRS 2025'!$A$2:$AH$1992,4,FALSE)</f>
        <v>45728</v>
      </c>
      <c r="O83" s="69" t="str">
        <f>'PR 2025'!AJ81</f>
        <v>U/ BAGIAN MTC. PROCESSING LJ1 (HS CODE : 8471.50.90). RICKY</v>
      </c>
    </row>
    <row r="84" spans="1:15" x14ac:dyDescent="0.25">
      <c r="A84" s="22" t="str">
        <f t="shared" si="39"/>
        <v>5000005340108008802</v>
      </c>
      <c r="B84" s="22" t="str">
        <f t="shared" si="40"/>
        <v>5000005340797019112</v>
      </c>
      <c r="C84" s="22" t="str">
        <f t="shared" si="41"/>
        <v>500000534079701911</v>
      </c>
      <c r="D84" s="31">
        <v>81</v>
      </c>
      <c r="E84" s="31">
        <f>'PR 2025'!A82</f>
        <v>2</v>
      </c>
      <c r="F84" s="31">
        <f>'PR 2025'!B82</f>
        <v>5000005340</v>
      </c>
      <c r="G84" s="32" t="str">
        <f>'PR 2025'!C82</f>
        <v>POWER SUPLY ATX 450 WATT</v>
      </c>
      <c r="H84" s="31">
        <f>'PR 2025'!D82</f>
        <v>10800880</v>
      </c>
      <c r="I84" s="31">
        <f>VLOOKUP(A84,'PO 2025'!$A$2:$Y$1440,21,FALSE)</f>
        <v>79701911</v>
      </c>
      <c r="J84" s="31">
        <f>'PR 2025'!E82</f>
        <v>1</v>
      </c>
      <c r="K84" s="33" t="str">
        <f>'PR 2025'!F82</f>
        <v>UNT</v>
      </c>
      <c r="L84" s="34">
        <f>'PR 2025'!T82</f>
        <v>45708</v>
      </c>
      <c r="M84" s="31" t="str">
        <f>'PR 2025'!AG82</f>
        <v>R</v>
      </c>
      <c r="N84" s="34">
        <f>VLOOKUP(C84,'GRS 2025'!$A$2:$AH$1992,4,FALSE)</f>
        <v>45728</v>
      </c>
      <c r="O84" s="69" t="str">
        <f>'PR 2025'!AJ82</f>
        <v>U/ MENGGANTI YG RUSAK BAGIAN DF LJ1 (HS CODE : 8414.59.10). RICKY</v>
      </c>
    </row>
    <row r="85" spans="1:15" s="47" customFormat="1" x14ac:dyDescent="0.25">
      <c r="A85" s="46" t="str">
        <f t="shared" si="39"/>
        <v>5000014237108008803</v>
      </c>
      <c r="B85" s="46" t="str">
        <f t="shared" si="40"/>
        <v>5000014237797020903</v>
      </c>
      <c r="C85" s="46" t="str">
        <f t="shared" si="41"/>
        <v>500001423779702090</v>
      </c>
      <c r="D85" s="48">
        <v>82</v>
      </c>
      <c r="E85" s="48">
        <f>'PR 2025'!A83</f>
        <v>3</v>
      </c>
      <c r="F85" s="48">
        <f>'PR 2025'!B83</f>
        <v>5000014237</v>
      </c>
      <c r="G85" s="49" t="str">
        <f>'PR 2025'!C83</f>
        <v>CONVERTER VGA TO HDMI</v>
      </c>
      <c r="H85" s="48">
        <f>'PR 2025'!D83</f>
        <v>10800880</v>
      </c>
      <c r="I85" s="48">
        <f>VLOOKUP(A85,'PO 2025'!$A$2:$Y$1440,21,FALSE)</f>
        <v>79702090</v>
      </c>
      <c r="J85" s="48">
        <f>'PR 2025'!E83</f>
        <v>2</v>
      </c>
      <c r="K85" s="50" t="str">
        <f>'PR 2025'!F83</f>
        <v>PCS</v>
      </c>
      <c r="L85" s="51">
        <f>'PR 2025'!T83</f>
        <v>45708</v>
      </c>
      <c r="M85" s="48" t="str">
        <f>'PR 2025'!AG83</f>
        <v>R</v>
      </c>
      <c r="N85" s="51">
        <f>VLOOKUP(C85,'GRS 2025'!$A$2:$AH$1992,4,FALSE)</f>
        <v>45722</v>
      </c>
      <c r="O85" s="71" t="str">
        <f>'PR 2025'!AJ83</f>
        <v>U/ ASST. MGR. PRODUKSI (BPK DEDE &amp; NOFRIZAL), (HS CODE : 8544.20.31). RICKY</v>
      </c>
    </row>
    <row r="86" spans="1:15" ht="30" x14ac:dyDescent="0.25">
      <c r="A86" s="22" t="str">
        <f t="shared" si="39"/>
        <v>5000005059108008804</v>
      </c>
      <c r="B86" s="22" t="str">
        <f t="shared" si="40"/>
        <v>5000005059797019114</v>
      </c>
      <c r="C86" s="22" t="str">
        <f t="shared" si="41"/>
        <v>500000505979701911</v>
      </c>
      <c r="D86" s="31">
        <v>83</v>
      </c>
      <c r="E86" s="31">
        <f>'PR 2025'!A84</f>
        <v>4</v>
      </c>
      <c r="F86" s="31">
        <f>'PR 2025'!B84</f>
        <v>5000005059</v>
      </c>
      <c r="G86" s="32" t="str">
        <f>'PR 2025'!C84</f>
        <v>KEYBOARD USB</v>
      </c>
      <c r="H86" s="31">
        <f>'PR 2025'!D84</f>
        <v>10800880</v>
      </c>
      <c r="I86" s="31">
        <f>VLOOKUP(A86,'PO 2025'!$A$2:$Y$1440,21,FALSE)</f>
        <v>79701911</v>
      </c>
      <c r="J86" s="31">
        <f>'PR 2025'!E84</f>
        <v>10</v>
      </c>
      <c r="K86" s="33" t="str">
        <f>'PR 2025'!F84</f>
        <v>BH</v>
      </c>
      <c r="L86" s="34">
        <f>'PR 2025'!T84</f>
        <v>45708</v>
      </c>
      <c r="M86" s="31" t="str">
        <f>'PR 2025'!AG84</f>
        <v>R</v>
      </c>
      <c r="N86" s="34">
        <f>VLOOKUP(C86,'GRS 2025'!$A$2:$AH$1992,4,FALSE)</f>
        <v>45728</v>
      </c>
      <c r="O86" s="69" t="str">
        <f>'PR 2025'!AJ84</f>
        <v>U/ MENGGANTI YG RUSAK BAGIAN PERSIAPAN LUCKYTEX, QA (2), RND, PROCCESSING DF (2), GUDANG GREY,GUDANG BENANG, MTC WEAVING DAN PPC GREY (HS CODE : 8471.60.30). ALI</v>
      </c>
    </row>
    <row r="87" spans="1:15" x14ac:dyDescent="0.25">
      <c r="A87" s="22" t="str">
        <f t="shared" si="39"/>
        <v>5000017677108009091</v>
      </c>
      <c r="B87" s="22" t="str">
        <f t="shared" si="40"/>
        <v>5000017677797022811</v>
      </c>
      <c r="C87" s="22" t="str">
        <f t="shared" si="41"/>
        <v>500001767779702281</v>
      </c>
      <c r="D87" s="31">
        <v>84</v>
      </c>
      <c r="E87" s="31">
        <f>'PR 2025'!A85</f>
        <v>1</v>
      </c>
      <c r="F87" s="31">
        <f>'PR 2025'!B85</f>
        <v>5000017677</v>
      </c>
      <c r="G87" s="32" t="str">
        <f>'PR 2025'!C85</f>
        <v>HTB 1100S</v>
      </c>
      <c r="H87" s="31">
        <f>'PR 2025'!D85</f>
        <v>10800909</v>
      </c>
      <c r="I87" s="31">
        <f>VLOOKUP(A87,'PO 2025'!$A$2:$Y$1440,21,FALSE)</f>
        <v>79702281</v>
      </c>
      <c r="J87" s="31">
        <f>'PR 2025'!E85</f>
        <v>3</v>
      </c>
      <c r="K87" s="33" t="str">
        <f>'PR 2025'!F85</f>
        <v>SET</v>
      </c>
      <c r="L87" s="34">
        <f>'PR 2025'!T85</f>
        <v>45710</v>
      </c>
      <c r="M87" s="31" t="str">
        <f>'PR 2025'!AG85</f>
        <v>R</v>
      </c>
      <c r="N87" s="34">
        <f>VLOOKUP(C87,'GRS 2025'!$A$2:$AH$1992,4,FALSE)</f>
        <v>45727</v>
      </c>
      <c r="O87" s="69" t="str">
        <f>'PR 2025'!AJ85</f>
        <v>U/ AREA IPAL (HS CODE : 8454.10.00). TIO</v>
      </c>
    </row>
    <row r="88" spans="1:15" x14ac:dyDescent="0.25">
      <c r="A88" s="22" t="str">
        <f t="shared" si="39"/>
        <v>5000016779108009092</v>
      </c>
      <c r="B88" s="22" t="str">
        <f t="shared" si="40"/>
        <v>5000016779797022142</v>
      </c>
      <c r="C88" s="22" t="str">
        <f t="shared" si="41"/>
        <v>500001677979702214</v>
      </c>
      <c r="D88" s="31">
        <v>85</v>
      </c>
      <c r="E88" s="31">
        <f>'PR 2025'!A86</f>
        <v>2</v>
      </c>
      <c r="F88" s="31">
        <f>'PR 2025'!B86</f>
        <v>5000016779</v>
      </c>
      <c r="G88" s="32" t="str">
        <f>'PR 2025'!C86</f>
        <v>SWITCH D-LINK 16 PORT</v>
      </c>
      <c r="H88" s="31">
        <f>'PR 2025'!D86</f>
        <v>10800909</v>
      </c>
      <c r="I88" s="31">
        <f>VLOOKUP(A88,'PO 2025'!$A$2:$Y$1440,21,FALSE)</f>
        <v>79702214</v>
      </c>
      <c r="J88" s="31">
        <f>'PR 2025'!E86</f>
        <v>1</v>
      </c>
      <c r="K88" s="33" t="str">
        <f>'PR 2025'!F86</f>
        <v>UNT</v>
      </c>
      <c r="L88" s="34">
        <f>'PR 2025'!T86</f>
        <v>45710</v>
      </c>
      <c r="M88" s="31" t="str">
        <f>'PR 2025'!AG86</f>
        <v>R</v>
      </c>
      <c r="N88" s="34">
        <f>VLOOKUP(C88,'GRS 2025'!$A$2:$AH$1992,4,FALSE)</f>
        <v>45724</v>
      </c>
      <c r="O88" s="69" t="str">
        <f>'PR 2025'!AJ86</f>
        <v>U/ AREA IPAL (HS CODE : 8517.79.10). TIO</v>
      </c>
    </row>
    <row r="89" spans="1:15" x14ac:dyDescent="0.25">
      <c r="A89" s="22" t="str">
        <f t="shared" si="39"/>
        <v>5000017676108009093</v>
      </c>
      <c r="B89" s="22" t="str">
        <f t="shared" si="40"/>
        <v>5000017676797022813</v>
      </c>
      <c r="C89" s="22" t="str">
        <f t="shared" si="41"/>
        <v>500001767679702281</v>
      </c>
      <c r="D89" s="31">
        <v>86</v>
      </c>
      <c r="E89" s="31">
        <f>'PR 2025'!A87</f>
        <v>3</v>
      </c>
      <c r="F89" s="31">
        <f>'PR 2025'!B87</f>
        <v>5000017676</v>
      </c>
      <c r="G89" s="32" t="str">
        <f>'PR 2025'!C87</f>
        <v>PATCH CORD SC TO SC</v>
      </c>
      <c r="H89" s="31">
        <f>'PR 2025'!D87</f>
        <v>10800909</v>
      </c>
      <c r="I89" s="31">
        <f>VLOOKUP(A89,'PO 2025'!$A$2:$Y$1440,21,FALSE)</f>
        <v>79702281</v>
      </c>
      <c r="J89" s="31">
        <f>'PR 2025'!E87</f>
        <v>3</v>
      </c>
      <c r="K89" s="33" t="str">
        <f>'PR 2025'!F87</f>
        <v>BH</v>
      </c>
      <c r="L89" s="34">
        <f>'PR 2025'!T87</f>
        <v>45710</v>
      </c>
      <c r="M89" s="31" t="str">
        <f>'PR 2025'!AG87</f>
        <v>R</v>
      </c>
      <c r="N89" s="34">
        <f>VLOOKUP(C89,'GRS 2025'!$A$2:$AH$1992,4,FALSE)</f>
        <v>45727</v>
      </c>
      <c r="O89" s="69" t="str">
        <f>'PR 2025'!AJ87</f>
        <v>U/ AREA IPAL (HS CODE : 8544.49.49). TIO</v>
      </c>
    </row>
    <row r="90" spans="1:15" x14ac:dyDescent="0.25">
      <c r="A90" s="22" t="str">
        <f t="shared" ref="A90:A92" si="42">F90&amp;H90&amp;E90</f>
        <v>5000016585108009261</v>
      </c>
      <c r="B90" s="22" t="str">
        <f t="shared" ref="B90:B92" si="43">F90&amp;I90&amp;E90</f>
        <v>5000016585797022821</v>
      </c>
      <c r="C90" s="22" t="str">
        <f t="shared" ref="C90:C92" si="44">F90&amp;I90</f>
        <v>500001658579702282</v>
      </c>
      <c r="D90" s="31">
        <v>87</v>
      </c>
      <c r="E90" s="31">
        <f>'PR 2025'!A88</f>
        <v>1</v>
      </c>
      <c r="F90" s="31">
        <f>'PR 2025'!B88</f>
        <v>5000016585</v>
      </c>
      <c r="G90" s="32" t="str">
        <f>'PR 2025'!C88</f>
        <v>KABEL POWER PRINTER</v>
      </c>
      <c r="H90" s="31">
        <f>'PR 2025'!D88</f>
        <v>10800926</v>
      </c>
      <c r="I90" s="31">
        <f>VLOOKUP(A90,'PO 2025'!$A$2:$Y$1440,21,FALSE)</f>
        <v>79702282</v>
      </c>
      <c r="J90" s="31">
        <f>'PR 2025'!E88</f>
        <v>1</v>
      </c>
      <c r="K90" s="33" t="str">
        <f>'PR 2025'!F88</f>
        <v>UNT</v>
      </c>
      <c r="L90" s="34">
        <f>'PR 2025'!T88</f>
        <v>45712</v>
      </c>
      <c r="M90" s="31" t="str">
        <f>'PR 2025'!AG88</f>
        <v>R</v>
      </c>
      <c r="N90" s="34">
        <f>VLOOKUP(C90,'GRS 2025'!$A$2:$AH$1992,4,FALSE)</f>
        <v>45728</v>
      </c>
      <c r="O90" s="69" t="str">
        <f>'PR 2025'!AJ88</f>
        <v>U/ BAGIAN MACHCRIMPER (HS CODE : 8544.20.31). TIO</v>
      </c>
    </row>
    <row r="91" spans="1:15" x14ac:dyDescent="0.25">
      <c r="A91" s="22" t="str">
        <f t="shared" si="42"/>
        <v>5000016375108009531</v>
      </c>
      <c r="B91" s="22" t="str">
        <f t="shared" si="43"/>
        <v>5000016375797022141</v>
      </c>
      <c r="C91" s="22" t="str">
        <f t="shared" si="44"/>
        <v>500001637579702214</v>
      </c>
      <c r="D91" s="31">
        <v>88</v>
      </c>
      <c r="E91" s="31">
        <f>'PR 2025'!A89</f>
        <v>1</v>
      </c>
      <c r="F91" s="31">
        <f>'PR 2025'!B89</f>
        <v>5000016375</v>
      </c>
      <c r="G91" s="32" t="str">
        <f>'PR 2025'!C89</f>
        <v>PRINTER EPSON l3210</v>
      </c>
      <c r="H91" s="31">
        <f>'PR 2025'!D89</f>
        <v>10800953</v>
      </c>
      <c r="I91" s="31">
        <f>VLOOKUP(A91,'PO 2025'!$A$2:$Y$1440,21,FALSE)</f>
        <v>79702214</v>
      </c>
      <c r="J91" s="31">
        <f>'PR 2025'!E89</f>
        <v>1</v>
      </c>
      <c r="K91" s="33" t="str">
        <f>'PR 2025'!F89</f>
        <v>UNT</v>
      </c>
      <c r="L91" s="34">
        <f>'PR 2025'!T89</f>
        <v>45713</v>
      </c>
      <c r="M91" s="31" t="str">
        <f>'PR 2025'!AG89</f>
        <v>R</v>
      </c>
      <c r="N91" s="34">
        <f>VLOOKUP(C91,'GRS 2025'!$A$2:$AH$1992,4,FALSE)</f>
        <v>45724</v>
      </c>
      <c r="O91" s="69" t="str">
        <f>'PR 2025'!AJ89</f>
        <v>URGENT : U/ MENGGANTI YANG RUSAK BAGIAN BEA CUKAI. (HS CODE : 8443.31.11). PUTRI</v>
      </c>
    </row>
    <row r="92" spans="1:15" x14ac:dyDescent="0.25">
      <c r="A92" s="22" t="str">
        <f t="shared" si="42"/>
        <v>5000017376108009532</v>
      </c>
      <c r="B92" s="22" t="str">
        <f t="shared" si="43"/>
        <v>5000017376797022582</v>
      </c>
      <c r="C92" s="22" t="str">
        <f t="shared" si="44"/>
        <v>500001737679702258</v>
      </c>
      <c r="D92" s="31">
        <v>89</v>
      </c>
      <c r="E92" s="31">
        <f>'PR 2025'!A90</f>
        <v>2</v>
      </c>
      <c r="F92" s="31">
        <f>'PR 2025'!B90</f>
        <v>5000017376</v>
      </c>
      <c r="G92" s="32" t="str">
        <f>'PR 2025'!C90</f>
        <v>RAM DDR4 8 GB</v>
      </c>
      <c r="H92" s="31">
        <f>'PR 2025'!D90</f>
        <v>10800953</v>
      </c>
      <c r="I92" s="31">
        <f>VLOOKUP(A92,'PO 2025'!$A$2:$Y$1440,21,FALSE)</f>
        <v>79702258</v>
      </c>
      <c r="J92" s="31">
        <f>'PR 2025'!E90</f>
        <v>1</v>
      </c>
      <c r="K92" s="33" t="str">
        <f>'PR 2025'!F90</f>
        <v>BH</v>
      </c>
      <c r="L92" s="34">
        <f>'PR 2025'!T90</f>
        <v>45713</v>
      </c>
      <c r="M92" s="31" t="str">
        <f>'PR 2025'!AG90</f>
        <v>R</v>
      </c>
      <c r="N92" s="34">
        <f>VLOOKUP(C92,'GRS 2025'!$A$2:$AH$1992,4,FALSE)</f>
        <v>45727</v>
      </c>
      <c r="O92" s="69" t="str">
        <f>'PR 2025'!AJ90</f>
        <v>MEMORY RAM SERVER ECC 8GB PC4-2133P, U/ BAGIAN IT (HS CODE : 8471.50.90). ERDI</v>
      </c>
    </row>
    <row r="93" spans="1:15" x14ac:dyDescent="0.25">
      <c r="A93" s="22" t="str">
        <f t="shared" ref="A93:A97" si="45">F93&amp;H93&amp;E93</f>
        <v>5000015560108010301</v>
      </c>
      <c r="B93" s="22" t="str">
        <f t="shared" ref="B93:B97" si="46">F93&amp;I93&amp;E93</f>
        <v>5000015560797022591</v>
      </c>
      <c r="C93" s="22" t="str">
        <f t="shared" ref="C93:C97" si="47">F93&amp;I93</f>
        <v>500001556079702259</v>
      </c>
      <c r="D93" s="31">
        <v>90</v>
      </c>
      <c r="E93" s="31">
        <f>'PR 2025'!A91</f>
        <v>1</v>
      </c>
      <c r="F93" s="31">
        <f>'PR 2025'!B91</f>
        <v>5000015560</v>
      </c>
      <c r="G93" s="32" t="str">
        <f>'PR 2025'!C91</f>
        <v>RAM DDR3 8GB</v>
      </c>
      <c r="H93" s="31">
        <f>'PR 2025'!D91</f>
        <v>10801030</v>
      </c>
      <c r="I93" s="31">
        <f>VLOOKUP(A93,'PO 2025'!$A$2:$Y$1440,21,FALSE)</f>
        <v>79702259</v>
      </c>
      <c r="J93" s="31">
        <f>'PR 2025'!E91</f>
        <v>2</v>
      </c>
      <c r="K93" s="33" t="str">
        <f>'PR 2025'!F91</f>
        <v>BH</v>
      </c>
      <c r="L93" s="34">
        <f>'PR 2025'!T91</f>
        <v>45717</v>
      </c>
      <c r="M93" s="31" t="str">
        <f>'PR 2025'!AG91</f>
        <v>R</v>
      </c>
      <c r="N93" s="34">
        <f>VLOOKUP(C93,'GRS 2025'!$A$2:$AH$1992,4,FALSE)</f>
        <v>45733</v>
      </c>
      <c r="O93" s="69" t="str">
        <f>'PR 2025'!AJ91</f>
        <v>U/ BAGIAN IT (HS CODE : 8471.50.90). ERDI</v>
      </c>
    </row>
    <row r="94" spans="1:15" x14ac:dyDescent="0.25">
      <c r="A94" s="22" t="str">
        <f t="shared" si="45"/>
        <v>5000017695108010302</v>
      </c>
      <c r="B94" s="22" t="str">
        <f t="shared" si="46"/>
        <v>5000017695797024902</v>
      </c>
      <c r="C94" s="22" t="str">
        <f t="shared" si="47"/>
        <v>500001769579702490</v>
      </c>
      <c r="D94" s="31">
        <v>91</v>
      </c>
      <c r="E94" s="31">
        <f>'PR 2025'!A92</f>
        <v>2</v>
      </c>
      <c r="F94" s="31">
        <f>'PR 2025'!B92</f>
        <v>5000017695</v>
      </c>
      <c r="G94" s="32" t="str">
        <f>'PR 2025'!C92</f>
        <v>PRINTER EPSON L18050</v>
      </c>
      <c r="H94" s="31">
        <f>'PR 2025'!D92</f>
        <v>10801030</v>
      </c>
      <c r="I94" s="31">
        <f>VLOOKUP(A94,'PO 2025'!$A$2:$Y$1440,21,FALSE)</f>
        <v>79702490</v>
      </c>
      <c r="J94" s="31">
        <f>'PR 2025'!E92</f>
        <v>1</v>
      </c>
      <c r="K94" s="33" t="str">
        <f>'PR 2025'!F92</f>
        <v>UNT</v>
      </c>
      <c r="L94" s="34">
        <f>'PR 2025'!T92</f>
        <v>45717</v>
      </c>
      <c r="M94" s="31" t="str">
        <f>'PR 2025'!AG92</f>
        <v>R</v>
      </c>
      <c r="N94" s="34">
        <f>VLOOKUP(C94,'GRS 2025'!$A$2:$AH$1992,4,FALSE)</f>
        <v>45733</v>
      </c>
      <c r="O94" s="69" t="str">
        <f>'PR 2025'!AJ92</f>
        <v>U/ MENGGANTI YANG RUSAK BAGIAN TRAINING &amp; DEVELOPMENT (HS CODE : 8443.31.11). FIRMAN</v>
      </c>
    </row>
    <row r="95" spans="1:15" x14ac:dyDescent="0.25">
      <c r="A95" s="22" t="str">
        <f t="shared" si="45"/>
        <v>5000017481108010303</v>
      </c>
      <c r="B95" s="22" t="str">
        <f t="shared" si="46"/>
        <v>5000017481797024903</v>
      </c>
      <c r="C95" s="22" t="str">
        <f t="shared" si="47"/>
        <v>500001748179702490</v>
      </c>
      <c r="D95" s="31">
        <v>92</v>
      </c>
      <c r="E95" s="31">
        <f>'PR 2025'!A93</f>
        <v>3</v>
      </c>
      <c r="F95" s="31">
        <f>'PR 2025'!B93</f>
        <v>5000017481</v>
      </c>
      <c r="G95" s="32" t="str">
        <f>'PR 2025'!C93</f>
        <v>SCANNER PLUSTEK PS283</v>
      </c>
      <c r="H95" s="31">
        <f>'PR 2025'!D93</f>
        <v>10801030</v>
      </c>
      <c r="I95" s="31">
        <f>VLOOKUP(A95,'PO 2025'!$A$2:$Y$1440,21,FALSE)</f>
        <v>79702490</v>
      </c>
      <c r="J95" s="31">
        <f>'PR 2025'!E93</f>
        <v>1</v>
      </c>
      <c r="K95" s="33" t="str">
        <f>'PR 2025'!F93</f>
        <v>UNT</v>
      </c>
      <c r="L95" s="34">
        <f>'PR 2025'!T93</f>
        <v>45717</v>
      </c>
      <c r="M95" s="31" t="str">
        <f>'PR 2025'!AG93</f>
        <v>R</v>
      </c>
      <c r="N95" s="34">
        <f>VLOOKUP(C95,'GRS 2025'!$A$2:$AH$1992,4,FALSE)</f>
        <v>45733</v>
      </c>
      <c r="O95" s="69" t="str">
        <f>'PR 2025'!AJ93</f>
        <v>U/ MENGGANTI YANG RUSAK BAGIAN TRAINING &amp; DEVELOPMENT (HS CODE : 8443.31.91). FIRMAN</v>
      </c>
    </row>
    <row r="96" spans="1:15" x14ac:dyDescent="0.25">
      <c r="A96" s="22" t="str">
        <f t="shared" si="45"/>
        <v>5000016583108010304</v>
      </c>
      <c r="B96" s="22" t="str">
        <f t="shared" si="46"/>
        <v>5000016583797022424</v>
      </c>
      <c r="C96" s="22" t="str">
        <f t="shared" si="47"/>
        <v>500001658379702242</v>
      </c>
      <c r="D96" s="31">
        <v>93</v>
      </c>
      <c r="E96" s="31">
        <f>'PR 2025'!A94</f>
        <v>4</v>
      </c>
      <c r="F96" s="31">
        <f>'PR 2025'!B94</f>
        <v>5000016583</v>
      </c>
      <c r="G96" s="32" t="str">
        <f>'PR 2025'!C94</f>
        <v>CPU BUILDUP I7</v>
      </c>
      <c r="H96" s="31">
        <f>'PR 2025'!D94</f>
        <v>10801030</v>
      </c>
      <c r="I96" s="31">
        <f>VLOOKUP(A96,'PO 2025'!$A$2:$Y$1440,21,FALSE)</f>
        <v>79702242</v>
      </c>
      <c r="J96" s="31">
        <f>'PR 2025'!E94</f>
        <v>1</v>
      </c>
      <c r="K96" s="33" t="str">
        <f>'PR 2025'!F94</f>
        <v>UNT</v>
      </c>
      <c r="L96" s="34">
        <f>'PR 2025'!T94</f>
        <v>45719</v>
      </c>
      <c r="M96" s="31" t="str">
        <f>'PR 2025'!AG94</f>
        <v>R</v>
      </c>
      <c r="N96" s="34">
        <f>VLOOKUP(C96,'GRS 2025'!$A$2:$AH$1992,4,FALSE)</f>
        <v>45727</v>
      </c>
      <c r="O96" s="69" t="str">
        <f>'PR 2025'!AJ94</f>
        <v>URGENT : U/ BAGIAN MARKETING (HS CODE : 8479.89.50). YUANITA</v>
      </c>
    </row>
    <row r="97" spans="1:15" x14ac:dyDescent="0.25">
      <c r="A97" s="22" t="str">
        <f t="shared" si="45"/>
        <v>5000005340108010305</v>
      </c>
      <c r="B97" s="22" t="str">
        <f t="shared" si="46"/>
        <v>5000005340797022825</v>
      </c>
      <c r="C97" s="22" t="str">
        <f t="shared" si="47"/>
        <v>500000534079702282</v>
      </c>
      <c r="D97" s="31">
        <v>94</v>
      </c>
      <c r="E97" s="31">
        <f>'PR 2025'!A95</f>
        <v>5</v>
      </c>
      <c r="F97" s="31">
        <f>'PR 2025'!B95</f>
        <v>5000005340</v>
      </c>
      <c r="G97" s="32" t="str">
        <f>'PR 2025'!C95</f>
        <v>POWER SUPLY ATX 450 WATT</v>
      </c>
      <c r="H97" s="31">
        <f>'PR 2025'!D95</f>
        <v>10801030</v>
      </c>
      <c r="I97" s="31">
        <f>VLOOKUP(A97,'PO 2025'!$A$2:$Y$1440,21,FALSE)</f>
        <v>79702282</v>
      </c>
      <c r="J97" s="31">
        <f>'PR 2025'!E95</f>
        <v>1</v>
      </c>
      <c r="K97" s="33" t="str">
        <f>'PR 2025'!F95</f>
        <v>UNT</v>
      </c>
      <c r="L97" s="34">
        <f>'PR 2025'!T95</f>
        <v>45719</v>
      </c>
      <c r="M97" s="31" t="str">
        <f>'PR 2025'!AG95</f>
        <v>R</v>
      </c>
      <c r="N97" s="34">
        <f>VLOOKUP(C97,'GRS 2025'!$A$2:$AH$1992,4,FALSE)</f>
        <v>45728</v>
      </c>
      <c r="O97" s="69" t="str">
        <f>'PR 2025'!AJ95</f>
        <v>U/ MENGGANTI YG RUSAK BAGIAN MARKETING (HS CODE : 8414.59.10). TIO</v>
      </c>
    </row>
    <row r="98" spans="1:15" x14ac:dyDescent="0.25">
      <c r="A98" s="22" t="str">
        <f t="shared" ref="A98:A99" si="48">F98&amp;H98&amp;E98</f>
        <v>5000016659108010306</v>
      </c>
      <c r="B98" s="22" t="str">
        <f t="shared" ref="B98:B99" si="49">F98&amp;I98&amp;E98</f>
        <v>5000016659797022596</v>
      </c>
      <c r="C98" s="22" t="str">
        <f t="shared" ref="C98:C99" si="50">F98&amp;I98</f>
        <v>500001665979702259</v>
      </c>
      <c r="D98" s="31">
        <v>95</v>
      </c>
      <c r="E98" s="31">
        <f>'PR 2025'!A96</f>
        <v>6</v>
      </c>
      <c r="F98" s="31">
        <f>'PR 2025'!B96</f>
        <v>5000016659</v>
      </c>
      <c r="G98" s="32" t="str">
        <f>'PR 2025'!C96</f>
        <v>COOLER MASTER</v>
      </c>
      <c r="H98" s="31">
        <f>'PR 2025'!D96</f>
        <v>10801030</v>
      </c>
      <c r="I98" s="31">
        <f>VLOOKUP(A98,'PO 2025'!$A$2:$Y$1440,21,FALSE)</f>
        <v>79702259</v>
      </c>
      <c r="J98" s="31">
        <f>'PR 2025'!E96</f>
        <v>2</v>
      </c>
      <c r="K98" s="33" t="str">
        <f>'PR 2025'!F96</f>
        <v>BH</v>
      </c>
      <c r="L98" s="34">
        <f>'PR 2025'!T96</f>
        <v>45720</v>
      </c>
      <c r="M98" s="31" t="str">
        <f>'PR 2025'!AG96</f>
        <v>R</v>
      </c>
      <c r="N98" s="34">
        <f>VLOOKUP(C98,'GRS 2025'!$A$2:$AH$1992,4,FALSE)</f>
        <v>45733</v>
      </c>
      <c r="O98" s="69" t="str">
        <f>'PR 2025'!AJ96</f>
        <v>U/ MENGGANTI YG RUSAK BAGIAN MTC PROC LJ1 DAN LAB (HS CODE : 8414.59.10). RICKY</v>
      </c>
    </row>
    <row r="99" spans="1:15" x14ac:dyDescent="0.25">
      <c r="A99" s="22" t="str">
        <f t="shared" si="48"/>
        <v>5000012006108010307</v>
      </c>
      <c r="B99" s="22" t="str">
        <f t="shared" si="49"/>
        <v>5000012006797022827</v>
      </c>
      <c r="C99" s="22" t="str">
        <f t="shared" si="50"/>
        <v>500001200679702282</v>
      </c>
      <c r="D99" s="31">
        <v>96</v>
      </c>
      <c r="E99" s="31">
        <f>'PR 2025'!A97</f>
        <v>7</v>
      </c>
      <c r="F99" s="31">
        <f>'PR 2025'!B97</f>
        <v>5000012006</v>
      </c>
      <c r="G99" s="32" t="str">
        <f>'PR 2025'!C97</f>
        <v>MONITOR TV 32 INCH</v>
      </c>
      <c r="H99" s="31">
        <f>'PR 2025'!D97</f>
        <v>10801030</v>
      </c>
      <c r="I99" s="31">
        <f>VLOOKUP(A99,'PO 2025'!$A$2:$Y$1440,21,FALSE)</f>
        <v>79702282</v>
      </c>
      <c r="J99" s="31">
        <f>'PR 2025'!E97</f>
        <v>1</v>
      </c>
      <c r="K99" s="33" t="str">
        <f>'PR 2025'!F97</f>
        <v>UNT</v>
      </c>
      <c r="L99" s="34">
        <f>'PR 2025'!T97</f>
        <v>45720</v>
      </c>
      <c r="M99" s="31" t="str">
        <f>'PR 2025'!AG97</f>
        <v>R</v>
      </c>
      <c r="N99" s="34">
        <f>VLOOKUP(C99,'GRS 2025'!$A$2:$AH$1992,4,FALSE)</f>
        <v>45728</v>
      </c>
      <c r="O99" s="69" t="str">
        <f>'PR 2025'!AJ97</f>
        <v>URGENT : U/ MENGGANTI YG RUSAK (MONITORING CCTV AREA BEA CUKAI) (HS CODE : 8528.52.00). TIO</v>
      </c>
    </row>
    <row r="100" spans="1:15" x14ac:dyDescent="0.25">
      <c r="A100" s="22" t="str">
        <f t="shared" ref="A100:A102" si="51">F100&amp;H100&amp;E100</f>
        <v>5000016930108011171</v>
      </c>
      <c r="B100" s="22" t="str">
        <f t="shared" ref="B100:B102" si="52">F100&amp;I100&amp;E100</f>
        <v>5000016930797027591</v>
      </c>
      <c r="C100" s="22" t="str">
        <f t="shared" ref="C100:C102" si="53">F100&amp;I100</f>
        <v>500001693079702759</v>
      </c>
      <c r="D100" s="31">
        <v>97</v>
      </c>
      <c r="E100" s="31">
        <f>'PR 2025'!A98</f>
        <v>1</v>
      </c>
      <c r="F100" s="31">
        <f>'PR 2025'!B98</f>
        <v>5000016930</v>
      </c>
      <c r="G100" s="32" t="str">
        <f>'PR 2025'!C98</f>
        <v>PRINT SERVER</v>
      </c>
      <c r="H100" s="31">
        <f>'PR 2025'!D98</f>
        <v>10801117</v>
      </c>
      <c r="I100" s="31">
        <f>VLOOKUP(A100,'PO 2025'!$A$2:$Y$1440,21,FALSE)</f>
        <v>79702759</v>
      </c>
      <c r="J100" s="31">
        <f>'PR 2025'!E98</f>
        <v>1</v>
      </c>
      <c r="K100" s="33" t="str">
        <f>'PR 2025'!F98</f>
        <v>BH</v>
      </c>
      <c r="L100" s="34">
        <f>'PR 2025'!T98</f>
        <v>45721</v>
      </c>
      <c r="M100" s="31" t="str">
        <f>'PR 2025'!AG98</f>
        <v>R</v>
      </c>
      <c r="N100" s="34">
        <f>VLOOKUP(C100,'GRS 2025'!$A$2:$AH$1992,4,FALSE)</f>
        <v>45737</v>
      </c>
      <c r="O100" s="69" t="str">
        <f>'PR 2025'!AJ98</f>
        <v>U/ BAGIAN QA (HS CODE : 8517.79.10). MARYAM</v>
      </c>
    </row>
    <row r="101" spans="1:15" x14ac:dyDescent="0.25">
      <c r="A101" s="22" t="str">
        <f t="shared" si="51"/>
        <v>5000017686108011172</v>
      </c>
      <c r="B101" s="22" t="str">
        <f t="shared" si="52"/>
        <v>5000017686797024952</v>
      </c>
      <c r="C101" s="22" t="str">
        <f t="shared" si="53"/>
        <v>500001768679702495</v>
      </c>
      <c r="D101" s="31">
        <v>98</v>
      </c>
      <c r="E101" s="31">
        <f>'PR 2025'!A99</f>
        <v>2</v>
      </c>
      <c r="F101" s="31">
        <f>'PR 2025'!B99</f>
        <v>5000017686</v>
      </c>
      <c r="G101" s="32" t="str">
        <f>'PR 2025'!C99</f>
        <v>TRIPOD WEBCAM</v>
      </c>
      <c r="H101" s="31">
        <f>'PR 2025'!D99</f>
        <v>10801117</v>
      </c>
      <c r="I101" s="31">
        <f>VLOOKUP(A101,'PO 2025'!$A$2:$Y$1440,21,FALSE)</f>
        <v>79702495</v>
      </c>
      <c r="J101" s="31">
        <f>'PR 2025'!E99</f>
        <v>1</v>
      </c>
      <c r="K101" s="33" t="str">
        <f>'PR 2025'!F99</f>
        <v>BH</v>
      </c>
      <c r="L101" s="34">
        <f>'PR 2025'!T99</f>
        <v>45721</v>
      </c>
      <c r="M101" s="31" t="str">
        <f>'PR 2025'!AG99</f>
        <v>R</v>
      </c>
      <c r="N101" s="34">
        <f>VLOOKUP(C101,'GRS 2025'!$A$2:$AH$1992,4,FALSE)</f>
        <v>45733</v>
      </c>
      <c r="O101" s="69" t="str">
        <f>'PR 2025'!AJ99</f>
        <v>URGENT : U/ WEBCAM BPK ZENZEN (HS CODE : 9620.00.40). IDRUS</v>
      </c>
    </row>
    <row r="102" spans="1:15" ht="30" x14ac:dyDescent="0.25">
      <c r="A102" s="22" t="str">
        <f t="shared" si="51"/>
        <v>5000004248108011341</v>
      </c>
      <c r="B102" s="22" t="str">
        <f t="shared" si="52"/>
        <v>5000004248797024981</v>
      </c>
      <c r="C102" s="22" t="str">
        <f t="shared" si="53"/>
        <v>500000424879702498</v>
      </c>
      <c r="D102" s="31">
        <v>99</v>
      </c>
      <c r="E102" s="31">
        <f>'PR 2025'!A100</f>
        <v>1</v>
      </c>
      <c r="F102" s="31">
        <f>'PR 2025'!B100</f>
        <v>5000004248</v>
      </c>
      <c r="G102" s="32" t="str">
        <f>'PR 2025'!C100</f>
        <v>MOUSE USB</v>
      </c>
      <c r="H102" s="31">
        <f>'PR 2025'!D100</f>
        <v>10801134</v>
      </c>
      <c r="I102" s="31">
        <f>VLOOKUP(A102,'PO 2025'!$A$2:$Y$1440,21,FALSE)</f>
        <v>79702498</v>
      </c>
      <c r="J102" s="31">
        <f>'PR 2025'!E100</f>
        <v>10</v>
      </c>
      <c r="K102" s="33" t="str">
        <f>'PR 2025'!F100</f>
        <v>BH</v>
      </c>
      <c r="L102" s="34">
        <f>'PR 2025'!T100</f>
        <v>45722</v>
      </c>
      <c r="M102" s="31" t="str">
        <f>'PR 2025'!AG100</f>
        <v>R</v>
      </c>
      <c r="N102" s="34">
        <f>VLOOKUP(C102,'GRS 2025'!$A$2:$AH$1992,4,FALSE)</f>
        <v>45733</v>
      </c>
      <c r="O102" s="69" t="str">
        <f>'PR 2025'!AJ100</f>
        <v>U/ MENGGANTI YG RUSAK BAGIAN GA (2), GUDANG OBAT KECIL, MARKETING (2), FINAL, GUDANG BENANG, DF, GUDANG PACKING (2) (HS CODE : 8471.60.40). ALI</v>
      </c>
    </row>
    <row r="103" spans="1:15" x14ac:dyDescent="0.25">
      <c r="A103" s="22" t="str">
        <f t="shared" ref="A103" si="54">F103&amp;H103&amp;E103</f>
        <v>5000010980108011342</v>
      </c>
      <c r="B103" s="22" t="str">
        <f t="shared" ref="B103" si="55">F103&amp;I103&amp;E103</f>
        <v>5000010980797034032</v>
      </c>
      <c r="C103" s="22" t="str">
        <f t="shared" ref="C103" si="56">F103&amp;I103</f>
        <v>500001098079703403</v>
      </c>
      <c r="D103" s="31">
        <v>100</v>
      </c>
      <c r="E103" s="31">
        <f>'PR 2025'!A101</f>
        <v>2</v>
      </c>
      <c r="F103" s="31">
        <f>'PR 2025'!B101</f>
        <v>5000010980</v>
      </c>
      <c r="G103" s="32" t="str">
        <f>'PR 2025'!C101</f>
        <v>KABEL SCANNER BARCODE</v>
      </c>
      <c r="H103" s="31">
        <f>'PR 2025'!D101</f>
        <v>10801134</v>
      </c>
      <c r="I103" s="31">
        <f>VLOOKUP(A103,'PO 2025'!$A$2:$Y$1440,21,FALSE)</f>
        <v>79703403</v>
      </c>
      <c r="J103" s="31">
        <f>'PR 2025'!E101</f>
        <v>1</v>
      </c>
      <c r="K103" s="33" t="str">
        <f>'PR 2025'!F101</f>
        <v>BH</v>
      </c>
      <c r="L103" s="34">
        <f>'PR 2025'!T101</f>
        <v>45723</v>
      </c>
      <c r="M103" s="31" t="str">
        <f>'PR 2025'!AG101</f>
        <v>R</v>
      </c>
      <c r="N103" s="34">
        <f>VLOOKUP(C103,'GRS 2025'!$A$2:$AH$1992,4,FALSE)</f>
        <v>45769</v>
      </c>
      <c r="O103" s="69" t="str">
        <f>'PR 2025'!AJ101</f>
        <v>U/ MENGGANTI YG RUSAK BAGIAN FINAL LJ2 (HS CODE : 8544.20.31). ERDI</v>
      </c>
    </row>
    <row r="104" spans="1:15" x14ac:dyDescent="0.25">
      <c r="A104" s="22" t="str">
        <f t="shared" ref="A104" si="57">F104&amp;H104&amp;E104</f>
        <v>5000015000108011851</v>
      </c>
      <c r="B104" s="22" t="str">
        <f t="shared" ref="B104" si="58">F104&amp;I104&amp;E104</f>
        <v>5000015000797024991</v>
      </c>
      <c r="C104" s="22" t="str">
        <f t="shared" ref="C104" si="59">F104&amp;I104</f>
        <v>500001500079702499</v>
      </c>
      <c r="D104" s="31">
        <v>101</v>
      </c>
      <c r="E104" s="31">
        <f>'PR 2025'!A102</f>
        <v>1</v>
      </c>
      <c r="F104" s="31">
        <f>'PR 2025'!B102</f>
        <v>5000015000</v>
      </c>
      <c r="G104" s="32" t="str">
        <f>'PR 2025'!C102</f>
        <v>POE INJECTOR</v>
      </c>
      <c r="H104" s="31">
        <f>'PR 2025'!D102</f>
        <v>10801185</v>
      </c>
      <c r="I104" s="31">
        <f>VLOOKUP(A104,'PO 2025'!$A$2:$Y$1440,21,FALSE)</f>
        <v>79702499</v>
      </c>
      <c r="J104" s="31">
        <f>'PR 2025'!E102</f>
        <v>2</v>
      </c>
      <c r="K104" s="33" t="str">
        <f>'PR 2025'!F102</f>
        <v>UNT</v>
      </c>
      <c r="L104" s="34">
        <f>'PR 2025'!T102</f>
        <v>45726</v>
      </c>
      <c r="M104" s="31" t="str">
        <f>'PR 2025'!AG102</f>
        <v>R</v>
      </c>
      <c r="N104" s="34">
        <f>VLOOKUP(C104,'GRS 2025'!$A$2:$AH$1992,4,FALSE)</f>
        <v>45733</v>
      </c>
      <c r="O104" s="69" t="str">
        <f>'PR 2025'!AJ102</f>
        <v>U/ AREA MKA DAN GD. PACKING (HS CODE : 8517.79.10). ERDI</v>
      </c>
    </row>
    <row r="105" spans="1:15" x14ac:dyDescent="0.25">
      <c r="A105" s="22" t="str">
        <f t="shared" ref="A105:A106" si="60">F105&amp;H105&amp;E105</f>
        <v>5000008843108011852</v>
      </c>
      <c r="B105" s="22" t="str">
        <f t="shared" ref="B105:B106" si="61">F105&amp;I105&amp;E105</f>
        <v>5000008843797025002</v>
      </c>
      <c r="C105" s="22" t="str">
        <f t="shared" ref="C105:C106" si="62">F105&amp;I105</f>
        <v>500000884379702500</v>
      </c>
      <c r="D105" s="31">
        <v>102</v>
      </c>
      <c r="E105" s="31">
        <f>'PR 2025'!A103</f>
        <v>2</v>
      </c>
      <c r="F105" s="31">
        <f>'PR 2025'!B103</f>
        <v>5000008843</v>
      </c>
      <c r="G105" s="32" t="str">
        <f>'PR 2025'!C103</f>
        <v>MONITOR LCD 19 INCH</v>
      </c>
      <c r="H105" s="31">
        <f>'PR 2025'!D103</f>
        <v>10801185</v>
      </c>
      <c r="I105" s="31">
        <f>VLOOKUP(A105,'PO 2025'!$A$2:$Y$1440,21,FALSE)</f>
        <v>79702500</v>
      </c>
      <c r="J105" s="31">
        <f>'PR 2025'!E103</f>
        <v>1</v>
      </c>
      <c r="K105" s="33" t="str">
        <f>'PR 2025'!F103</f>
        <v>UNT</v>
      </c>
      <c r="L105" s="34">
        <f>'PR 2025'!T103</f>
        <v>45726</v>
      </c>
      <c r="M105" s="31" t="str">
        <f>'PR 2025'!AG103</f>
        <v>R</v>
      </c>
      <c r="N105" s="34">
        <f>VLOOKUP(C105,'GRS 2025'!$A$2:$AH$1992,4,FALSE)</f>
        <v>45733</v>
      </c>
      <c r="O105" s="69" t="str">
        <f>'PR 2025'!AJ103</f>
        <v>U/ PENAMBAHAN KARYAWAN BARU DI BAGIAN BEA CUKAI (HS CODE : 8528.52.00). PUTRI</v>
      </c>
    </row>
    <row r="106" spans="1:15" x14ac:dyDescent="0.25">
      <c r="A106" s="22" t="str">
        <f t="shared" si="60"/>
        <v>5000016255108011853</v>
      </c>
      <c r="B106" s="22" t="str">
        <f t="shared" si="61"/>
        <v>5000016255797028403</v>
      </c>
      <c r="C106" s="22" t="str">
        <f t="shared" si="62"/>
        <v>500001625579702840</v>
      </c>
      <c r="D106" s="31">
        <v>103</v>
      </c>
      <c r="E106" s="31">
        <f>'PR 2025'!A104</f>
        <v>3</v>
      </c>
      <c r="F106" s="31">
        <f>'PR 2025'!B104</f>
        <v>5000016255</v>
      </c>
      <c r="G106" s="32" t="str">
        <f>'PR 2025'!C104</f>
        <v>SSD SATA 256GB</v>
      </c>
      <c r="H106" s="31">
        <f>'PR 2025'!D104</f>
        <v>10801185</v>
      </c>
      <c r="I106" s="31">
        <f>VLOOKUP(A106,'PO 2025'!$A$2:$Y$1440,21,FALSE)</f>
        <v>79702840</v>
      </c>
      <c r="J106" s="31">
        <f>'PR 2025'!E104</f>
        <v>1</v>
      </c>
      <c r="K106" s="33" t="str">
        <f>'PR 2025'!F104</f>
        <v>BH</v>
      </c>
      <c r="L106" s="34">
        <f>'PR 2025'!T104</f>
        <v>45726</v>
      </c>
      <c r="M106" s="31" t="str">
        <f>'PR 2025'!AG104</f>
        <v>R</v>
      </c>
      <c r="N106" s="34">
        <f>VLOOKUP(C106,'GRS 2025'!$A$2:$AH$1992,4,FALSE)</f>
        <v>45740</v>
      </c>
      <c r="O106" s="69" t="str">
        <f>'PR 2025'!AJ104</f>
        <v>U/ UPGRADE CPU BAGIAN BEA CUKAI (HS CODE : 8471.50.90). PUTRI</v>
      </c>
    </row>
    <row r="107" spans="1:15" x14ac:dyDescent="0.25">
      <c r="A107" s="22" t="str">
        <f t="shared" ref="A107:A108" si="63">F107&amp;H107&amp;E107</f>
        <v>5000011754108012011</v>
      </c>
      <c r="B107" s="22" t="str">
        <f t="shared" ref="B107:B108" si="64">F107&amp;I107&amp;E107</f>
        <v>5000011754797028451</v>
      </c>
      <c r="C107" s="22" t="str">
        <f t="shared" ref="C107:C108" si="65">F107&amp;I107</f>
        <v>500001175479702845</v>
      </c>
      <c r="D107" s="31">
        <v>104</v>
      </c>
      <c r="E107" s="31">
        <f>'PR 2025'!A105</f>
        <v>1</v>
      </c>
      <c r="F107" s="31">
        <f>'PR 2025'!B105</f>
        <v>5000011754</v>
      </c>
      <c r="G107" s="32" t="str">
        <f>'PR 2025'!C105</f>
        <v>MOUSE PAD</v>
      </c>
      <c r="H107" s="31">
        <f>'PR 2025'!D105</f>
        <v>10801201</v>
      </c>
      <c r="I107" s="31">
        <f>VLOOKUP(A107,'PO 2025'!$A$2:$Y$1440,21,FALSE)</f>
        <v>79702845</v>
      </c>
      <c r="J107" s="31">
        <f>'PR 2025'!E105</f>
        <v>1</v>
      </c>
      <c r="K107" s="33" t="str">
        <f>'PR 2025'!F105</f>
        <v>BH</v>
      </c>
      <c r="L107" s="34">
        <f>'PR 2025'!T105</f>
        <v>45727</v>
      </c>
      <c r="M107" s="31" t="str">
        <f>'PR 2025'!AG105</f>
        <v>R</v>
      </c>
      <c r="N107" s="34">
        <f>VLOOKUP(C107,'GRS 2025'!$A$2:$AH$1992,4,FALSE)</f>
        <v>45737</v>
      </c>
      <c r="O107" s="69" t="str">
        <f>'PR 2025'!AJ105</f>
        <v>U/ BAGIAN BEA CUKAI (HS CODE : 8471.60.40). BAGUS</v>
      </c>
    </row>
    <row r="108" spans="1:15" x14ac:dyDescent="0.25">
      <c r="A108" s="22" t="str">
        <f t="shared" si="63"/>
        <v>5000015916108012012</v>
      </c>
      <c r="B108" s="22" t="str">
        <f t="shared" si="64"/>
        <v>5000015916797028402</v>
      </c>
      <c r="C108" s="22" t="str">
        <f t="shared" si="65"/>
        <v>500001591679702840</v>
      </c>
      <c r="D108" s="31">
        <v>105</v>
      </c>
      <c r="E108" s="31">
        <f>'PR 2025'!A106</f>
        <v>2</v>
      </c>
      <c r="F108" s="31">
        <f>'PR 2025'!B106</f>
        <v>5000015916</v>
      </c>
      <c r="G108" s="32" t="str">
        <f>'PR 2025'!C106</f>
        <v>RAM DDR3 4GB</v>
      </c>
      <c r="H108" s="31">
        <f>'PR 2025'!D106</f>
        <v>10801201</v>
      </c>
      <c r="I108" s="31">
        <f>VLOOKUP(A108,'PO 2025'!$A$2:$Y$1440,21,FALSE)</f>
        <v>79702840</v>
      </c>
      <c r="J108" s="31">
        <f>'PR 2025'!E106</f>
        <v>1</v>
      </c>
      <c r="K108" s="33" t="str">
        <f>'PR 2025'!F106</f>
        <v>BH</v>
      </c>
      <c r="L108" s="34">
        <f>'PR 2025'!T106</f>
        <v>45727</v>
      </c>
      <c r="M108" s="31" t="str">
        <f>'PR 2025'!AG106</f>
        <v>R</v>
      </c>
      <c r="N108" s="34">
        <f>VLOOKUP(C108,'GRS 2025'!$A$2:$AH$1992,4,FALSE)</f>
        <v>45740</v>
      </c>
      <c r="O108" s="69" t="str">
        <f>'PR 2025'!AJ106</f>
        <v>U/ MENGGANTI YANG RUSAK BAGIAN BEA CUKAI (HS CODE : 8471.50.90). ERDI</v>
      </c>
    </row>
    <row r="109" spans="1:15" x14ac:dyDescent="0.25">
      <c r="A109" s="22" t="str">
        <f t="shared" ref="A109:A110" si="66">F109&amp;H109&amp;E109</f>
        <v>5000000740108012013</v>
      </c>
      <c r="B109" s="22" t="str">
        <f t="shared" ref="B109:B110" si="67">F109&amp;I109&amp;E109</f>
        <v>5000000740797028453</v>
      </c>
      <c r="C109" s="22" t="str">
        <f t="shared" ref="C109:C110" si="68">F109&amp;I109</f>
        <v>500000074079702845</v>
      </c>
      <c r="D109" s="31">
        <v>106</v>
      </c>
      <c r="E109" s="31">
        <f>'PR 2025'!A107</f>
        <v>3</v>
      </c>
      <c r="F109" s="31">
        <f>'PR 2025'!B107</f>
        <v>5000000740</v>
      </c>
      <c r="G109" s="32" t="str">
        <f>'PR 2025'!C107</f>
        <v>CONECTOR RJ 45</v>
      </c>
      <c r="H109" s="31">
        <f>'PR 2025'!D107</f>
        <v>10801201</v>
      </c>
      <c r="I109" s="31">
        <f>VLOOKUP(A109,'PO 2025'!$A$2:$Y$1440,21,FALSE)</f>
        <v>79702845</v>
      </c>
      <c r="J109" s="31">
        <f>'PR 2025'!E107</f>
        <v>600</v>
      </c>
      <c r="K109" s="33" t="str">
        <f>'PR 2025'!F107</f>
        <v>BH</v>
      </c>
      <c r="L109" s="34">
        <f>'PR 2025'!T107</f>
        <v>45729</v>
      </c>
      <c r="M109" s="31" t="str">
        <f>'PR 2025'!AG107</f>
        <v>R</v>
      </c>
      <c r="N109" s="34">
        <f>VLOOKUP(C109,'GRS 2025'!$A$2:$AH$1992,4,FALSE)</f>
        <v>45737</v>
      </c>
      <c r="O109" s="69" t="str">
        <f>'PR 2025'!AJ107</f>
        <v>U/ BAGIAN IT (HS CODE : 8536.70.90). RICKY</v>
      </c>
    </row>
    <row r="110" spans="1:15" x14ac:dyDescent="0.25">
      <c r="A110" s="22" t="str">
        <f t="shared" si="66"/>
        <v>5000016930108012831</v>
      </c>
      <c r="B110" s="22" t="str">
        <f t="shared" si="67"/>
        <v>5000016930797034751</v>
      </c>
      <c r="C110" s="22" t="str">
        <f t="shared" si="68"/>
        <v>500001693079703475</v>
      </c>
      <c r="D110" s="31">
        <v>107</v>
      </c>
      <c r="E110" s="31">
        <f>'PR 2025'!A108</f>
        <v>1</v>
      </c>
      <c r="F110" s="31">
        <f>'PR 2025'!B108</f>
        <v>5000016930</v>
      </c>
      <c r="G110" s="32" t="str">
        <f>'PR 2025'!C108</f>
        <v>PRINT SERVER</v>
      </c>
      <c r="H110" s="31">
        <f>'PR 2025'!D108</f>
        <v>10801283</v>
      </c>
      <c r="I110" s="31">
        <f>VLOOKUP(A110,'PO 2025'!$A$2:$Y$1440,21,FALSE)</f>
        <v>79703475</v>
      </c>
      <c r="J110" s="31">
        <f>'PR 2025'!E108</f>
        <v>2</v>
      </c>
      <c r="K110" s="33" t="str">
        <f>'PR 2025'!F108</f>
        <v>BH</v>
      </c>
      <c r="L110" s="34">
        <f>'PR 2025'!T108</f>
        <v>45733</v>
      </c>
      <c r="M110" s="31" t="str">
        <f>'PR 2025'!AG108</f>
        <v>R</v>
      </c>
      <c r="N110" s="34">
        <f>VLOOKUP(C110,'GRS 2025'!$A$2:$AH$1992,4,FALSE)</f>
        <v>45768</v>
      </c>
      <c r="O110" s="69" t="str">
        <f>'PR 2025'!AJ108</f>
        <v>U/ BAGIAN PPC PROCESSING LJ1 DAN TRAINING &amp; DEV (HS CODE : 8517.79.10). TIO</v>
      </c>
    </row>
    <row r="111" spans="1:15" x14ac:dyDescent="0.25">
      <c r="A111" s="22" t="str">
        <f t="shared" ref="A111:A127" si="69">F111&amp;H111&amp;E111</f>
        <v>5000000739108012832</v>
      </c>
      <c r="B111" s="22" t="str">
        <f t="shared" ref="B111:B127" si="70">F111&amp;I111&amp;E111</f>
        <v>5000000739797029202</v>
      </c>
      <c r="C111" s="22" t="str">
        <f t="shared" ref="C111:C127" si="71">F111&amp;I111</f>
        <v>500000073979702920</v>
      </c>
      <c r="D111" s="31">
        <v>108</v>
      </c>
      <c r="E111" s="31">
        <f>'PR 2025'!A109</f>
        <v>2</v>
      </c>
      <c r="F111" s="31">
        <f>'PR 2025'!B109</f>
        <v>5000000739</v>
      </c>
      <c r="G111" s="32" t="str">
        <f>'PR 2025'!C109</f>
        <v>KABEL UTP BELDEN</v>
      </c>
      <c r="H111" s="31">
        <f>'PR 2025'!D109</f>
        <v>10801283</v>
      </c>
      <c r="I111" s="31">
        <f>VLOOKUP(A111,'PO 2025'!$A$2:$Y$1440,21,FALSE)</f>
        <v>79702920</v>
      </c>
      <c r="J111" s="31">
        <f>'PR 2025'!E109</f>
        <v>4</v>
      </c>
      <c r="K111" s="33" t="str">
        <f>'PR 2025'!F109</f>
        <v>ROL</v>
      </c>
      <c r="L111" s="34">
        <f>'PR 2025'!T109</f>
        <v>45734</v>
      </c>
      <c r="M111" s="31" t="str">
        <f>'PR 2025'!AG109</f>
        <v>R</v>
      </c>
      <c r="N111" s="34">
        <f>VLOOKUP(C111,'GRS 2025'!$A$2:$AH$1992,4,FALSE)</f>
        <v>45741</v>
      </c>
      <c r="O111" s="69" t="str">
        <f>'PR 2025'!AJ109</f>
        <v>U/ PROYEK PERSONALIA, GA DAN RND. (HS CODE : 8517.14.00). TIO</v>
      </c>
    </row>
    <row r="112" spans="1:15" x14ac:dyDescent="0.25">
      <c r="A112" s="22" t="str">
        <f t="shared" si="69"/>
        <v>5000016554108012833</v>
      </c>
      <c r="B112" s="22" t="str">
        <f t="shared" si="70"/>
        <v>5000016554797031873</v>
      </c>
      <c r="C112" s="22" t="str">
        <f t="shared" si="71"/>
        <v>500001655479703187</v>
      </c>
      <c r="D112" s="31">
        <v>109</v>
      </c>
      <c r="E112" s="31">
        <f>'PR 2025'!A110</f>
        <v>3</v>
      </c>
      <c r="F112" s="31">
        <f>'PR 2025'!B110</f>
        <v>5000016554</v>
      </c>
      <c r="G112" s="32" t="str">
        <f>'PR 2025'!C110</f>
        <v>KARTU RFID</v>
      </c>
      <c r="H112" s="31">
        <f>'PR 2025'!D110</f>
        <v>10801283</v>
      </c>
      <c r="I112" s="31">
        <f>VLOOKUP(A112,'PO 2025'!$A$2:$Y$1440,21,FALSE)</f>
        <v>79703187</v>
      </c>
      <c r="J112" s="31">
        <f>'PR 2025'!E110</f>
        <v>400</v>
      </c>
      <c r="K112" s="33" t="str">
        <f>'PR 2025'!F110</f>
        <v>BH</v>
      </c>
      <c r="L112" s="34">
        <f>'PR 2025'!T110</f>
        <v>45735</v>
      </c>
      <c r="M112" s="31" t="str">
        <f>'PR 2025'!AG110</f>
        <v>R</v>
      </c>
      <c r="N112" s="34">
        <f>VLOOKUP(C112,'GRS 2025'!$A$2:$AH$1992,4,FALSE)</f>
        <v>45759</v>
      </c>
      <c r="O112" s="69" t="str">
        <f>'PR 2025'!AJ110</f>
        <v>U/ BAGIAN PERSONALIA (HS CODE : 8523.59.10). ERIK</v>
      </c>
    </row>
    <row r="113" spans="1:15" x14ac:dyDescent="0.25">
      <c r="A113" s="22" t="str">
        <f t="shared" si="69"/>
        <v>5000000739108013381</v>
      </c>
      <c r="B113" s="22" t="str">
        <f t="shared" si="70"/>
        <v>5000000739797029201</v>
      </c>
      <c r="C113" s="22" t="str">
        <f t="shared" si="71"/>
        <v>500000073979702920</v>
      </c>
      <c r="D113" s="31">
        <v>110</v>
      </c>
      <c r="E113" s="31">
        <f>'PR 2025'!A111</f>
        <v>1</v>
      </c>
      <c r="F113" s="31">
        <f>'PR 2025'!B111</f>
        <v>5000000739</v>
      </c>
      <c r="G113" s="32" t="str">
        <f>'PR 2025'!C111</f>
        <v>KABEL UTP BELDEN</v>
      </c>
      <c r="H113" s="31">
        <f>'PR 2025'!D111</f>
        <v>10801338</v>
      </c>
      <c r="I113" s="31">
        <f>VLOOKUP(A113,'PO 2025'!$A$2:$Y$1440,21,FALSE)</f>
        <v>79702920</v>
      </c>
      <c r="J113" s="31">
        <f>'PR 2025'!E111</f>
        <v>3</v>
      </c>
      <c r="K113" s="33" t="str">
        <f>'PR 2025'!F111</f>
        <v>ROL</v>
      </c>
      <c r="L113" s="34">
        <f>'PR 2025'!T111</f>
        <v>45735</v>
      </c>
      <c r="M113" s="31" t="str">
        <f>'PR 2025'!AG111</f>
        <v>R</v>
      </c>
      <c r="N113" s="34">
        <f>VLOOKUP(C113,'GRS 2025'!$A$2:$AH$1992,4,FALSE)</f>
        <v>45741</v>
      </c>
      <c r="O113" s="69" t="str">
        <f>'PR 2025'!AJ111</f>
        <v>URGENT : U/ AREA GD BENANG, GD OBAT &amp; GD BEKAS. (HS CODE : 8517.14.00) ERDI</v>
      </c>
    </row>
    <row r="114" spans="1:15" x14ac:dyDescent="0.25">
      <c r="A114" s="22" t="str">
        <f t="shared" si="69"/>
        <v>5000000740108013382</v>
      </c>
      <c r="B114" s="22" t="str">
        <f t="shared" si="70"/>
        <v>5000000740797029202</v>
      </c>
      <c r="C114" s="22" t="str">
        <f t="shared" si="71"/>
        <v>500000074079702920</v>
      </c>
      <c r="D114" s="31">
        <v>111</v>
      </c>
      <c r="E114" s="31">
        <f>'PR 2025'!A112</f>
        <v>2</v>
      </c>
      <c r="F114" s="31">
        <f>'PR 2025'!B112</f>
        <v>5000000740</v>
      </c>
      <c r="G114" s="32" t="str">
        <f>'PR 2025'!C112</f>
        <v>CONECTOR RJ 45</v>
      </c>
      <c r="H114" s="31">
        <f>'PR 2025'!D112</f>
        <v>10801338</v>
      </c>
      <c r="I114" s="31">
        <f>VLOOKUP(A114,'PO 2025'!$A$2:$Y$1440,21,FALSE)</f>
        <v>79702920</v>
      </c>
      <c r="J114" s="31">
        <f>'PR 2025'!E112</f>
        <v>100</v>
      </c>
      <c r="K114" s="33" t="str">
        <f>'PR 2025'!F112</f>
        <v>BH</v>
      </c>
      <c r="L114" s="34">
        <f>'PR 2025'!T112</f>
        <v>45735</v>
      </c>
      <c r="M114" s="31" t="str">
        <f>'PR 2025'!AG112</f>
        <v>R</v>
      </c>
      <c r="N114" s="34">
        <f>VLOOKUP(C114,'GRS 2025'!$A$2:$AH$1992,4,FALSE)</f>
        <v>45741</v>
      </c>
      <c r="O114" s="69" t="str">
        <f>'PR 2025'!AJ112</f>
        <v>URGENT : U/ BAGIAN IT. (HS CODE : 8536.70.90) ERDI</v>
      </c>
    </row>
    <row r="115" spans="1:15" x14ac:dyDescent="0.25">
      <c r="A115" s="22" t="str">
        <f t="shared" si="69"/>
        <v>5000014668108013383</v>
      </c>
      <c r="B115" s="22" t="str">
        <f t="shared" si="70"/>
        <v>5000014668797029303</v>
      </c>
      <c r="C115" s="22" t="str">
        <f t="shared" si="71"/>
        <v>500001466879702930</v>
      </c>
      <c r="D115" s="31">
        <v>112</v>
      </c>
      <c r="E115" s="31">
        <f>'PR 2025'!A113</f>
        <v>3</v>
      </c>
      <c r="F115" s="31">
        <f>'PR 2025'!B113</f>
        <v>5000014668</v>
      </c>
      <c r="G115" s="32" t="str">
        <f>'PR 2025'!C113</f>
        <v>NVR 16CH DAHUA 4216</v>
      </c>
      <c r="H115" s="31">
        <f>'PR 2025'!D113</f>
        <v>10801338</v>
      </c>
      <c r="I115" s="31">
        <f>VLOOKUP(A115,'PO 2025'!$A$2:$Y$1440,21,FALSE)</f>
        <v>79702930</v>
      </c>
      <c r="J115" s="31">
        <f>'PR 2025'!E113</f>
        <v>1</v>
      </c>
      <c r="K115" s="33" t="str">
        <f>'PR 2025'!F113</f>
        <v>UNT</v>
      </c>
      <c r="L115" s="34">
        <f>'PR 2025'!T113</f>
        <v>45735</v>
      </c>
      <c r="M115" s="31" t="str">
        <f>'PR 2025'!AG113</f>
        <v>R</v>
      </c>
      <c r="N115" s="34">
        <f>VLOOKUP(C115,'GRS 2025'!$A$2:$AH$1992,4,FALSE)</f>
        <v>45741</v>
      </c>
      <c r="O115" s="69" t="str">
        <f>'PR 2025'!AJ113</f>
        <v>URGENT : U/ S. MGR. PRODUKSI, TEKNIK, ADMIN &amp; HRD (BPK ZENZEN). (HS CODE : 8521.90.99) ERDI</v>
      </c>
    </row>
    <row r="116" spans="1:15" x14ac:dyDescent="0.25">
      <c r="A116" s="22" t="str">
        <f t="shared" si="69"/>
        <v>5000015833108013384</v>
      </c>
      <c r="B116" s="22" t="str">
        <f t="shared" si="70"/>
        <v>5000015833797029174</v>
      </c>
      <c r="C116" s="22" t="str">
        <f t="shared" si="71"/>
        <v>500001583379702917</v>
      </c>
      <c r="D116" s="31">
        <v>113</v>
      </c>
      <c r="E116" s="31">
        <f>'PR 2025'!A114</f>
        <v>4</v>
      </c>
      <c r="F116" s="31">
        <f>'PR 2025'!B114</f>
        <v>5000015833</v>
      </c>
      <c r="G116" s="32" t="str">
        <f>'PR 2025'!C114</f>
        <v>HARDISK 8 TB WD PURPLE</v>
      </c>
      <c r="H116" s="31">
        <f>'PR 2025'!D114</f>
        <v>10801338</v>
      </c>
      <c r="I116" s="31">
        <f>VLOOKUP(A116,'PO 2025'!$A$2:$Y$1440,21,FALSE)</f>
        <v>79702917</v>
      </c>
      <c r="J116" s="31">
        <f>'PR 2025'!E114</f>
        <v>1</v>
      </c>
      <c r="K116" s="33" t="str">
        <f>'PR 2025'!F114</f>
        <v>UNT</v>
      </c>
      <c r="L116" s="34">
        <f>'PR 2025'!T114</f>
        <v>45735</v>
      </c>
      <c r="M116" s="31" t="str">
        <f>'PR 2025'!AG114</f>
        <v>R</v>
      </c>
      <c r="N116" s="34">
        <f>VLOOKUP(C116,'GRS 2025'!$A$2:$AH$1992,4,FALSE)</f>
        <v>45741</v>
      </c>
      <c r="O116" s="69" t="str">
        <f>'PR 2025'!AJ114</f>
        <v>URGENT : U/ S. MGR. PRODUKSI, TEKNIK, ADMIN &amp; HRD (BPK ZENZEN). (HS CODE : 8471.50.90) ERDI</v>
      </c>
    </row>
    <row r="117" spans="1:15" x14ac:dyDescent="0.25">
      <c r="A117" s="22" t="str">
        <f t="shared" si="69"/>
        <v>5000016541108013421</v>
      </c>
      <c r="B117" s="22" t="str">
        <f t="shared" si="70"/>
        <v>5000016541797030171</v>
      </c>
      <c r="C117" s="22" t="str">
        <f t="shared" si="71"/>
        <v>500001654179703017</v>
      </c>
      <c r="D117" s="52">
        <v>114</v>
      </c>
      <c r="E117" s="52">
        <f>'PR 2025'!A115</f>
        <v>1</v>
      </c>
      <c r="F117" s="52">
        <f>'PR 2025'!B115</f>
        <v>5000016541</v>
      </c>
      <c r="G117" s="53" t="str">
        <f>'PR 2025'!C115</f>
        <v>FLASH DISK 16 GB</v>
      </c>
      <c r="H117" s="52">
        <f>'PR 2025'!D115</f>
        <v>10801342</v>
      </c>
      <c r="I117" s="52">
        <f>VLOOKUP(A117,'PO 2025'!$A$2:$Y$1440,21,FALSE)</f>
        <v>79703017</v>
      </c>
      <c r="J117" s="52">
        <f>'PR 2025'!E115</f>
        <v>2</v>
      </c>
      <c r="K117" s="54" t="str">
        <f>'PR 2025'!F115</f>
        <v>BH</v>
      </c>
      <c r="L117" s="55">
        <f>'PR 2025'!T115</f>
        <v>45736</v>
      </c>
      <c r="M117" s="52" t="str">
        <f>'PR 2025'!AG115</f>
        <v>R</v>
      </c>
      <c r="N117" s="55">
        <f>VLOOKUP(C117,'GRS 2025'!$A$2:$AH$1992,4,FALSE)</f>
        <v>45742</v>
      </c>
      <c r="O117" s="72" t="str">
        <f>'PR 2025'!AJ115</f>
        <v>U/ BAGIAN GA (HS CODE : 8523.29.71). RISWADI</v>
      </c>
    </row>
    <row r="118" spans="1:15" x14ac:dyDescent="0.25">
      <c r="A118" s="22" t="str">
        <f t="shared" si="69"/>
        <v>5000015861108013422</v>
      </c>
      <c r="B118" s="22" t="str">
        <f t="shared" si="70"/>
        <v>5000015861797029812</v>
      </c>
      <c r="C118" s="22" t="str">
        <f t="shared" si="71"/>
        <v>500001586179702981</v>
      </c>
      <c r="D118" s="31">
        <v>115</v>
      </c>
      <c r="E118" s="31">
        <f>'PR 2025'!A116</f>
        <v>2</v>
      </c>
      <c r="F118" s="31">
        <f>'PR 2025'!B116</f>
        <v>5000015861</v>
      </c>
      <c r="G118" s="32" t="str">
        <f>'PR 2025'!C116</f>
        <v>KAMERA WATERPROOF IP 4MP DAHUA POE</v>
      </c>
      <c r="H118" s="31">
        <f>'PR 2025'!D116</f>
        <v>10801342</v>
      </c>
      <c r="I118" s="31">
        <f>VLOOKUP(A118,'PO 2025'!$A$2:$Y$1440,21,FALSE)</f>
        <v>79702981</v>
      </c>
      <c r="J118" s="31">
        <f>'PR 2025'!E116</f>
        <v>8</v>
      </c>
      <c r="K118" s="33" t="str">
        <f>'PR 2025'!F116</f>
        <v>UNT</v>
      </c>
      <c r="L118" s="34">
        <f>'PR 2025'!T116</f>
        <v>45736</v>
      </c>
      <c r="M118" s="31" t="str">
        <f>'PR 2025'!AG116</f>
        <v>R</v>
      </c>
      <c r="N118" s="34">
        <f>VLOOKUP(C118,'GRS 2025'!$A$2:$AH$1992,4,FALSE)</f>
        <v>45741</v>
      </c>
      <c r="O118" s="69" t="str">
        <f>'PR 2025'!AJ116</f>
        <v>URGENT : PERMINTAAN BPK ZENZEN ADA PENAMBAHAN AREA PERGUDANGAN (HS CODE : 8525.81.10). IDRUS</v>
      </c>
    </row>
    <row r="119" spans="1:15" x14ac:dyDescent="0.25">
      <c r="A119" s="22" t="str">
        <f t="shared" si="69"/>
        <v>5000015000108013423</v>
      </c>
      <c r="B119" s="22" t="str">
        <f t="shared" si="70"/>
        <v>5000015000797029813</v>
      </c>
      <c r="C119" s="22" t="str">
        <f t="shared" si="71"/>
        <v>500001500079702981</v>
      </c>
      <c r="D119" s="31">
        <v>116</v>
      </c>
      <c r="E119" s="31">
        <f>'PR 2025'!A117</f>
        <v>3</v>
      </c>
      <c r="F119" s="31">
        <f>'PR 2025'!B117</f>
        <v>5000015000</v>
      </c>
      <c r="G119" s="32" t="str">
        <f>'PR 2025'!C117</f>
        <v>POE INJECTOR</v>
      </c>
      <c r="H119" s="31">
        <f>'PR 2025'!D117</f>
        <v>10801342</v>
      </c>
      <c r="I119" s="31">
        <f>VLOOKUP(A119,'PO 2025'!$A$2:$Y$1440,21,FALSE)</f>
        <v>79702981</v>
      </c>
      <c r="J119" s="31">
        <f>'PR 2025'!E117</f>
        <v>8</v>
      </c>
      <c r="K119" s="33" t="str">
        <f>'PR 2025'!F117</f>
        <v>UNT</v>
      </c>
      <c r="L119" s="34">
        <f>'PR 2025'!T117</f>
        <v>45736</v>
      </c>
      <c r="M119" s="31" t="str">
        <f>'PR 2025'!AG117</f>
        <v>R</v>
      </c>
      <c r="N119" s="34">
        <f>VLOOKUP(C119,'GRS 2025'!$A$2:$AH$1992,4,FALSE)</f>
        <v>45741</v>
      </c>
      <c r="O119" s="69" t="str">
        <f>'PR 2025'!AJ117</f>
        <v>URGENT : PERMINTAAN BPK ZENZEN ADA PENAMBAHAN AREA PERGUDANGAN (HS CODE : 8517.79.10). IDRUS</v>
      </c>
    </row>
    <row r="120" spans="1:15" x14ac:dyDescent="0.25">
      <c r="A120" s="22" t="str">
        <f t="shared" si="69"/>
        <v>5000008843108013424</v>
      </c>
      <c r="B120" s="22" t="str">
        <f t="shared" si="70"/>
        <v>5000008843797029894</v>
      </c>
      <c r="C120" s="22" t="str">
        <f t="shared" si="71"/>
        <v>500000884379702989</v>
      </c>
      <c r="D120" s="31">
        <v>117</v>
      </c>
      <c r="E120" s="31">
        <f>'PR 2025'!A118</f>
        <v>4</v>
      </c>
      <c r="F120" s="31">
        <f>'PR 2025'!B118</f>
        <v>5000008843</v>
      </c>
      <c r="G120" s="32" t="str">
        <f>'PR 2025'!C118</f>
        <v>MONITOR LCD 19 INCH</v>
      </c>
      <c r="H120" s="31">
        <f>'PR 2025'!D118</f>
        <v>10801342</v>
      </c>
      <c r="I120" s="31">
        <f>VLOOKUP(A120,'PO 2025'!$A$2:$Y$1440,21,FALSE)</f>
        <v>79702989</v>
      </c>
      <c r="J120" s="31">
        <f>'PR 2025'!E118</f>
        <v>1</v>
      </c>
      <c r="K120" s="33" t="str">
        <f>'PR 2025'!F118</f>
        <v>UNT</v>
      </c>
      <c r="L120" s="34">
        <f>'PR 2025'!T118</f>
        <v>45736</v>
      </c>
      <c r="M120" s="31" t="str">
        <f>'PR 2025'!AG118</f>
        <v>R</v>
      </c>
      <c r="N120" s="34">
        <f>VLOOKUP(C120,'GRS 2025'!$A$2:$AH$1992,4,FALSE)</f>
        <v>45741</v>
      </c>
      <c r="O120" s="69" t="str">
        <f>'PR 2025'!AJ118</f>
        <v>U/ ASST. MGR. TEKNIK (HS CODE : 8528.52.00). REYZA</v>
      </c>
    </row>
    <row r="121" spans="1:15" x14ac:dyDescent="0.25">
      <c r="A121" s="22" t="str">
        <f t="shared" si="69"/>
        <v>5000016308108013425</v>
      </c>
      <c r="B121" s="22" t="str">
        <f t="shared" si="70"/>
        <v>5000016308797029905</v>
      </c>
      <c r="C121" s="22" t="str">
        <f t="shared" si="71"/>
        <v>500001630879702990</v>
      </c>
      <c r="D121" s="31">
        <v>118</v>
      </c>
      <c r="E121" s="31">
        <f>'PR 2025'!A119</f>
        <v>5</v>
      </c>
      <c r="F121" s="31">
        <f>'PR 2025'!B119</f>
        <v>5000016308</v>
      </c>
      <c r="G121" s="32" t="str">
        <f>'PR 2025'!C119</f>
        <v>CPU BUILDUP</v>
      </c>
      <c r="H121" s="31">
        <f>'PR 2025'!D119</f>
        <v>10801342</v>
      </c>
      <c r="I121" s="31">
        <f>VLOOKUP(A121,'PO 2025'!$A$2:$Y$1440,21,FALSE)</f>
        <v>79702990</v>
      </c>
      <c r="J121" s="31">
        <f>'PR 2025'!E119</f>
        <v>1</v>
      </c>
      <c r="K121" s="33" t="str">
        <f>'PR 2025'!F119</f>
        <v>UNT</v>
      </c>
      <c r="L121" s="34">
        <f>'PR 2025'!T119</f>
        <v>45736</v>
      </c>
      <c r="M121" s="31" t="str">
        <f>'PR 2025'!AG119</f>
        <v>R</v>
      </c>
      <c r="N121" s="34">
        <f>VLOOKUP(C121,'GRS 2025'!$A$2:$AH$1992,4,FALSE)</f>
        <v>45741</v>
      </c>
      <c r="O121" s="69" t="str">
        <f>'PR 2025'!AJ119</f>
        <v>U/ ASST. MGR. TEKNIK (HS CODE : 8479.89.50). REYZA</v>
      </c>
    </row>
    <row r="122" spans="1:15" x14ac:dyDescent="0.25">
      <c r="A122" s="22" t="str">
        <f t="shared" si="69"/>
        <v>5000005059108013426</v>
      </c>
      <c r="B122" s="22" t="str">
        <f t="shared" si="70"/>
        <v>5000005059797030176</v>
      </c>
      <c r="C122" s="22" t="str">
        <f t="shared" si="71"/>
        <v>500000505979703017</v>
      </c>
      <c r="D122" s="52">
        <v>119</v>
      </c>
      <c r="E122" s="52">
        <f>'PR 2025'!A120</f>
        <v>6</v>
      </c>
      <c r="F122" s="52">
        <f>'PR 2025'!B120</f>
        <v>5000005059</v>
      </c>
      <c r="G122" s="53" t="str">
        <f>'PR 2025'!C120</f>
        <v>KEYBOARD USB</v>
      </c>
      <c r="H122" s="52">
        <f>'PR 2025'!D120</f>
        <v>10801342</v>
      </c>
      <c r="I122" s="52">
        <f>VLOOKUP(A122,'PO 2025'!$A$2:$Y$1440,21,FALSE)</f>
        <v>79703017</v>
      </c>
      <c r="J122" s="52">
        <f>'PR 2025'!E120</f>
        <v>1</v>
      </c>
      <c r="K122" s="54" t="str">
        <f>'PR 2025'!F120</f>
        <v>BH</v>
      </c>
      <c r="L122" s="55">
        <f>'PR 2025'!T120</f>
        <v>45736</v>
      </c>
      <c r="M122" s="52" t="str">
        <f>'PR 2025'!AG120</f>
        <v>R</v>
      </c>
      <c r="N122" s="55">
        <f>VLOOKUP(C122,'GRS 2025'!$A$2:$AH$1992,4,FALSE)</f>
        <v>45742</v>
      </c>
      <c r="O122" s="72" t="str">
        <f>'PR 2025'!AJ120</f>
        <v>U/ ASST. MGR. TEKNIK (HS CODE : 8471.60.30). REYZA</v>
      </c>
    </row>
    <row r="123" spans="1:15" x14ac:dyDescent="0.25">
      <c r="A123" s="22" t="str">
        <f t="shared" si="69"/>
        <v>5000004248108013427</v>
      </c>
      <c r="B123" s="22" t="str">
        <f t="shared" si="70"/>
        <v>5000004248797030177</v>
      </c>
      <c r="C123" s="22" t="str">
        <f t="shared" si="71"/>
        <v>500000424879703017</v>
      </c>
      <c r="D123" s="52">
        <v>120</v>
      </c>
      <c r="E123" s="52">
        <f>'PR 2025'!A121</f>
        <v>7</v>
      </c>
      <c r="F123" s="52">
        <f>'PR 2025'!B121</f>
        <v>5000004248</v>
      </c>
      <c r="G123" s="53" t="str">
        <f>'PR 2025'!C121</f>
        <v>MOUSE USB</v>
      </c>
      <c r="H123" s="52">
        <f>'PR 2025'!D121</f>
        <v>10801342</v>
      </c>
      <c r="I123" s="52">
        <f>VLOOKUP(A123,'PO 2025'!$A$2:$Y$1440,21,FALSE)</f>
        <v>79703017</v>
      </c>
      <c r="J123" s="52">
        <f>'PR 2025'!E121</f>
        <v>1</v>
      </c>
      <c r="K123" s="54" t="str">
        <f>'PR 2025'!F121</f>
        <v>BH</v>
      </c>
      <c r="L123" s="55">
        <f>'PR 2025'!T121</f>
        <v>45736</v>
      </c>
      <c r="M123" s="52" t="str">
        <f>'PR 2025'!AG121</f>
        <v>R</v>
      </c>
      <c r="N123" s="55">
        <f>VLOOKUP(C123,'GRS 2025'!$A$2:$AH$1992,4,FALSE)</f>
        <v>45742</v>
      </c>
      <c r="O123" s="72" t="str">
        <f>'PR 2025'!AJ121</f>
        <v>U/ ASST. MGR. TEKNIK (HS CODE : 8471.60.40). REYZA</v>
      </c>
    </row>
    <row r="124" spans="1:15" x14ac:dyDescent="0.25">
      <c r="A124" s="22" t="str">
        <f t="shared" si="69"/>
        <v>5000014904108013428</v>
      </c>
      <c r="B124" s="22" t="str">
        <f t="shared" si="70"/>
        <v>5000014904797030188</v>
      </c>
      <c r="C124" s="22" t="str">
        <f t="shared" si="71"/>
        <v>500001490479703018</v>
      </c>
      <c r="D124" s="52">
        <v>121</v>
      </c>
      <c r="E124" s="52">
        <f>'PR 2025'!A122</f>
        <v>8</v>
      </c>
      <c r="F124" s="52">
        <f>'PR 2025'!B122</f>
        <v>5000014904</v>
      </c>
      <c r="G124" s="53" t="str">
        <f>'PR 2025'!C122</f>
        <v>FINGER SCAN SOLUTION X100-C</v>
      </c>
      <c r="H124" s="52">
        <f>'PR 2025'!D122</f>
        <v>10801342</v>
      </c>
      <c r="I124" s="52">
        <f>VLOOKUP(A124,'PO 2025'!$A$2:$Y$1440,21,FALSE)</f>
        <v>79703018</v>
      </c>
      <c r="J124" s="52">
        <f>'PR 2025'!E122</f>
        <v>1</v>
      </c>
      <c r="K124" s="54" t="str">
        <f>'PR 2025'!F122</f>
        <v>UNT</v>
      </c>
      <c r="L124" s="55">
        <f>'PR 2025'!T122</f>
        <v>45736</v>
      </c>
      <c r="M124" s="52" t="str">
        <f>'PR 2025'!AG122</f>
        <v>R</v>
      </c>
      <c r="N124" s="55">
        <f>VLOOKUP(C124,'GRS 2025'!$A$2:$AH$1992,4,FALSE)</f>
        <v>45754</v>
      </c>
      <c r="O124" s="72" t="str">
        <f>'PR 2025'!AJ122</f>
        <v>U/ MENGGANTI YANG RUSAK DI AREA LJ2 (HS CODE : 8471.90.30). ERIK</v>
      </c>
    </row>
    <row r="125" spans="1:15" x14ac:dyDescent="0.25">
      <c r="A125" s="22" t="str">
        <f t="shared" si="69"/>
        <v>5000011754108013429</v>
      </c>
      <c r="B125" s="22" t="str">
        <f t="shared" si="70"/>
        <v>5000011754797030179</v>
      </c>
      <c r="C125" s="22" t="str">
        <f t="shared" si="71"/>
        <v>500001175479703017</v>
      </c>
      <c r="D125" s="52">
        <v>122</v>
      </c>
      <c r="E125" s="52">
        <f>'PR 2025'!A123</f>
        <v>9</v>
      </c>
      <c r="F125" s="52">
        <f>'PR 2025'!B123</f>
        <v>5000011754</v>
      </c>
      <c r="G125" s="53" t="str">
        <f>'PR 2025'!C123</f>
        <v>MOUSE PAD</v>
      </c>
      <c r="H125" s="52">
        <f>'PR 2025'!D123</f>
        <v>10801342</v>
      </c>
      <c r="I125" s="52">
        <f>VLOOKUP(A125,'PO 2025'!$A$2:$Y$1440,21,FALSE)</f>
        <v>79703017</v>
      </c>
      <c r="J125" s="52">
        <f>'PR 2025'!E123</f>
        <v>2</v>
      </c>
      <c r="K125" s="54" t="str">
        <f>'PR 2025'!F123</f>
        <v>BH</v>
      </c>
      <c r="L125" s="55">
        <f>'PR 2025'!T123</f>
        <v>45736</v>
      </c>
      <c r="M125" s="52" t="str">
        <f>'PR 2025'!AG123</f>
        <v>R</v>
      </c>
      <c r="N125" s="55">
        <f>VLOOKUP(C125,'GRS 2025'!$A$2:$AH$1992,4,FALSE)</f>
        <v>45742</v>
      </c>
      <c r="O125" s="72" t="str">
        <f>'PR 2025'!AJ123</f>
        <v>U/ BAGIAN BEA CUKAI (HS CODE : 8471.60.40). BAGUS</v>
      </c>
    </row>
    <row r="126" spans="1:15" x14ac:dyDescent="0.25">
      <c r="A126" s="22" t="str">
        <f t="shared" si="69"/>
        <v>50000164281080134210</v>
      </c>
      <c r="B126" s="22" t="str">
        <f t="shared" si="70"/>
        <v>50000164287970298910</v>
      </c>
      <c r="C126" s="22" t="str">
        <f t="shared" si="71"/>
        <v>500001642879702989</v>
      </c>
      <c r="D126" s="31">
        <v>123</v>
      </c>
      <c r="E126" s="31">
        <f>'PR 2025'!A124</f>
        <v>10</v>
      </c>
      <c r="F126" s="31">
        <f>'PR 2025'!B124</f>
        <v>5000016428</v>
      </c>
      <c r="G126" s="32" t="str">
        <f>'PR 2025'!C124</f>
        <v>PRINTER EPSON L-121</v>
      </c>
      <c r="H126" s="31">
        <f>'PR 2025'!D124</f>
        <v>10801342</v>
      </c>
      <c r="I126" s="31">
        <f>VLOOKUP(A126,'PO 2025'!$A$2:$Y$1440,21,FALSE)</f>
        <v>79702989</v>
      </c>
      <c r="J126" s="31">
        <f>'PR 2025'!E124</f>
        <v>1</v>
      </c>
      <c r="K126" s="33" t="str">
        <f>'PR 2025'!F124</f>
        <v>UNT</v>
      </c>
      <c r="L126" s="34">
        <f>'PR 2025'!T124</f>
        <v>45736</v>
      </c>
      <c r="M126" s="31" t="str">
        <f>'PR 2025'!AG124</f>
        <v>R</v>
      </c>
      <c r="N126" s="34">
        <f>VLOOKUP(C126,'GRS 2025'!$A$2:$AH$1992,4,FALSE)</f>
        <v>45741</v>
      </c>
      <c r="O126" s="69" t="str">
        <f>'PR 2025'!AJ124</f>
        <v>U/ ASST. MGR. TEKNIK (HS CODE : 8443.31.11). REYZA</v>
      </c>
    </row>
    <row r="127" spans="1:15" x14ac:dyDescent="0.25">
      <c r="A127" s="22" t="str">
        <f t="shared" si="69"/>
        <v>50000177171080134211</v>
      </c>
      <c r="B127" s="22" t="str">
        <f t="shared" si="70"/>
        <v>50000177177970364811</v>
      </c>
      <c r="C127" s="22" t="str">
        <f t="shared" si="71"/>
        <v>500001771779703648</v>
      </c>
      <c r="D127" s="31">
        <v>124</v>
      </c>
      <c r="E127" s="31">
        <f>'PR 2025'!A125</f>
        <v>11</v>
      </c>
      <c r="F127" s="31">
        <f>'PR 2025'!B125</f>
        <v>5000017717</v>
      </c>
      <c r="G127" s="32" t="str">
        <f>'PR 2025'!C125</f>
        <v>BOX CUSTOM</v>
      </c>
      <c r="H127" s="31">
        <f>'PR 2025'!D125</f>
        <v>10801342</v>
      </c>
      <c r="I127" s="31">
        <f>VLOOKUP(A127,'PO 2025'!$A$2:$Y$1440,21,FALSE)</f>
        <v>79703648</v>
      </c>
      <c r="J127" s="31">
        <f>'PR 2025'!E125</f>
        <v>4</v>
      </c>
      <c r="K127" s="33" t="str">
        <f>'PR 2025'!F125</f>
        <v>BH</v>
      </c>
      <c r="L127" s="34">
        <f>'PR 2025'!T125</f>
        <v>45736</v>
      </c>
      <c r="M127" s="31" t="str">
        <f>'PR 2025'!AG125</f>
        <v>R</v>
      </c>
      <c r="N127" s="34">
        <f>VLOOKUP(C127,'GRS 2025'!$A$2:$AH$1992,4,FALSE)</f>
        <v>45777</v>
      </c>
      <c r="O127" s="69" t="str">
        <f>'PR 2025'!AJ125</f>
        <v>URGENT : U/ CCTV PERMINTAAN BPK ZENZEN (HS CODE: 8537.20.90). IDRUS</v>
      </c>
    </row>
    <row r="128" spans="1:15" x14ac:dyDescent="0.25">
      <c r="A128" s="22" t="str">
        <f t="shared" ref="A128" si="72">F128&amp;H128&amp;E128</f>
        <v>50000139111080134212</v>
      </c>
      <c r="B128" s="22" t="str">
        <f t="shared" ref="B128" si="73">F128&amp;I128&amp;E128</f>
        <v>50000139117970301712</v>
      </c>
      <c r="C128" s="22" t="str">
        <f t="shared" ref="C128" si="74">F128&amp;I128</f>
        <v>500001391179703017</v>
      </c>
      <c r="D128" s="52">
        <v>125</v>
      </c>
      <c r="E128" s="52">
        <f>'PR 2025'!A126</f>
        <v>12</v>
      </c>
      <c r="F128" s="52">
        <f>'PR 2025'!B126</f>
        <v>5000013911</v>
      </c>
      <c r="G128" s="53" t="str">
        <f>'PR 2025'!C126</f>
        <v>FLASHDISK 32GB</v>
      </c>
      <c r="H128" s="52">
        <f>'PR 2025'!D126</f>
        <v>10801342</v>
      </c>
      <c r="I128" s="52">
        <f>VLOOKUP(A128,'PO 2025'!$A$2:$Y$1440,21,FALSE)</f>
        <v>79703017</v>
      </c>
      <c r="J128" s="52">
        <f>'PR 2025'!E126</f>
        <v>1</v>
      </c>
      <c r="K128" s="54" t="str">
        <f>'PR 2025'!F126</f>
        <v>BH</v>
      </c>
      <c r="L128" s="55">
        <f>'PR 2025'!T126</f>
        <v>45736</v>
      </c>
      <c r="M128" s="52" t="str">
        <f>'PR 2025'!AG126</f>
        <v>R</v>
      </c>
      <c r="N128" s="55">
        <f>VLOOKUP(C128,'GRS 2025'!$A$2:$AH$1992,4,FALSE)</f>
        <v>45742</v>
      </c>
      <c r="O128" s="72" t="str">
        <f>'PR 2025'!AJ126</f>
        <v>U/ ASST. MGR. PRODUKSI (BPK DEDE R) (HS CODE : 8523.29.71). KARISA</v>
      </c>
    </row>
    <row r="129" spans="1:15" x14ac:dyDescent="0.25">
      <c r="A129" s="22" t="str">
        <f t="shared" ref="A129" si="75">F129&amp;H129&amp;E129</f>
        <v>5000016322108013601</v>
      </c>
      <c r="B129" s="22" t="e">
        <f t="shared" ref="B129" si="76">F129&amp;I129&amp;E129</f>
        <v>#N/A</v>
      </c>
      <c r="C129" s="22" t="e">
        <f t="shared" ref="C129" si="77">F129&amp;I129</f>
        <v>#N/A</v>
      </c>
      <c r="D129" s="39">
        <v>126</v>
      </c>
      <c r="E129" s="39">
        <f>'PR 2025'!A127</f>
        <v>1</v>
      </c>
      <c r="F129" s="39">
        <f>'PR 2025'!B127</f>
        <v>5000016322</v>
      </c>
      <c r="G129" s="40" t="str">
        <f>'PR 2025'!C127</f>
        <v>KABEL EXTENTION CORE</v>
      </c>
      <c r="H129" s="39">
        <f>'PR 2025'!D127</f>
        <v>10801360</v>
      </c>
      <c r="I129" s="39" t="e">
        <f>VLOOKUP(A129,'PO 2025'!$A$2:$Y$1440,21,FALSE)</f>
        <v>#N/A</v>
      </c>
      <c r="J129" s="39">
        <f>'PR 2025'!E127</f>
        <v>10</v>
      </c>
      <c r="K129" s="41" t="str">
        <f>'PR 2025'!F127</f>
        <v>BH</v>
      </c>
      <c r="L129" s="42">
        <f>'PR 2025'!T127</f>
        <v>45737</v>
      </c>
      <c r="M129" s="39" t="str">
        <f>'PR 2025'!AG127</f>
        <v>R</v>
      </c>
      <c r="N129" s="42" t="e">
        <f>VLOOKUP(C129,'GRS 2025'!$A$2:$AH$1992,4,FALSE)</f>
        <v>#N/A</v>
      </c>
      <c r="O129" s="73" t="str">
        <f>'PR 2025'!AJ127</f>
        <v>U/ BAGIAN IT (HS CODE : 8544.42.91). RICKY</v>
      </c>
    </row>
    <row r="130" spans="1:15" x14ac:dyDescent="0.25">
      <c r="A130" s="22" t="str">
        <f t="shared" ref="A130:A135" si="78">F130&amp;H130&amp;E130</f>
        <v>5000017047108014461</v>
      </c>
      <c r="B130" s="22" t="str">
        <f t="shared" ref="B130:B135" si="79">F130&amp;I130&amp;E130</f>
        <v>5000017047797036401</v>
      </c>
      <c r="C130" s="22" t="str">
        <f t="shared" ref="C130:C135" si="80">F130&amp;I130</f>
        <v>500001704779703640</v>
      </c>
      <c r="D130" s="31">
        <v>127</v>
      </c>
      <c r="E130" s="31">
        <f>'PR 2025'!A128</f>
        <v>1</v>
      </c>
      <c r="F130" s="31">
        <f>'PR 2025'!B128</f>
        <v>5000017047</v>
      </c>
      <c r="G130" s="32" t="str">
        <f>'PR 2025'!C128</f>
        <v>PATCH CORD LC TO LC</v>
      </c>
      <c r="H130" s="31">
        <f>'PR 2025'!D128</f>
        <v>10801446</v>
      </c>
      <c r="I130" s="31">
        <f>VLOOKUP(A130,'PO 2025'!$A$2:$Y$1440,21,FALSE)</f>
        <v>79703640</v>
      </c>
      <c r="J130" s="31">
        <f>'PR 2025'!E128</f>
        <v>1</v>
      </c>
      <c r="K130" s="33" t="str">
        <f>'PR 2025'!F128</f>
        <v>BH</v>
      </c>
      <c r="L130" s="34">
        <f>'PR 2025'!T128</f>
        <v>45742</v>
      </c>
      <c r="M130" s="31" t="str">
        <f>'PR 2025'!AG128</f>
        <v>R</v>
      </c>
      <c r="N130" s="34">
        <f>VLOOKUP(C130,'GRS 2025'!$A$2:$AH$1992,4,FALSE)</f>
        <v>45777</v>
      </c>
      <c r="O130" s="69" t="str">
        <f>'PR 2025'!AJ128</f>
        <v>ORDER UKURAN 2 METER, U/ BAGIAN IT (HS CODE : 8544.49.49). TIO</v>
      </c>
    </row>
    <row r="131" spans="1:15" x14ac:dyDescent="0.25">
      <c r="A131" s="22" t="str">
        <f t="shared" si="78"/>
        <v>5000015861108014462</v>
      </c>
      <c r="B131" s="22" t="str">
        <f t="shared" si="79"/>
        <v>5000015861797032542</v>
      </c>
      <c r="C131" s="22" t="str">
        <f t="shared" si="80"/>
        <v>500001586179703254</v>
      </c>
      <c r="D131" s="31">
        <v>128</v>
      </c>
      <c r="E131" s="31">
        <f>'PR 2025'!A129</f>
        <v>2</v>
      </c>
      <c r="F131" s="31">
        <f>'PR 2025'!B129</f>
        <v>5000015861</v>
      </c>
      <c r="G131" s="32" t="str">
        <f>'PR 2025'!C129</f>
        <v>KAMERA WATERPROOF IP 4MP DAHUA POE</v>
      </c>
      <c r="H131" s="31">
        <f>'PR 2025'!D129</f>
        <v>10801446</v>
      </c>
      <c r="I131" s="31">
        <f>VLOOKUP(A131,'PO 2025'!$A$2:$Y$1440,21,FALSE)</f>
        <v>79703254</v>
      </c>
      <c r="J131" s="31">
        <f>'PR 2025'!E129</f>
        <v>1</v>
      </c>
      <c r="K131" s="33" t="str">
        <f>'PR 2025'!F129</f>
        <v>UNT</v>
      </c>
      <c r="L131" s="34">
        <f>'PR 2025'!T129</f>
        <v>45743</v>
      </c>
      <c r="M131" s="31" t="str">
        <f>'PR 2025'!AG129</f>
        <v>R</v>
      </c>
      <c r="N131" s="34">
        <f>VLOOKUP(C131,'GRS 2025'!$A$2:$AH$1992,4,FALSE)</f>
        <v>45764</v>
      </c>
      <c r="O131" s="69" t="str">
        <f>'PR 2025'!AJ129</f>
        <v>U/ AREA JALUR SELOKAN ARAH MKA (HS CODE : 8525.81.10). RISWADI</v>
      </c>
    </row>
    <row r="132" spans="1:15" x14ac:dyDescent="0.25">
      <c r="A132" s="22" t="str">
        <f t="shared" si="78"/>
        <v>5000015000108014463</v>
      </c>
      <c r="B132" s="22" t="str">
        <f t="shared" si="79"/>
        <v>5000015000797032543</v>
      </c>
      <c r="C132" s="22" t="str">
        <f t="shared" si="80"/>
        <v>500001500079703254</v>
      </c>
      <c r="D132" s="31">
        <v>129</v>
      </c>
      <c r="E132" s="31">
        <f>'PR 2025'!A130</f>
        <v>3</v>
      </c>
      <c r="F132" s="31">
        <f>'PR 2025'!B130</f>
        <v>5000015000</v>
      </c>
      <c r="G132" s="32" t="str">
        <f>'PR 2025'!C130</f>
        <v>POE INJECTOR</v>
      </c>
      <c r="H132" s="31">
        <f>'PR 2025'!D130</f>
        <v>10801446</v>
      </c>
      <c r="I132" s="31">
        <f>VLOOKUP(A132,'PO 2025'!$A$2:$Y$1440,21,FALSE)</f>
        <v>79703254</v>
      </c>
      <c r="J132" s="31">
        <f>'PR 2025'!E130</f>
        <v>2</v>
      </c>
      <c r="K132" s="33" t="str">
        <f>'PR 2025'!F130</f>
        <v>UNT</v>
      </c>
      <c r="L132" s="34">
        <f>'PR 2025'!T130</f>
        <v>45743</v>
      </c>
      <c r="M132" s="31" t="str">
        <f>'PR 2025'!AG130</f>
        <v>R</v>
      </c>
      <c r="N132" s="34">
        <f>VLOOKUP(C132,'GRS 2025'!$A$2:$AH$1992,4,FALSE)</f>
        <v>45764</v>
      </c>
      <c r="O132" s="69" t="str">
        <f>'PR 2025'!AJ130</f>
        <v>U/ AREA JALUR SELOKAN ARAH MKA &amp; IPAL SAMPING EX MASJID (HS CODE : 8517.79.10). RISWADI</v>
      </c>
    </row>
    <row r="133" spans="1:15" ht="30" x14ac:dyDescent="0.25">
      <c r="A133" s="22" t="str">
        <f t="shared" si="78"/>
        <v>5000004248108014464</v>
      </c>
      <c r="B133" s="22" t="str">
        <f t="shared" si="79"/>
        <v>5000004248797034084</v>
      </c>
      <c r="C133" s="22" t="str">
        <f t="shared" si="80"/>
        <v>500000424879703408</v>
      </c>
      <c r="D133" s="31">
        <v>130</v>
      </c>
      <c r="E133" s="31">
        <f>'PR 2025'!A131</f>
        <v>4</v>
      </c>
      <c r="F133" s="31">
        <f>'PR 2025'!B131</f>
        <v>5000004248</v>
      </c>
      <c r="G133" s="32" t="str">
        <f>'PR 2025'!C131</f>
        <v>MOUSE USB</v>
      </c>
      <c r="H133" s="31">
        <f>'PR 2025'!D131</f>
        <v>10801446</v>
      </c>
      <c r="I133" s="31">
        <f>VLOOKUP(A133,'PO 2025'!$A$2:$Y$1440,21,FALSE)</f>
        <v>79703408</v>
      </c>
      <c r="J133" s="31">
        <f>'PR 2025'!E131</f>
        <v>10</v>
      </c>
      <c r="K133" s="33" t="str">
        <f>'PR 2025'!F131</f>
        <v>BH</v>
      </c>
      <c r="L133" s="34">
        <f>'PR 2025'!T131</f>
        <v>45743</v>
      </c>
      <c r="M133" s="31" t="str">
        <f>'PR 2025'!AG131</f>
        <v>R</v>
      </c>
      <c r="N133" s="34">
        <f>VLOOKUP(C133,'GRS 2025'!$A$2:$AH$1992,4,FALSE)</f>
        <v>45793</v>
      </c>
      <c r="O133" s="69" t="str">
        <f>'PR 2025'!AJ131</f>
        <v>U/ MENGGANTI YANG RUSAK BAGIAN QA (3), MARKETING (2), PERSIAPAN, FINAL, GD PACKING, MTC PROCESSING, DAN FINANCE (HS CODE : 8471.60.40). ALI</v>
      </c>
    </row>
    <row r="134" spans="1:15" x14ac:dyDescent="0.25">
      <c r="A134" s="22" t="str">
        <f t="shared" si="78"/>
        <v>5000016930108014465</v>
      </c>
      <c r="B134" s="22" t="str">
        <f t="shared" si="79"/>
        <v>5000016930797034755</v>
      </c>
      <c r="C134" s="22" t="str">
        <f t="shared" si="80"/>
        <v>500001693079703475</v>
      </c>
      <c r="D134" s="31">
        <v>131</v>
      </c>
      <c r="E134" s="31">
        <f>'PR 2025'!A132</f>
        <v>5</v>
      </c>
      <c r="F134" s="31">
        <f>'PR 2025'!B132</f>
        <v>5000016930</v>
      </c>
      <c r="G134" s="32" t="str">
        <f>'PR 2025'!C132</f>
        <v>PRINT SERVER</v>
      </c>
      <c r="H134" s="31">
        <f>'PR 2025'!D132</f>
        <v>10801446</v>
      </c>
      <c r="I134" s="31">
        <f>VLOOKUP(A134,'PO 2025'!$A$2:$Y$1440,21,FALSE)</f>
        <v>79703475</v>
      </c>
      <c r="J134" s="31">
        <f>'PR 2025'!E132</f>
        <v>1</v>
      </c>
      <c r="K134" s="33" t="str">
        <f>'PR 2025'!F132</f>
        <v>BH</v>
      </c>
      <c r="L134" s="34">
        <f>'PR 2025'!T132</f>
        <v>45743</v>
      </c>
      <c r="M134" s="31" t="str">
        <f>'PR 2025'!AG132</f>
        <v>R</v>
      </c>
      <c r="N134" s="34">
        <f>VLOOKUP(C134,'GRS 2025'!$A$2:$AH$1992,4,FALSE)</f>
        <v>45768</v>
      </c>
      <c r="O134" s="69" t="str">
        <f>'PR 2025'!AJ132</f>
        <v>U/ BAGIAN QA (HS CODE : 8517.79.10). TIO</v>
      </c>
    </row>
    <row r="135" spans="1:15" x14ac:dyDescent="0.25">
      <c r="A135" s="22" t="str">
        <f t="shared" si="78"/>
        <v>5000016728108014631</v>
      </c>
      <c r="B135" s="22" t="str">
        <f t="shared" si="79"/>
        <v>5000016728797032571</v>
      </c>
      <c r="C135" s="22" t="str">
        <f t="shared" si="80"/>
        <v>500001672879703257</v>
      </c>
      <c r="D135" s="31">
        <v>132</v>
      </c>
      <c r="E135" s="31">
        <f>'PR 2025'!A133</f>
        <v>1</v>
      </c>
      <c r="F135" s="31">
        <f>'PR 2025'!B133</f>
        <v>5000016728</v>
      </c>
      <c r="G135" s="32" t="str">
        <f>'PR 2025'!C133</f>
        <v>SWITCH D-LINK 8 PORT</v>
      </c>
      <c r="H135" s="31">
        <f>'PR 2025'!D133</f>
        <v>10801463</v>
      </c>
      <c r="I135" s="31">
        <f>VLOOKUP(A135,'PO 2025'!$A$2:$Y$1440,21,FALSE)</f>
        <v>79703257</v>
      </c>
      <c r="J135" s="31">
        <f>'PR 2025'!E133</f>
        <v>1</v>
      </c>
      <c r="K135" s="33" t="str">
        <f>'PR 2025'!F133</f>
        <v>UNT</v>
      </c>
      <c r="L135" s="34">
        <f>'PR 2025'!T133</f>
        <v>45754</v>
      </c>
      <c r="M135" s="31" t="str">
        <f>'PR 2025'!AG133</f>
        <v>R</v>
      </c>
      <c r="N135" s="34">
        <f>VLOOKUP(C135,'GRS 2025'!$A$2:$AH$1992,4,FALSE)</f>
        <v>45759</v>
      </c>
      <c r="O135" s="69" t="str">
        <f>'PR 2025'!AJ133</f>
        <v>U/ BAGIAN IT (HS CODE : 8517.79.10). ERDI</v>
      </c>
    </row>
    <row r="136" spans="1:15" x14ac:dyDescent="0.25">
      <c r="A136" s="22" t="str">
        <f t="shared" ref="A136" si="81">F136&amp;H136&amp;E136</f>
        <v>5000016779108014632</v>
      </c>
      <c r="B136" s="22" t="str">
        <f t="shared" ref="B136" si="82">F136&amp;I136&amp;E136</f>
        <v>5000016779797032572</v>
      </c>
      <c r="C136" s="22" t="str">
        <f t="shared" ref="C136" si="83">F136&amp;I136</f>
        <v>500001677979703257</v>
      </c>
      <c r="D136" s="31">
        <v>133</v>
      </c>
      <c r="E136" s="31">
        <f>'PR 2025'!A134</f>
        <v>2</v>
      </c>
      <c r="F136" s="31">
        <f>'PR 2025'!B134</f>
        <v>5000016779</v>
      </c>
      <c r="G136" s="32" t="str">
        <f>'PR 2025'!C134</f>
        <v>SWITCH D-LINK 16 PORT</v>
      </c>
      <c r="H136" s="31">
        <f>'PR 2025'!D134</f>
        <v>10801463</v>
      </c>
      <c r="I136" s="31">
        <f>VLOOKUP(A136,'PO 2025'!$A$2:$Y$1440,21,FALSE)</f>
        <v>79703257</v>
      </c>
      <c r="J136" s="31">
        <f>'PR 2025'!E134</f>
        <v>1</v>
      </c>
      <c r="K136" s="33" t="str">
        <f>'PR 2025'!F134</f>
        <v>UNT</v>
      </c>
      <c r="L136" s="34">
        <f>'PR 2025'!T134</f>
        <v>45754</v>
      </c>
      <c r="M136" s="31" t="str">
        <f>'PR 2025'!AG134</f>
        <v>R</v>
      </c>
      <c r="N136" s="34">
        <f>VLOOKUP(C136,'GRS 2025'!$A$2:$AH$1992,4,FALSE)</f>
        <v>45759</v>
      </c>
      <c r="O136" s="69" t="str">
        <f>'PR 2025'!AJ134</f>
        <v>U/ AREA PPC PROC LJ3 (HS CODE : 8517.79.10). TIO</v>
      </c>
    </row>
    <row r="137" spans="1:15" x14ac:dyDescent="0.25">
      <c r="A137" s="22" t="str">
        <f t="shared" ref="A137:A141" si="84">F137&amp;H137&amp;E137</f>
        <v>5000016930108014731</v>
      </c>
      <c r="B137" s="22" t="str">
        <f t="shared" ref="B137:B141" si="85">F137&amp;I137&amp;E137</f>
        <v>5000016930797034751</v>
      </c>
      <c r="C137" s="22" t="str">
        <f t="shared" ref="C137:C141" si="86">F137&amp;I137</f>
        <v>500001693079703475</v>
      </c>
      <c r="D137" s="31">
        <v>134</v>
      </c>
      <c r="E137" s="31">
        <f>'PR 2025'!A135</f>
        <v>1</v>
      </c>
      <c r="F137" s="31">
        <f>'PR 2025'!B135</f>
        <v>5000016930</v>
      </c>
      <c r="G137" s="32" t="str">
        <f>'PR 2025'!C135</f>
        <v>PRINT SERVER</v>
      </c>
      <c r="H137" s="31">
        <f>'PR 2025'!D135</f>
        <v>10801473</v>
      </c>
      <c r="I137" s="31">
        <f>VLOOKUP(A137,'PO 2025'!$A$2:$Y$1440,21,FALSE)</f>
        <v>79703475</v>
      </c>
      <c r="J137" s="31">
        <f>'PR 2025'!E135</f>
        <v>1</v>
      </c>
      <c r="K137" s="33" t="str">
        <f>'PR 2025'!F135</f>
        <v>BH</v>
      </c>
      <c r="L137" s="34">
        <f>'PR 2025'!T135</f>
        <v>45755</v>
      </c>
      <c r="M137" s="31" t="str">
        <f>'PR 2025'!AG135</f>
        <v>R</v>
      </c>
      <c r="N137" s="34">
        <f>VLOOKUP(C137,'GRS 2025'!$A$2:$AH$1992,4,FALSE)</f>
        <v>45768</v>
      </c>
      <c r="O137" s="69" t="str">
        <f>'PR 2025'!AJ135</f>
        <v>U/ MENGGANTI YG RUSAK BAGIAN GD PACKING (HS CODE : 8517.79.10). TIO</v>
      </c>
    </row>
    <row r="138" spans="1:15" x14ac:dyDescent="0.25">
      <c r="A138" s="22" t="str">
        <f t="shared" si="84"/>
        <v>5000016693108014732</v>
      </c>
      <c r="B138" s="22" t="str">
        <f t="shared" si="85"/>
        <v>5000016693797034852</v>
      </c>
      <c r="C138" s="22" t="str">
        <f t="shared" si="86"/>
        <v>500001669379703485</v>
      </c>
      <c r="D138" s="31">
        <v>135</v>
      </c>
      <c r="E138" s="31">
        <f>'PR 2025'!A136</f>
        <v>2</v>
      </c>
      <c r="F138" s="31">
        <f>'PR 2025'!B136</f>
        <v>5000016693</v>
      </c>
      <c r="G138" s="32" t="str">
        <f>'PR 2025'!C136</f>
        <v>DVR DAHUA 4 CH</v>
      </c>
      <c r="H138" s="31">
        <f>'PR 2025'!D136</f>
        <v>10801473</v>
      </c>
      <c r="I138" s="31">
        <f>VLOOKUP(A138,'PO 2025'!$A$2:$Y$1440,21,FALSE)</f>
        <v>79703485</v>
      </c>
      <c r="J138" s="31">
        <f>'PR 2025'!E136</f>
        <v>1</v>
      </c>
      <c r="K138" s="33" t="str">
        <f>'PR 2025'!F136</f>
        <v>BH</v>
      </c>
      <c r="L138" s="34">
        <f>'PR 2025'!T136</f>
        <v>45755</v>
      </c>
      <c r="M138" s="31" t="str">
        <f>'PR 2025'!AG136</f>
        <v>R</v>
      </c>
      <c r="N138" s="34">
        <f>VLOOKUP(C138,'GRS 2025'!$A$2:$AH$1992,4,FALSE)</f>
        <v>45770</v>
      </c>
      <c r="O138" s="69" t="str">
        <f>'PR 2025'!AJ136</f>
        <v>U/ MESIN STENTER 2, BAGIAN MTC PROCESSING LJ2 (HS CODE : 8517.79.10). HARRY</v>
      </c>
    </row>
    <row r="139" spans="1:15" x14ac:dyDescent="0.25">
      <c r="A139" s="22" t="str">
        <f t="shared" si="84"/>
        <v>5000016692108014733</v>
      </c>
      <c r="B139" s="22" t="str">
        <f t="shared" si="85"/>
        <v>5000016692797034853</v>
      </c>
      <c r="C139" s="22" t="str">
        <f t="shared" si="86"/>
        <v>500001669279703485</v>
      </c>
      <c r="D139" s="31">
        <v>136</v>
      </c>
      <c r="E139" s="31">
        <f>'PR 2025'!A137</f>
        <v>3</v>
      </c>
      <c r="F139" s="31">
        <f>'PR 2025'!B137</f>
        <v>5000016692</v>
      </c>
      <c r="G139" s="32" t="str">
        <f>'PR 2025'!C137</f>
        <v>KAMERA HDCVI DAHUA</v>
      </c>
      <c r="H139" s="31">
        <f>'PR 2025'!D137</f>
        <v>10801473</v>
      </c>
      <c r="I139" s="31">
        <f>VLOOKUP(A139,'PO 2025'!$A$2:$Y$1440,21,FALSE)</f>
        <v>79703485</v>
      </c>
      <c r="J139" s="31">
        <f>'PR 2025'!E137</f>
        <v>1</v>
      </c>
      <c r="K139" s="33" t="str">
        <f>'PR 2025'!F137</f>
        <v>UNT</v>
      </c>
      <c r="L139" s="34">
        <f>'PR 2025'!T137</f>
        <v>45755</v>
      </c>
      <c r="M139" s="31" t="str">
        <f>'PR 2025'!AG137</f>
        <v>R</v>
      </c>
      <c r="N139" s="34">
        <f>VLOOKUP(C139,'GRS 2025'!$A$2:$AH$1992,4,FALSE)</f>
        <v>45770</v>
      </c>
      <c r="O139" s="69" t="str">
        <f>'PR 2025'!AJ137</f>
        <v>U/ MESIN STENTER 2, BAGIAN MTC PROCESSING LJ2 (HS CODE : 8525.81.10). HARRY</v>
      </c>
    </row>
    <row r="140" spans="1:15" x14ac:dyDescent="0.25">
      <c r="A140" s="22" t="str">
        <f t="shared" si="84"/>
        <v>5000014291108015801</v>
      </c>
      <c r="B140" s="22" t="e">
        <f t="shared" si="85"/>
        <v>#N/A</v>
      </c>
      <c r="C140" s="22" t="e">
        <f t="shared" si="86"/>
        <v>#N/A</v>
      </c>
      <c r="D140" s="39">
        <v>137</v>
      </c>
      <c r="E140" s="39">
        <f>'PR 2025'!A138</f>
        <v>1</v>
      </c>
      <c r="F140" s="39">
        <f>'PR 2025'!B138</f>
        <v>5000014291</v>
      </c>
      <c r="G140" s="40" t="str">
        <f>'PR 2025'!C138</f>
        <v>KABEL HDMI</v>
      </c>
      <c r="H140" s="39">
        <f>'PR 2025'!D138</f>
        <v>10801580</v>
      </c>
      <c r="I140" s="39" t="e">
        <f>VLOOKUP(A140,'PO 2025'!$A$2:$Y$1440,21,FALSE)</f>
        <v>#N/A</v>
      </c>
      <c r="J140" s="39">
        <f>'PR 2025'!E138</f>
        <v>1</v>
      </c>
      <c r="K140" s="41" t="str">
        <f>'PR 2025'!F138</f>
        <v>PCS</v>
      </c>
      <c r="L140" s="42">
        <f>'PR 2025'!T138</f>
        <v>45759</v>
      </c>
      <c r="M140" s="39" t="str">
        <f>'PR 2025'!AG138</f>
        <v>R</v>
      </c>
      <c r="N140" s="42" t="e">
        <f>VLOOKUP(C140,'GRS 2025'!$A$2:$AH$1992,4,FALSE)</f>
        <v>#N/A</v>
      </c>
      <c r="O140" s="73" t="str">
        <f>'PR 2025'!AJ138</f>
        <v>UKURAN 15 METER, U/ RUANG 234 (HS CODE : 8544.20.31). TIO</v>
      </c>
    </row>
    <row r="141" spans="1:15" x14ac:dyDescent="0.25">
      <c r="A141" s="22" t="str">
        <f t="shared" si="84"/>
        <v>5000015382108015802</v>
      </c>
      <c r="B141" s="22" t="e">
        <f t="shared" si="85"/>
        <v>#N/A</v>
      </c>
      <c r="C141" s="22" t="e">
        <f t="shared" si="86"/>
        <v>#N/A</v>
      </c>
      <c r="D141" s="39">
        <v>138</v>
      </c>
      <c r="E141" s="39">
        <f>'PR 2025'!A139</f>
        <v>2</v>
      </c>
      <c r="F141" s="39">
        <f>'PR 2025'!B139</f>
        <v>5000015382</v>
      </c>
      <c r="G141" s="40" t="str">
        <f>'PR 2025'!C139</f>
        <v>ADAPTOR CCTV</v>
      </c>
      <c r="H141" s="39">
        <f>'PR 2025'!D139</f>
        <v>10801580</v>
      </c>
      <c r="I141" s="39" t="e">
        <f>VLOOKUP(A141,'PO 2025'!$A$2:$Y$1440,21,FALSE)</f>
        <v>#N/A</v>
      </c>
      <c r="J141" s="39">
        <f>'PR 2025'!E139</f>
        <v>1</v>
      </c>
      <c r="K141" s="41" t="str">
        <f>'PR 2025'!F139</f>
        <v>PCS</v>
      </c>
      <c r="L141" s="42">
        <f>'PR 2025'!T139</f>
        <v>45759</v>
      </c>
      <c r="M141" s="39" t="str">
        <f>'PR 2025'!AG139</f>
        <v>R</v>
      </c>
      <c r="N141" s="42" t="e">
        <f>VLOOKUP(C141,'GRS 2025'!$A$2:$AH$1992,4,FALSE)</f>
        <v>#N/A</v>
      </c>
      <c r="O141" s="73" t="str">
        <f>'PR 2025'!AJ139</f>
        <v>U/ CCTV MESIN STENTER 2, BAGIAN MTC PROCESSING LJ2, PR 10801473 (HS CODE : 8525.81.10). HARRY</v>
      </c>
    </row>
    <row r="142" spans="1:15" x14ac:dyDescent="0.25">
      <c r="A142" s="22" t="str">
        <f t="shared" ref="A142" si="87">F142&amp;H142&amp;E142</f>
        <v>5000017752108016371</v>
      </c>
      <c r="B142" s="22" t="str">
        <f t="shared" ref="B142" si="88">F142&amp;I142&amp;E142</f>
        <v>5000017752797036401</v>
      </c>
      <c r="C142" s="22" t="str">
        <f t="shared" ref="C142" si="89">F142&amp;I142</f>
        <v>500001775279703640</v>
      </c>
      <c r="D142" s="31">
        <v>139</v>
      </c>
      <c r="E142" s="31">
        <f>'PR 2025'!A140</f>
        <v>1</v>
      </c>
      <c r="F142" s="31">
        <f>'PR 2025'!B140</f>
        <v>5000017752</v>
      </c>
      <c r="G142" s="32" t="str">
        <f>'PR 2025'!C140</f>
        <v>KABEL USB TO SERIAL</v>
      </c>
      <c r="H142" s="31">
        <f>'PR 2025'!D140</f>
        <v>10801637</v>
      </c>
      <c r="I142" s="31">
        <f>VLOOKUP(A142,'PO 2025'!$A$2:$Y$1440,21,FALSE)</f>
        <v>79703640</v>
      </c>
      <c r="J142" s="31">
        <f>'PR 2025'!E140</f>
        <v>2</v>
      </c>
      <c r="K142" s="33" t="str">
        <f>'PR 2025'!F140</f>
        <v>BH</v>
      </c>
      <c r="L142" s="34">
        <f>'PR 2025'!T140</f>
        <v>45762</v>
      </c>
      <c r="M142" s="31" t="str">
        <f>'PR 2025'!AG140</f>
        <v>R</v>
      </c>
      <c r="N142" s="34">
        <f>VLOOKUP(C142,'GRS 2025'!$A$2:$AH$1992,4,FALSE)</f>
        <v>45777</v>
      </c>
      <c r="O142" s="69" t="str">
        <f>'PR 2025'!AJ140</f>
        <v>U/ PROCESSING LJ1 : UNTUK KABEL USB LAPTOP MTC PROCESSING YANG RUSAK (HS CODE : 8544.20.31). AJID</v>
      </c>
    </row>
    <row r="143" spans="1:15" x14ac:dyDescent="0.25">
      <c r="A143" s="22" t="str">
        <f t="shared" ref="A143:A151" si="90">F143&amp;H143&amp;E143</f>
        <v>5000015861108016372</v>
      </c>
      <c r="B143" s="22" t="str">
        <f t="shared" ref="B143:B151" si="91">F143&amp;I143&amp;E143</f>
        <v>5000015861797036462</v>
      </c>
      <c r="C143" s="22" t="str">
        <f t="shared" ref="C143:C151" si="92">F143&amp;I143</f>
        <v>500001586179703646</v>
      </c>
      <c r="D143" s="31">
        <v>140</v>
      </c>
      <c r="E143" s="31">
        <f>'PR 2025'!A141</f>
        <v>2</v>
      </c>
      <c r="F143" s="31">
        <f>'PR 2025'!B141</f>
        <v>5000015861</v>
      </c>
      <c r="G143" s="32" t="str">
        <f>'PR 2025'!C141</f>
        <v>KAMERA WATERPROOF IP 4MP DAHUA POE</v>
      </c>
      <c r="H143" s="31">
        <f>'PR 2025'!D141</f>
        <v>10801637</v>
      </c>
      <c r="I143" s="31">
        <f>VLOOKUP(A143,'PO 2025'!$A$2:$Y$1440,21,FALSE)</f>
        <v>79703646</v>
      </c>
      <c r="J143" s="31">
        <f>'PR 2025'!E141</f>
        <v>1</v>
      </c>
      <c r="K143" s="33" t="str">
        <f>'PR 2025'!F141</f>
        <v>UNT</v>
      </c>
      <c r="L143" s="34">
        <f>'PR 2025'!T141</f>
        <v>45763</v>
      </c>
      <c r="M143" s="31" t="str">
        <f>'PR 2025'!AG141</f>
        <v>R</v>
      </c>
      <c r="N143" s="34">
        <f>VLOOKUP(C143,'GRS 2025'!$A$2:$AH$1992,4,FALSE)</f>
        <v>45796</v>
      </c>
      <c r="O143" s="69" t="str">
        <f>'PR 2025'!AJ141</f>
        <v>U/ AREA IPAL (HS CODE : 8525.81.10). RICKY</v>
      </c>
    </row>
    <row r="144" spans="1:15" x14ac:dyDescent="0.25">
      <c r="A144" s="22" t="str">
        <f t="shared" si="90"/>
        <v>5000015000108016373</v>
      </c>
      <c r="B144" s="22" t="str">
        <f t="shared" si="91"/>
        <v>5000015000797036463</v>
      </c>
      <c r="C144" s="22" t="str">
        <f t="shared" si="92"/>
        <v>500001500079703646</v>
      </c>
      <c r="D144" s="31">
        <v>141</v>
      </c>
      <c r="E144" s="31">
        <f>'PR 2025'!A142</f>
        <v>3</v>
      </c>
      <c r="F144" s="31">
        <f>'PR 2025'!B142</f>
        <v>5000015000</v>
      </c>
      <c r="G144" s="32" t="str">
        <f>'PR 2025'!C142</f>
        <v>POE INJECTOR</v>
      </c>
      <c r="H144" s="31">
        <f>'PR 2025'!D142</f>
        <v>10801637</v>
      </c>
      <c r="I144" s="31">
        <f>VLOOKUP(A144,'PO 2025'!$A$2:$Y$1440,21,FALSE)</f>
        <v>79703646</v>
      </c>
      <c r="J144" s="31">
        <f>'PR 2025'!E142</f>
        <v>1</v>
      </c>
      <c r="K144" s="33" t="str">
        <f>'PR 2025'!F142</f>
        <v>UNT</v>
      </c>
      <c r="L144" s="34">
        <f>'PR 2025'!T142</f>
        <v>45763</v>
      </c>
      <c r="M144" s="31" t="str">
        <f>'PR 2025'!AG142</f>
        <v>R</v>
      </c>
      <c r="N144" s="34">
        <f>VLOOKUP(C144,'GRS 2025'!$A$2:$AH$1992,4,FALSE)</f>
        <v>45796</v>
      </c>
      <c r="O144" s="69" t="str">
        <f>'PR 2025'!AJ142</f>
        <v>U/ AREA IPAL (HS CODE : 8517.79.10). RICKY</v>
      </c>
    </row>
    <row r="145" spans="1:15" x14ac:dyDescent="0.25">
      <c r="A145" s="22" t="str">
        <f t="shared" si="90"/>
        <v>5000008843108016591</v>
      </c>
      <c r="B145" s="22" t="str">
        <f t="shared" si="91"/>
        <v>5000008843797036391</v>
      </c>
      <c r="C145" s="22" t="str">
        <f t="shared" si="92"/>
        <v>500000884379703639</v>
      </c>
      <c r="D145" s="31">
        <v>142</v>
      </c>
      <c r="E145" s="31">
        <f>'PR 2025'!A143</f>
        <v>1</v>
      </c>
      <c r="F145" s="31">
        <f>'PR 2025'!B143</f>
        <v>5000008843</v>
      </c>
      <c r="G145" s="32" t="str">
        <f>'PR 2025'!C143</f>
        <v>MONITOR LCD 19 INCH</v>
      </c>
      <c r="H145" s="31">
        <f>'PR 2025'!D143</f>
        <v>10801659</v>
      </c>
      <c r="I145" s="31">
        <f>VLOOKUP(A145,'PO 2025'!$A$2:$Y$1440,21,FALSE)</f>
        <v>79703639</v>
      </c>
      <c r="J145" s="31">
        <f>'PR 2025'!E143</f>
        <v>1</v>
      </c>
      <c r="K145" s="33" t="str">
        <f>'PR 2025'!F143</f>
        <v>UNT</v>
      </c>
      <c r="L145" s="34">
        <f>'PR 2025'!T143</f>
        <v>45764</v>
      </c>
      <c r="M145" s="31" t="str">
        <f>'PR 2025'!AG143</f>
        <v>R</v>
      </c>
      <c r="N145" s="34">
        <f>VLOOKUP(C145,'GRS 2025'!$A$2:$AH$1992,4,FALSE)</f>
        <v>45772</v>
      </c>
      <c r="O145" s="69" t="str">
        <f>'PR 2025'!AJ143</f>
        <v>U/ BAGIAN MTC. MACHCRIMPER (HS CODE : 8528.52.00). WAHDYAT</v>
      </c>
    </row>
    <row r="146" spans="1:15" x14ac:dyDescent="0.25">
      <c r="A146" s="22" t="str">
        <f t="shared" si="90"/>
        <v>5000016308108016592</v>
      </c>
      <c r="B146" s="22" t="str">
        <f t="shared" si="91"/>
        <v>5000016308797036412</v>
      </c>
      <c r="C146" s="22" t="str">
        <f t="shared" si="92"/>
        <v>500001630879703641</v>
      </c>
      <c r="D146" s="31">
        <v>143</v>
      </c>
      <c r="E146" s="31">
        <f>'PR 2025'!A144</f>
        <v>2</v>
      </c>
      <c r="F146" s="31">
        <f>'PR 2025'!B144</f>
        <v>5000016308</v>
      </c>
      <c r="G146" s="32" t="str">
        <f>'PR 2025'!C144</f>
        <v>CPU BUILDUP</v>
      </c>
      <c r="H146" s="31">
        <f>'PR 2025'!D144</f>
        <v>10801659</v>
      </c>
      <c r="I146" s="31">
        <f>VLOOKUP(A146,'PO 2025'!$A$2:$Y$1440,21,FALSE)</f>
        <v>79703641</v>
      </c>
      <c r="J146" s="31">
        <f>'PR 2025'!E144</f>
        <v>1</v>
      </c>
      <c r="K146" s="33" t="str">
        <f>'PR 2025'!F144</f>
        <v>UNT</v>
      </c>
      <c r="L146" s="34">
        <f>'PR 2025'!T144</f>
        <v>45764</v>
      </c>
      <c r="M146" s="31" t="str">
        <f>'PR 2025'!AG144</f>
        <v>R</v>
      </c>
      <c r="N146" s="34">
        <f>VLOOKUP(C146,'GRS 2025'!$A$2:$AH$1992,4,FALSE)</f>
        <v>45777</v>
      </c>
      <c r="O146" s="69" t="str">
        <f>'PR 2025'!AJ144</f>
        <v>U/ BAGIAN MTC. MACHCRIMPER (HS CODE : 8479.89.50). WAHDYAT</v>
      </c>
    </row>
    <row r="147" spans="1:15" x14ac:dyDescent="0.25">
      <c r="A147" s="22" t="str">
        <f t="shared" si="90"/>
        <v>5000005059108016593</v>
      </c>
      <c r="B147" s="22" t="str">
        <f t="shared" si="91"/>
        <v>5000005059797036393</v>
      </c>
      <c r="C147" s="22" t="str">
        <f t="shared" si="92"/>
        <v>500000505979703639</v>
      </c>
      <c r="D147" s="31">
        <v>144</v>
      </c>
      <c r="E147" s="31">
        <f>'PR 2025'!A145</f>
        <v>3</v>
      </c>
      <c r="F147" s="31">
        <f>'PR 2025'!B145</f>
        <v>5000005059</v>
      </c>
      <c r="G147" s="32" t="str">
        <f>'PR 2025'!C145</f>
        <v>KEYBOARD USB</v>
      </c>
      <c r="H147" s="31">
        <f>'PR 2025'!D145</f>
        <v>10801659</v>
      </c>
      <c r="I147" s="31">
        <f>VLOOKUP(A147,'PO 2025'!$A$2:$Y$1440,21,FALSE)</f>
        <v>79703639</v>
      </c>
      <c r="J147" s="31">
        <f>'PR 2025'!E145</f>
        <v>1</v>
      </c>
      <c r="K147" s="33" t="str">
        <f>'PR 2025'!F145</f>
        <v>BH</v>
      </c>
      <c r="L147" s="34">
        <f>'PR 2025'!T145</f>
        <v>45764</v>
      </c>
      <c r="M147" s="31" t="str">
        <f>'PR 2025'!AG145</f>
        <v>R</v>
      </c>
      <c r="N147" s="34">
        <f>VLOOKUP(C147,'GRS 2025'!$A$2:$AH$1992,4,FALSE)</f>
        <v>45772</v>
      </c>
      <c r="O147" s="69" t="str">
        <f>'PR 2025'!AJ145</f>
        <v>U/ BAGIAN MTC. MACHCRIMPER (HS CODE : 8471.60.30). WAHDYAT</v>
      </c>
    </row>
    <row r="148" spans="1:15" x14ac:dyDescent="0.25">
      <c r="A148" s="22" t="str">
        <f t="shared" si="90"/>
        <v>5000004248108016594</v>
      </c>
      <c r="B148" s="22" t="str">
        <f t="shared" si="91"/>
        <v>5000004248797036394</v>
      </c>
      <c r="C148" s="22" t="str">
        <f t="shared" si="92"/>
        <v>500000424879703639</v>
      </c>
      <c r="D148" s="31">
        <v>145</v>
      </c>
      <c r="E148" s="31">
        <f>'PR 2025'!A146</f>
        <v>4</v>
      </c>
      <c r="F148" s="31">
        <f>'PR 2025'!B146</f>
        <v>5000004248</v>
      </c>
      <c r="G148" s="32" t="str">
        <f>'PR 2025'!C146</f>
        <v>MOUSE USB</v>
      </c>
      <c r="H148" s="31">
        <f>'PR 2025'!D146</f>
        <v>10801659</v>
      </c>
      <c r="I148" s="31">
        <f>VLOOKUP(A148,'PO 2025'!$A$2:$Y$1440,21,FALSE)</f>
        <v>79703639</v>
      </c>
      <c r="J148" s="31">
        <f>'PR 2025'!E146</f>
        <v>1</v>
      </c>
      <c r="K148" s="33" t="str">
        <f>'PR 2025'!F146</f>
        <v>BH</v>
      </c>
      <c r="L148" s="34">
        <f>'PR 2025'!T146</f>
        <v>45764</v>
      </c>
      <c r="M148" s="31" t="str">
        <f>'PR 2025'!AG146</f>
        <v>R</v>
      </c>
      <c r="N148" s="34">
        <f>VLOOKUP(C148,'GRS 2025'!$A$2:$AH$1992,4,FALSE)</f>
        <v>45772</v>
      </c>
      <c r="O148" s="69" t="str">
        <f>'PR 2025'!AJ146</f>
        <v>U/ BAGIAN MTC. MACHCRIMPER (HS CODE : 8471.60.40). WAHDYAT</v>
      </c>
    </row>
    <row r="149" spans="1:15" x14ac:dyDescent="0.25">
      <c r="A149" s="22" t="str">
        <f t="shared" si="90"/>
        <v>5000012021108016595</v>
      </c>
      <c r="B149" s="22" t="str">
        <f t="shared" si="91"/>
        <v>5000012021797036395</v>
      </c>
      <c r="C149" s="22" t="str">
        <f t="shared" si="92"/>
        <v>500001202179703639</v>
      </c>
      <c r="D149" s="31">
        <v>146</v>
      </c>
      <c r="E149" s="31">
        <f>'PR 2025'!A147</f>
        <v>5</v>
      </c>
      <c r="F149" s="31">
        <f>'PR 2025'!B147</f>
        <v>5000012021</v>
      </c>
      <c r="G149" s="32" t="str">
        <f>'PR 2025'!C147</f>
        <v>KABEL VGA</v>
      </c>
      <c r="H149" s="31">
        <f>'PR 2025'!D147</f>
        <v>10801659</v>
      </c>
      <c r="I149" s="31">
        <f>VLOOKUP(A149,'PO 2025'!$A$2:$Y$1440,21,FALSE)</f>
        <v>79703639</v>
      </c>
      <c r="J149" s="31">
        <f>'PR 2025'!E147</f>
        <v>1</v>
      </c>
      <c r="K149" s="33" t="str">
        <f>'PR 2025'!F147</f>
        <v>BH</v>
      </c>
      <c r="L149" s="34">
        <f>'PR 2025'!T147</f>
        <v>45764</v>
      </c>
      <c r="M149" s="31" t="str">
        <f>'PR 2025'!AG147</f>
        <v>R</v>
      </c>
      <c r="N149" s="34">
        <f>VLOOKUP(C149,'GRS 2025'!$A$2:$AH$1992,4,FALSE)</f>
        <v>45772</v>
      </c>
      <c r="O149" s="69" t="str">
        <f>'PR 2025'!AJ147</f>
        <v>U/ BAGIAN MTC. MACHCRIMPER (HS CODE : 8544.20.31). WAHDYAT</v>
      </c>
    </row>
    <row r="150" spans="1:15" x14ac:dyDescent="0.25">
      <c r="A150" s="22" t="str">
        <f t="shared" si="90"/>
        <v>5000016728108016596</v>
      </c>
      <c r="B150" s="22" t="str">
        <f t="shared" si="91"/>
        <v>5000016728797036456</v>
      </c>
      <c r="C150" s="22" t="str">
        <f t="shared" si="92"/>
        <v>500001672879703645</v>
      </c>
      <c r="D150" s="31">
        <v>147</v>
      </c>
      <c r="E150" s="31">
        <f>'PR 2025'!A148</f>
        <v>6</v>
      </c>
      <c r="F150" s="31">
        <f>'PR 2025'!B148</f>
        <v>5000016728</v>
      </c>
      <c r="G150" s="32" t="str">
        <f>'PR 2025'!C148</f>
        <v>SWITCH D-LINK 8 PORT</v>
      </c>
      <c r="H150" s="31">
        <f>'PR 2025'!D148</f>
        <v>10801659</v>
      </c>
      <c r="I150" s="31">
        <f>VLOOKUP(A150,'PO 2025'!$A$2:$Y$1440,21,FALSE)</f>
        <v>79703645</v>
      </c>
      <c r="J150" s="31">
        <f>'PR 2025'!E148</f>
        <v>3</v>
      </c>
      <c r="K150" s="33" t="str">
        <f>'PR 2025'!F148</f>
        <v>UNT</v>
      </c>
      <c r="L150" s="34">
        <f>'PR 2025'!T148</f>
        <v>45764</v>
      </c>
      <c r="M150" s="31" t="str">
        <f>'PR 2025'!AG148</f>
        <v>R</v>
      </c>
      <c r="N150" s="34">
        <f>VLOOKUP(C150,'GRS 2025'!$A$2:$AH$1992,4,FALSE)</f>
        <v>45772</v>
      </c>
      <c r="O150" s="69" t="str">
        <f>'PR 2025'!AJ148</f>
        <v>U/ AREA MTC WEAVING LJ1, DAN IPAL (2) (HS CODE : 8517.79.10). TIO</v>
      </c>
    </row>
    <row r="151" spans="1:15" x14ac:dyDescent="0.25">
      <c r="A151" s="22" t="str">
        <f t="shared" si="90"/>
        <v>5000013499108017051</v>
      </c>
      <c r="B151" s="22" t="str">
        <f t="shared" si="91"/>
        <v>5000013499797036401</v>
      </c>
      <c r="C151" s="22" t="str">
        <f t="shared" si="92"/>
        <v>500001349979703640</v>
      </c>
      <c r="D151" s="31">
        <v>148</v>
      </c>
      <c r="E151" s="31">
        <f>'PR 2025'!A149</f>
        <v>1</v>
      </c>
      <c r="F151" s="31">
        <f>'PR 2025'!B149</f>
        <v>5000013499</v>
      </c>
      <c r="G151" s="32" t="str">
        <f>'PR 2025'!C149</f>
        <v>KX-TS505SLT (PESAWAT TELEPHONE )</v>
      </c>
      <c r="H151" s="31">
        <f>'PR 2025'!D149</f>
        <v>10801705</v>
      </c>
      <c r="I151" s="31">
        <f>VLOOKUP(A151,'PO 2025'!$A$2:$Y$1440,21,FALSE)</f>
        <v>79703640</v>
      </c>
      <c r="J151" s="31">
        <f>'PR 2025'!E149</f>
        <v>1</v>
      </c>
      <c r="K151" s="33" t="str">
        <f>'PR 2025'!F149</f>
        <v>UNT</v>
      </c>
      <c r="L151" s="34">
        <f>'PR 2025'!T149</f>
        <v>45766</v>
      </c>
      <c r="M151" s="31" t="str">
        <f>'PR 2025'!AG149</f>
        <v>R</v>
      </c>
      <c r="N151" s="34">
        <f>VLOOKUP(C151,'GRS 2025'!$A$2:$AH$1992,4,FALSE)</f>
        <v>45777</v>
      </c>
      <c r="O151" s="69" t="str">
        <f>'PR 2025'!AJ149</f>
        <v>U/ ASST. MANAGER TEKNIK YANG BARU (HS CODE : 8517.14.00). M IRFAN</v>
      </c>
    </row>
    <row r="152" spans="1:15" x14ac:dyDescent="0.25">
      <c r="A152" s="22" t="str">
        <f t="shared" ref="A152:A159" si="93">F152&amp;H152&amp;E152</f>
        <v>5000016375108017231</v>
      </c>
      <c r="B152" s="22" t="str">
        <f t="shared" ref="B152:B159" si="94">F152&amp;I152&amp;E152</f>
        <v>5000016375797036451</v>
      </c>
      <c r="C152" s="22" t="str">
        <f t="shared" ref="C152:C159" si="95">F152&amp;I152</f>
        <v>500001637579703645</v>
      </c>
      <c r="D152" s="31">
        <v>149</v>
      </c>
      <c r="E152" s="31">
        <f>'PR 2025'!A150</f>
        <v>1</v>
      </c>
      <c r="F152" s="31">
        <f>'PR 2025'!B150</f>
        <v>5000016375</v>
      </c>
      <c r="G152" s="32" t="str">
        <f>'PR 2025'!C150</f>
        <v>PRINTER EPSON l3210</v>
      </c>
      <c r="H152" s="31">
        <f>'PR 2025'!D150</f>
        <v>10801723</v>
      </c>
      <c r="I152" s="31">
        <f>VLOOKUP(A152,'PO 2025'!$A$2:$Y$1440,21,FALSE)</f>
        <v>79703645</v>
      </c>
      <c r="J152" s="31">
        <f>'PR 2025'!E150</f>
        <v>1</v>
      </c>
      <c r="K152" s="33" t="str">
        <f>'PR 2025'!F150</f>
        <v>UNT</v>
      </c>
      <c r="L152" s="34">
        <f>'PR 2025'!T150</f>
        <v>45768</v>
      </c>
      <c r="M152" s="31" t="str">
        <f>'PR 2025'!AG150</f>
        <v>R</v>
      </c>
      <c r="N152" s="34">
        <f>VLOOKUP(C152,'GRS 2025'!$A$2:$AH$1992,4,FALSE)</f>
        <v>45772</v>
      </c>
      <c r="O152" s="69" t="str">
        <f>'PR 2025'!AJ150</f>
        <v>URGENT : U/ MENGGANTI YG RUSAK BAGIAN KEUANGAN (HS CODE : 8443.31.11). IMELDA</v>
      </c>
    </row>
    <row r="153" spans="1:15" x14ac:dyDescent="0.25">
      <c r="A153" s="22" t="str">
        <f t="shared" si="93"/>
        <v>5000016930108017741</v>
      </c>
      <c r="B153" s="22" t="str">
        <f t="shared" si="94"/>
        <v>5000016930797045031</v>
      </c>
      <c r="C153" s="22" t="str">
        <f t="shared" si="95"/>
        <v>500001693079704503</v>
      </c>
      <c r="D153" s="31">
        <v>150</v>
      </c>
      <c r="E153" s="31">
        <f>'PR 2025'!A151</f>
        <v>1</v>
      </c>
      <c r="F153" s="31">
        <f>'PR 2025'!B151</f>
        <v>5000016930</v>
      </c>
      <c r="G153" s="32" t="str">
        <f>'PR 2025'!C151</f>
        <v>PRINT SERVER</v>
      </c>
      <c r="H153" s="31">
        <f>'PR 2025'!D151</f>
        <v>10801774</v>
      </c>
      <c r="I153" s="31">
        <f>VLOOKUP(A153,'PO 2025'!$A$2:$Y$1440,21,FALSE)</f>
        <v>79704503</v>
      </c>
      <c r="J153" s="31">
        <f>'PR 2025'!E151</f>
        <v>1</v>
      </c>
      <c r="K153" s="33" t="str">
        <f>'PR 2025'!F151</f>
        <v>BH</v>
      </c>
      <c r="L153" s="34">
        <f>'PR 2025'!T151</f>
        <v>45770</v>
      </c>
      <c r="M153" s="31" t="str">
        <f>'PR 2025'!AG151</f>
        <v>R</v>
      </c>
      <c r="N153" s="34">
        <f>VLOOKUP(C153,'GRS 2025'!$A$2:$AH$1992,4,FALSE)</f>
        <v>45799</v>
      </c>
      <c r="O153" s="69" t="str">
        <f>'PR 2025'!AJ151</f>
        <v>U/ BAGIAN QA GREY LJ1 (HS CODE : 8517.79.10). SULIS</v>
      </c>
    </row>
    <row r="154" spans="1:15" x14ac:dyDescent="0.25">
      <c r="A154" s="22" t="str">
        <f t="shared" si="93"/>
        <v>5000015919108017742</v>
      </c>
      <c r="B154" s="22" t="str">
        <f t="shared" si="94"/>
        <v>5000015919797040892</v>
      </c>
      <c r="C154" s="22" t="str">
        <f t="shared" si="95"/>
        <v>500001591979704089</v>
      </c>
      <c r="D154" s="31">
        <v>151</v>
      </c>
      <c r="E154" s="31">
        <f>'PR 2025'!A152</f>
        <v>2</v>
      </c>
      <c r="F154" s="31">
        <f>'PR 2025'!B152</f>
        <v>5000015919</v>
      </c>
      <c r="G154" s="32" t="str">
        <f>'PR 2025'!C152</f>
        <v>WEBCAM PORTABLE</v>
      </c>
      <c r="H154" s="31">
        <f>'PR 2025'!D152</f>
        <v>10801774</v>
      </c>
      <c r="I154" s="31">
        <f>VLOOKUP(A154,'PO 2025'!$A$2:$Y$1440,21,FALSE)</f>
        <v>79704089</v>
      </c>
      <c r="J154" s="31">
        <f>'PR 2025'!E152</f>
        <v>1</v>
      </c>
      <c r="K154" s="33" t="str">
        <f>'PR 2025'!F152</f>
        <v>UNT</v>
      </c>
      <c r="L154" s="34">
        <f>'PR 2025'!T152</f>
        <v>45770</v>
      </c>
      <c r="M154" s="31" t="str">
        <f>'PR 2025'!AG152</f>
        <v>R</v>
      </c>
      <c r="N154" s="34">
        <f>VLOOKUP(C154,'GRS 2025'!$A$2:$AH$1992,4,FALSE)</f>
        <v>45794</v>
      </c>
      <c r="O154" s="69" t="str">
        <f>'PR 2025'!AJ152</f>
        <v>U/ ZOOM MEETING BAGIAN LEGAL (HS CODE : 8525.81.10). RAVIE</v>
      </c>
    </row>
    <row r="155" spans="1:15" x14ac:dyDescent="0.25">
      <c r="A155" s="22" t="str">
        <f t="shared" si="93"/>
        <v>5000015970108017743</v>
      </c>
      <c r="B155" s="22" t="str">
        <f t="shared" si="94"/>
        <v>5000015970797040893</v>
      </c>
      <c r="C155" s="22" t="str">
        <f t="shared" si="95"/>
        <v>500001597079704089</v>
      </c>
      <c r="D155" s="31">
        <v>152</v>
      </c>
      <c r="E155" s="31">
        <f>'PR 2025'!A153</f>
        <v>3</v>
      </c>
      <c r="F155" s="31">
        <f>'PR 2025'!B153</f>
        <v>5000015970</v>
      </c>
      <c r="G155" s="32" t="str">
        <f>'PR 2025'!C153</f>
        <v>MICROPHONE CLIP ON + AUDIO SPLITTER</v>
      </c>
      <c r="H155" s="31">
        <f>'PR 2025'!D153</f>
        <v>10801774</v>
      </c>
      <c r="I155" s="31">
        <f>VLOOKUP(A155,'PO 2025'!$A$2:$Y$1440,21,FALSE)</f>
        <v>79704089</v>
      </c>
      <c r="J155" s="31">
        <f>'PR 2025'!E153</f>
        <v>1</v>
      </c>
      <c r="K155" s="33" t="str">
        <f>'PR 2025'!F153</f>
        <v>UNT</v>
      </c>
      <c r="L155" s="34">
        <f>'PR 2025'!T153</f>
        <v>45770</v>
      </c>
      <c r="M155" s="31" t="str">
        <f>'PR 2025'!AG153</f>
        <v>R</v>
      </c>
      <c r="N155" s="34">
        <f>VLOOKUP(C155,'GRS 2025'!$A$2:$AH$1992,4,FALSE)</f>
        <v>45794</v>
      </c>
      <c r="O155" s="69" t="str">
        <f>'PR 2025'!AJ153</f>
        <v>U/ ZOOM MEETING BAGIAN LEGAL (HS CODE : 8518.10.19). RAVIE</v>
      </c>
    </row>
    <row r="156" spans="1:15" x14ac:dyDescent="0.25">
      <c r="A156" s="22" t="str">
        <f t="shared" si="93"/>
        <v>5000016063108017744</v>
      </c>
      <c r="B156" s="22" t="str">
        <f t="shared" si="94"/>
        <v>5000016063797040894</v>
      </c>
      <c r="C156" s="22" t="str">
        <f t="shared" si="95"/>
        <v>500001606379704089</v>
      </c>
      <c r="D156" s="31">
        <v>153</v>
      </c>
      <c r="E156" s="31">
        <f>'PR 2025'!A154</f>
        <v>4</v>
      </c>
      <c r="F156" s="31">
        <f>'PR 2025'!B154</f>
        <v>5000016063</v>
      </c>
      <c r="G156" s="32" t="str">
        <f>'PR 2025'!C154</f>
        <v>HEADSET</v>
      </c>
      <c r="H156" s="31">
        <f>'PR 2025'!D154</f>
        <v>10801774</v>
      </c>
      <c r="I156" s="31">
        <f>VLOOKUP(A156,'PO 2025'!$A$2:$Y$1440,21,FALSE)</f>
        <v>79704089</v>
      </c>
      <c r="J156" s="31">
        <f>'PR 2025'!E154</f>
        <v>1</v>
      </c>
      <c r="K156" s="33" t="str">
        <f>'PR 2025'!F154</f>
        <v>BH</v>
      </c>
      <c r="L156" s="34">
        <f>'PR 2025'!T154</f>
        <v>45770</v>
      </c>
      <c r="M156" s="31" t="str">
        <f>'PR 2025'!AG154</f>
        <v>R</v>
      </c>
      <c r="N156" s="34">
        <f>VLOOKUP(C156,'GRS 2025'!$A$2:$AH$1992,4,FALSE)</f>
        <v>45794</v>
      </c>
      <c r="O156" s="69" t="str">
        <f>'PR 2025'!AJ154</f>
        <v>U/ ZOOM MEETING BAGIAN LEGAL (HS CODE : 8518.30.10). RAVIE</v>
      </c>
    </row>
    <row r="157" spans="1:15" ht="30" x14ac:dyDescent="0.25">
      <c r="A157" s="22" t="str">
        <f t="shared" si="93"/>
        <v>5000005059108017745</v>
      </c>
      <c r="B157" s="22" t="str">
        <f t="shared" si="94"/>
        <v>5000005059797040925</v>
      </c>
      <c r="C157" s="22" t="str">
        <f t="shared" si="95"/>
        <v>500000505979704092</v>
      </c>
      <c r="D157" s="31">
        <v>154</v>
      </c>
      <c r="E157" s="31">
        <f>'PR 2025'!A155</f>
        <v>5</v>
      </c>
      <c r="F157" s="31">
        <f>'PR 2025'!B155</f>
        <v>5000005059</v>
      </c>
      <c r="G157" s="32" t="str">
        <f>'PR 2025'!C155</f>
        <v>KEYBOARD USB</v>
      </c>
      <c r="H157" s="31">
        <f>'PR 2025'!D155</f>
        <v>10801774</v>
      </c>
      <c r="I157" s="31">
        <f>VLOOKUP(A157,'PO 2025'!$A$2:$Y$1440,21,FALSE)</f>
        <v>79704092</v>
      </c>
      <c r="J157" s="31">
        <f>'PR 2025'!E155</f>
        <v>10</v>
      </c>
      <c r="K157" s="33" t="str">
        <f>'PR 2025'!F155</f>
        <v>BH</v>
      </c>
      <c r="L157" s="34">
        <f>'PR 2025'!T155</f>
        <v>45772</v>
      </c>
      <c r="M157" s="31" t="str">
        <f>'PR 2025'!AG155</f>
        <v>R</v>
      </c>
      <c r="N157" s="34">
        <f>VLOOKUP(C157,'GRS 2025'!$A$2:$AH$1992,4,FALSE)</f>
        <v>45791</v>
      </c>
      <c r="O157" s="69" t="str">
        <f>'PR 2025'!AJ155</f>
        <v>U/ MENGGANTI YANG RUSAK BAGIAN GD BENANG (2), QA (2), WEAVING, PP GREY, PROCCESSING DF, GUDANG GREY, MARKETING (2) (HS CODE : 8471.60.30). ALI</v>
      </c>
    </row>
    <row r="158" spans="1:15" x14ac:dyDescent="0.25">
      <c r="A158" s="22" t="str">
        <f t="shared" si="93"/>
        <v>5000014291108018421</v>
      </c>
      <c r="B158" s="22" t="str">
        <f t="shared" si="94"/>
        <v>5000014291797040891</v>
      </c>
      <c r="C158" s="22" t="str">
        <f t="shared" si="95"/>
        <v>500001429179704089</v>
      </c>
      <c r="D158" s="31">
        <v>155</v>
      </c>
      <c r="E158" s="31">
        <f>'PR 2025'!A156</f>
        <v>1</v>
      </c>
      <c r="F158" s="31">
        <f>'PR 2025'!B156</f>
        <v>5000014291</v>
      </c>
      <c r="G158" s="32" t="str">
        <f>'PR 2025'!C156</f>
        <v>KABEL HDMI</v>
      </c>
      <c r="H158" s="31">
        <f>'PR 2025'!D156</f>
        <v>10801842</v>
      </c>
      <c r="I158" s="31">
        <f>VLOOKUP(A158,'PO 2025'!$A$2:$Y$1440,21,FALSE)</f>
        <v>79704089</v>
      </c>
      <c r="J158" s="31">
        <f>'PR 2025'!E156</f>
        <v>1</v>
      </c>
      <c r="K158" s="33" t="str">
        <f>'PR 2025'!F156</f>
        <v>PCS</v>
      </c>
      <c r="L158" s="34">
        <f>'PR 2025'!T156</f>
        <v>45775</v>
      </c>
      <c r="M158" s="31" t="str">
        <f>'PR 2025'!AG156</f>
        <v>R</v>
      </c>
      <c r="N158" s="34">
        <f>VLOOKUP(C158,'GRS 2025'!$A$2:$AH$1992,4,FALSE)</f>
        <v>45794</v>
      </c>
      <c r="O158" s="69" t="str">
        <f>'PR 2025'!AJ156</f>
        <v>U/ RUANG MEETING 234 (HS CODE : 8544.20.31). TIO</v>
      </c>
    </row>
    <row r="159" spans="1:15" x14ac:dyDescent="0.25">
      <c r="A159" s="22" t="str">
        <f t="shared" si="93"/>
        <v>5000017786108018422</v>
      </c>
      <c r="B159" s="22" t="str">
        <f t="shared" si="94"/>
        <v>5000017786797040892</v>
      </c>
      <c r="C159" s="22" t="str">
        <f t="shared" si="95"/>
        <v>500001778679704089</v>
      </c>
      <c r="D159" s="31">
        <v>156</v>
      </c>
      <c r="E159" s="31">
        <f>'PR 2025'!A157</f>
        <v>2</v>
      </c>
      <c r="F159" s="31">
        <f>'PR 2025'!B157</f>
        <v>5000017786</v>
      </c>
      <c r="G159" s="32" t="str">
        <f>'PR 2025'!C157</f>
        <v>KONEKTOR SAMBUNGAN HDMI TO HDMI</v>
      </c>
      <c r="H159" s="31">
        <f>'PR 2025'!D157</f>
        <v>10801842</v>
      </c>
      <c r="I159" s="31">
        <f>VLOOKUP(A159,'PO 2025'!$A$2:$Y$1440,21,FALSE)</f>
        <v>79704089</v>
      </c>
      <c r="J159" s="31">
        <f>'PR 2025'!E157</f>
        <v>1</v>
      </c>
      <c r="K159" s="33" t="str">
        <f>'PR 2025'!F157</f>
        <v>BH</v>
      </c>
      <c r="L159" s="34">
        <f>'PR 2025'!T157</f>
        <v>45775</v>
      </c>
      <c r="M159" s="31" t="str">
        <f>'PR 2025'!AG157</f>
        <v>R</v>
      </c>
      <c r="N159" s="34">
        <f>VLOOKUP(C159,'GRS 2025'!$A$2:$AH$1992,4,FALSE)</f>
        <v>45794</v>
      </c>
      <c r="O159" s="69" t="str">
        <f>'PR 2025'!AJ157</f>
        <v>U/ RUANG MEETING 234 (HS CODE : 8454.10.00). TIO</v>
      </c>
    </row>
    <row r="160" spans="1:15" x14ac:dyDescent="0.25">
      <c r="A160" s="22" t="str">
        <f t="shared" ref="A160:A167" si="96">F160&amp;H160&amp;E160</f>
        <v>5000008843108018423</v>
      </c>
      <c r="B160" s="22" t="str">
        <f t="shared" ref="B160:B167" si="97">F160&amp;I160&amp;E160</f>
        <v>5000008843797040923</v>
      </c>
      <c r="C160" s="22" t="str">
        <f t="shared" ref="C160:C167" si="98">F160&amp;I160</f>
        <v>500000884379704092</v>
      </c>
      <c r="D160" s="31">
        <v>157</v>
      </c>
      <c r="E160" s="31">
        <f>'PR 2025'!A158</f>
        <v>3</v>
      </c>
      <c r="F160" s="31">
        <f>'PR 2025'!B158</f>
        <v>5000008843</v>
      </c>
      <c r="G160" s="32" t="str">
        <f>'PR 2025'!C158</f>
        <v>MONITOR LCD 19 INCH</v>
      </c>
      <c r="H160" s="31">
        <f>'PR 2025'!D158</f>
        <v>10801842</v>
      </c>
      <c r="I160" s="31">
        <f>VLOOKUP(A160,'PO 2025'!$A$2:$Y$1440,21,FALSE)</f>
        <v>79704092</v>
      </c>
      <c r="J160" s="31">
        <f>'PR 2025'!E158</f>
        <v>1</v>
      </c>
      <c r="K160" s="33" t="str">
        <f>'PR 2025'!F158</f>
        <v>UNT</v>
      </c>
      <c r="L160" s="34">
        <f>'PR 2025'!T158</f>
        <v>45775</v>
      </c>
      <c r="M160" s="31" t="str">
        <f>'PR 2025'!AG158</f>
        <v>R</v>
      </c>
      <c r="N160" s="34">
        <f>VLOOKUP(C160,'GRS 2025'!$A$2:$AH$1992,4,FALSE)</f>
        <v>45791</v>
      </c>
      <c r="O160" s="69" t="str">
        <f>'PR 2025'!AJ158</f>
        <v>U/ MENGGANTI YANG RUSAK BAGIAN FINAL LJ1 (HS CODE : 8528.52.00). MARGIANTO</v>
      </c>
    </row>
    <row r="161" spans="1:15" x14ac:dyDescent="0.25">
      <c r="A161" s="22" t="str">
        <f t="shared" si="96"/>
        <v>5000013080108018424</v>
      </c>
      <c r="B161" s="22" t="e">
        <f t="shared" si="97"/>
        <v>#N/A</v>
      </c>
      <c r="C161" s="22" t="e">
        <f t="shared" si="98"/>
        <v>#N/A</v>
      </c>
      <c r="D161" s="39">
        <v>158</v>
      </c>
      <c r="E161" s="39">
        <f>'PR 2025'!A159</f>
        <v>4</v>
      </c>
      <c r="F161" s="39">
        <f>'PR 2025'!B159</f>
        <v>5000013080</v>
      </c>
      <c r="G161" s="40" t="str">
        <f>'PR 2025'!C159</f>
        <v>ADAPTOR 12V</v>
      </c>
      <c r="H161" s="39">
        <f>'PR 2025'!D159</f>
        <v>10801842</v>
      </c>
      <c r="I161" s="39" t="e">
        <f>VLOOKUP(A161,'PO 2025'!$A$2:$Y$1440,21,FALSE)</f>
        <v>#N/A</v>
      </c>
      <c r="J161" s="39">
        <f>'PR 2025'!E159</f>
        <v>1</v>
      </c>
      <c r="K161" s="41" t="str">
        <f>'PR 2025'!F159</f>
        <v>UNT</v>
      </c>
      <c r="L161" s="42">
        <f>'PR 2025'!T159</f>
        <v>45776</v>
      </c>
      <c r="M161" s="39" t="str">
        <f>'PR 2025'!AG159</f>
        <v>R</v>
      </c>
      <c r="N161" s="42" t="e">
        <f>VLOOKUP(C161,'GRS 2025'!$A$2:$AH$1992,4,FALSE)</f>
        <v>#N/A</v>
      </c>
      <c r="O161" s="73" t="str">
        <f>'PR 2025'!AJ159</f>
        <v>U/ PRINT SERVER BAGIAN MTC PROC LJ2 (HS CODE : 8517.79.10). ERDI</v>
      </c>
    </row>
    <row r="162" spans="1:15" x14ac:dyDescent="0.25">
      <c r="A162" s="22" t="str">
        <f t="shared" si="96"/>
        <v>5000016255108018425</v>
      </c>
      <c r="B162" s="22" t="str">
        <f t="shared" si="97"/>
        <v>5000016255797040895</v>
      </c>
      <c r="C162" s="22" t="str">
        <f t="shared" si="98"/>
        <v>500001625579704089</v>
      </c>
      <c r="D162" s="31">
        <v>159</v>
      </c>
      <c r="E162" s="31">
        <f>'PR 2025'!A160</f>
        <v>5</v>
      </c>
      <c r="F162" s="31">
        <f>'PR 2025'!B160</f>
        <v>5000016255</v>
      </c>
      <c r="G162" s="32" t="str">
        <f>'PR 2025'!C160</f>
        <v>SSD SATA 256GB</v>
      </c>
      <c r="H162" s="31">
        <f>'PR 2025'!D160</f>
        <v>10801842</v>
      </c>
      <c r="I162" s="31">
        <f>VLOOKUP(A162,'PO 2025'!$A$2:$Y$1440,21,FALSE)</f>
        <v>79704089</v>
      </c>
      <c r="J162" s="31">
        <f>'PR 2025'!E160</f>
        <v>1</v>
      </c>
      <c r="K162" s="33" t="str">
        <f>'PR 2025'!F160</f>
        <v>BH</v>
      </c>
      <c r="L162" s="34">
        <f>'PR 2025'!T160</f>
        <v>45776</v>
      </c>
      <c r="M162" s="31" t="str">
        <f>'PR 2025'!AG160</f>
        <v>R</v>
      </c>
      <c r="N162" s="34">
        <f>VLOOKUP(C162,'GRS 2025'!$A$2:$AH$1992,4,FALSE)</f>
        <v>45794</v>
      </c>
      <c r="O162" s="69" t="str">
        <f>'PR 2025'!AJ160</f>
        <v>U/ BAGIAN COST ACCOUNTING (HS CODE : 8471.50.90). VISQIA</v>
      </c>
    </row>
    <row r="163" spans="1:15" x14ac:dyDescent="0.25">
      <c r="A163" s="22" t="str">
        <f t="shared" si="96"/>
        <v>5000016248108018921</v>
      </c>
      <c r="B163" s="22" t="str">
        <f t="shared" si="97"/>
        <v>5000016248797040921</v>
      </c>
      <c r="C163" s="22" t="str">
        <f t="shared" si="98"/>
        <v>500001624879704092</v>
      </c>
      <c r="D163" s="31">
        <v>160</v>
      </c>
      <c r="E163" s="31">
        <f>'PR 2025'!A161</f>
        <v>1</v>
      </c>
      <c r="F163" s="31">
        <f>'PR 2025'!B161</f>
        <v>5000016248</v>
      </c>
      <c r="G163" s="32" t="str">
        <f>'PR 2025'!C161</f>
        <v>RACK 4U WALLMOUNT</v>
      </c>
      <c r="H163" s="31">
        <f>'PR 2025'!D161</f>
        <v>10801892</v>
      </c>
      <c r="I163" s="31">
        <f>VLOOKUP(A163,'PO 2025'!$A$2:$Y$1440,21,FALSE)</f>
        <v>79704092</v>
      </c>
      <c r="J163" s="31">
        <f>'PR 2025'!E161</f>
        <v>1</v>
      </c>
      <c r="K163" s="33" t="str">
        <f>'PR 2025'!F161</f>
        <v>UNT</v>
      </c>
      <c r="L163" s="34">
        <f>'PR 2025'!T161</f>
        <v>45777</v>
      </c>
      <c r="M163" s="31" t="str">
        <f>'PR 2025'!AG161</f>
        <v>R</v>
      </c>
      <c r="N163" s="34">
        <f>VLOOKUP(C163,'GRS 2025'!$A$2:$AH$1992,4,FALSE)</f>
        <v>45791</v>
      </c>
      <c r="O163" s="69" t="str">
        <f>'PR 2025'!AJ161</f>
        <v>URGENT : U/ BAGIAN RND (HS CODE : 8304.00.99). TETEN</v>
      </c>
    </row>
    <row r="164" spans="1:15" x14ac:dyDescent="0.25">
      <c r="A164" s="22" t="str">
        <f t="shared" si="96"/>
        <v>5000000739108018922</v>
      </c>
      <c r="B164" s="22" t="str">
        <f t="shared" si="97"/>
        <v>5000000739797040922</v>
      </c>
      <c r="C164" s="22" t="str">
        <f t="shared" si="98"/>
        <v>500000073979704092</v>
      </c>
      <c r="D164" s="31">
        <v>161</v>
      </c>
      <c r="E164" s="31">
        <f>'PR 2025'!A162</f>
        <v>2</v>
      </c>
      <c r="F164" s="31">
        <f>'PR 2025'!B162</f>
        <v>5000000739</v>
      </c>
      <c r="G164" s="32" t="str">
        <f>'PR 2025'!C162</f>
        <v>KABEL UTP BELDEN</v>
      </c>
      <c r="H164" s="31">
        <f>'PR 2025'!D162</f>
        <v>10801892</v>
      </c>
      <c r="I164" s="31">
        <f>VLOOKUP(A164,'PO 2025'!$A$2:$Y$1440,21,FALSE)</f>
        <v>79704092</v>
      </c>
      <c r="J164" s="31">
        <f>'PR 2025'!E162</f>
        <v>2</v>
      </c>
      <c r="K164" s="33" t="str">
        <f>'PR 2025'!F162</f>
        <v>ROL</v>
      </c>
      <c r="L164" s="34">
        <f>'PR 2025'!T162</f>
        <v>45777</v>
      </c>
      <c r="M164" s="31" t="str">
        <f>'PR 2025'!AG162</f>
        <v>R</v>
      </c>
      <c r="N164" s="34">
        <f>VLOOKUP(C164,'GRS 2025'!$A$2:$AH$1992,4,FALSE)</f>
        <v>45791</v>
      </c>
      <c r="O164" s="69" t="str">
        <f>'PR 2025'!AJ162</f>
        <v>URGENT : U/ BAGIAN RND (HS CODE : 8517.14.00). TETEN</v>
      </c>
    </row>
    <row r="165" spans="1:15" x14ac:dyDescent="0.25">
      <c r="A165" s="22" t="str">
        <f t="shared" si="96"/>
        <v>5000000740108018923</v>
      </c>
      <c r="B165" s="22" t="str">
        <f t="shared" si="97"/>
        <v>5000000740797040923</v>
      </c>
      <c r="C165" s="22" t="str">
        <f t="shared" si="98"/>
        <v>500000074079704092</v>
      </c>
      <c r="D165" s="31">
        <v>162</v>
      </c>
      <c r="E165" s="31">
        <f>'PR 2025'!A163</f>
        <v>3</v>
      </c>
      <c r="F165" s="31">
        <f>'PR 2025'!B163</f>
        <v>5000000740</v>
      </c>
      <c r="G165" s="32" t="str">
        <f>'PR 2025'!C163</f>
        <v>CONECTOR RJ 45</v>
      </c>
      <c r="H165" s="31">
        <f>'PR 2025'!D163</f>
        <v>10801892</v>
      </c>
      <c r="I165" s="31">
        <f>VLOOKUP(A165,'PO 2025'!$A$2:$Y$1440,21,FALSE)</f>
        <v>79704092</v>
      </c>
      <c r="J165" s="31">
        <f>'PR 2025'!E163</f>
        <v>100</v>
      </c>
      <c r="K165" s="33" t="str">
        <f>'PR 2025'!F163</f>
        <v>BH</v>
      </c>
      <c r="L165" s="34">
        <f>'PR 2025'!T163</f>
        <v>45777</v>
      </c>
      <c r="M165" s="31" t="str">
        <f>'PR 2025'!AG163</f>
        <v>R</v>
      </c>
      <c r="N165" s="34">
        <f>VLOOKUP(C165,'GRS 2025'!$A$2:$AH$1992,4,FALSE)</f>
        <v>45791</v>
      </c>
      <c r="O165" s="69" t="str">
        <f>'PR 2025'!AJ163</f>
        <v>URGENT : U/ BAGIAN RND (HS CODE : 8536.70.90). TETEN</v>
      </c>
    </row>
    <row r="166" spans="1:15" x14ac:dyDescent="0.25">
      <c r="A166" s="22" t="str">
        <f t="shared" si="96"/>
        <v>5000017258108018924</v>
      </c>
      <c r="B166" s="22" t="str">
        <f t="shared" si="97"/>
        <v>5000017258797042144</v>
      </c>
      <c r="C166" s="22" t="str">
        <f t="shared" si="98"/>
        <v>500001725879704214</v>
      </c>
      <c r="D166" s="31">
        <v>163</v>
      </c>
      <c r="E166" s="31">
        <f>'PR 2025'!A164</f>
        <v>4</v>
      </c>
      <c r="F166" s="31">
        <f>'PR 2025'!B164</f>
        <v>5000017258</v>
      </c>
      <c r="G166" s="32" t="str">
        <f>'PR 2025'!C164</f>
        <v>SWITCH D-LINK 24 PORT</v>
      </c>
      <c r="H166" s="31">
        <f>'PR 2025'!D164</f>
        <v>10801892</v>
      </c>
      <c r="I166" s="31">
        <f>VLOOKUP(A166,'PO 2025'!$A$2:$Y$1440,21,FALSE)</f>
        <v>79704214</v>
      </c>
      <c r="J166" s="31">
        <f>'PR 2025'!E164</f>
        <v>1</v>
      </c>
      <c r="K166" s="33" t="str">
        <f>'PR 2025'!F164</f>
        <v>UNT</v>
      </c>
      <c r="L166" s="34">
        <f>'PR 2025'!T164</f>
        <v>45777</v>
      </c>
      <c r="M166" s="31" t="str">
        <f>'PR 2025'!AG164</f>
        <v>R</v>
      </c>
      <c r="N166" s="34">
        <f>VLOOKUP(C166,'GRS 2025'!$A$2:$AH$1992,4,FALSE)</f>
        <v>45793</v>
      </c>
      <c r="O166" s="69" t="str">
        <f>'PR 2025'!AJ164</f>
        <v>URGENT : U/ BAGIAN RND (HS CODE : 8517.79.10). TETEN</v>
      </c>
    </row>
    <row r="167" spans="1:15" x14ac:dyDescent="0.25">
      <c r="A167" s="22" t="str">
        <f t="shared" si="96"/>
        <v>5000016930108019351</v>
      </c>
      <c r="B167" s="22" t="str">
        <f t="shared" si="97"/>
        <v>5000016930797045031</v>
      </c>
      <c r="C167" s="22" t="str">
        <f t="shared" si="98"/>
        <v>500001693079704503</v>
      </c>
      <c r="D167" s="31">
        <v>164</v>
      </c>
      <c r="E167" s="31">
        <f>'PR 2025'!A165</f>
        <v>1</v>
      </c>
      <c r="F167" s="31">
        <f>'PR 2025'!B165</f>
        <v>5000016930</v>
      </c>
      <c r="G167" s="32" t="str">
        <f>'PR 2025'!C165</f>
        <v>PRINT SERVER</v>
      </c>
      <c r="H167" s="31">
        <f>'PR 2025'!D165</f>
        <v>10801935</v>
      </c>
      <c r="I167" s="31">
        <f>VLOOKUP(A167,'PO 2025'!$A$2:$Y$1440,21,FALSE)</f>
        <v>79704503</v>
      </c>
      <c r="J167" s="31">
        <f>'PR 2025'!E165</f>
        <v>1</v>
      </c>
      <c r="K167" s="33" t="str">
        <f>'PR 2025'!F165</f>
        <v>BH</v>
      </c>
      <c r="L167" s="34">
        <f>'PR 2025'!T165</f>
        <v>45780</v>
      </c>
      <c r="M167" s="31" t="str">
        <f>'PR 2025'!AG165</f>
        <v>R</v>
      </c>
      <c r="N167" s="34">
        <f>VLOOKUP(C167,'GRS 2025'!$A$2:$AH$1992,4,FALSE)</f>
        <v>45799</v>
      </c>
      <c r="O167" s="69" t="str">
        <f>'PR 2025'!AJ165</f>
        <v>U/ BAGIAN PERSIAPAN LJ3 (HS CODE : 8517.79.10). ERDI</v>
      </c>
    </row>
    <row r="168" spans="1:15" x14ac:dyDescent="0.25">
      <c r="A168" s="22" t="str">
        <f t="shared" ref="A168:A186" si="99">F168&amp;H168&amp;E168</f>
        <v>5000015970108020201</v>
      </c>
      <c r="B168" s="22" t="str">
        <f t="shared" ref="B168:B186" si="100">F168&amp;I168&amp;E168</f>
        <v>5000015970797043911</v>
      </c>
      <c r="C168" s="22" t="str">
        <f t="shared" ref="C168:C186" si="101">F168&amp;I168</f>
        <v>500001597079704391</v>
      </c>
      <c r="D168" s="31">
        <v>165</v>
      </c>
      <c r="E168" s="31">
        <f>'PR 2025'!A166</f>
        <v>1</v>
      </c>
      <c r="F168" s="31">
        <f>'PR 2025'!B166</f>
        <v>5000015970</v>
      </c>
      <c r="G168" s="32" t="str">
        <f>'PR 2025'!C166</f>
        <v>MICROPHONE CLIP ON + AUDIO SPLITTER</v>
      </c>
      <c r="H168" s="31">
        <f>'PR 2025'!D166</f>
        <v>10802020</v>
      </c>
      <c r="I168" s="31">
        <f>VLOOKUP(A168,'PO 2025'!$A$2:$Y$1440,21,FALSE)</f>
        <v>79704391</v>
      </c>
      <c r="J168" s="31">
        <f>'PR 2025'!E166</f>
        <v>1</v>
      </c>
      <c r="K168" s="33" t="str">
        <f>'PR 2025'!F166</f>
        <v>UNT</v>
      </c>
      <c r="L168" s="34">
        <f>'PR 2025'!T166</f>
        <v>45786</v>
      </c>
      <c r="M168" s="31" t="str">
        <f>'PR 2025'!AG166</f>
        <v>R</v>
      </c>
      <c r="N168" s="34">
        <f>VLOOKUP(C168,'GRS 2025'!$A$2:$AH$1992,4,FALSE)</f>
        <v>45803</v>
      </c>
      <c r="O168" s="69" t="str">
        <f>'PR 2025'!AJ166</f>
        <v>URGENT : U/ MANAGER FAT &amp; IT (HS CODE : 8518.10.19). TIO</v>
      </c>
    </row>
    <row r="169" spans="1:15" x14ac:dyDescent="0.25">
      <c r="A169" s="22" t="str">
        <f t="shared" si="99"/>
        <v>5000012021108020401</v>
      </c>
      <c r="B169" s="22" t="str">
        <f t="shared" si="100"/>
        <v>5000012021797043931</v>
      </c>
      <c r="C169" s="22" t="str">
        <f t="shared" si="101"/>
        <v>500001202179704393</v>
      </c>
      <c r="D169" s="31">
        <v>166</v>
      </c>
      <c r="E169" s="31">
        <f>'PR 2025'!A167</f>
        <v>1</v>
      </c>
      <c r="F169" s="31">
        <f>'PR 2025'!B167</f>
        <v>5000012021</v>
      </c>
      <c r="G169" s="32" t="str">
        <f>'PR 2025'!C167</f>
        <v>KABEL VGA</v>
      </c>
      <c r="H169" s="31">
        <f>'PR 2025'!D167</f>
        <v>10802040</v>
      </c>
      <c r="I169" s="31">
        <f>VLOOKUP(A169,'PO 2025'!$A$2:$Y$1440,21,FALSE)</f>
        <v>79704393</v>
      </c>
      <c r="J169" s="31">
        <f>'PR 2025'!E167</f>
        <v>1</v>
      </c>
      <c r="K169" s="33" t="str">
        <f>'PR 2025'!F167</f>
        <v>BH</v>
      </c>
      <c r="L169" s="34">
        <f>'PR 2025'!T167</f>
        <v>45786</v>
      </c>
      <c r="M169" s="31" t="str">
        <f>'PR 2025'!AG167</f>
        <v>R</v>
      </c>
      <c r="N169" s="34">
        <f>VLOOKUP(C169,'GRS 2025'!$A$2:$AH$1992,4,FALSE)</f>
        <v>45793</v>
      </c>
      <c r="O169" s="69" t="str">
        <f>'PR 2025'!AJ167</f>
        <v>U/ BAGIAN PERSIAPAN LJ1 (HS CODE : 8544.20.31). RICKY</v>
      </c>
    </row>
    <row r="170" spans="1:15" x14ac:dyDescent="0.25">
      <c r="A170" s="22" t="str">
        <f t="shared" si="99"/>
        <v>5000013499108020421</v>
      </c>
      <c r="B170" s="22" t="str">
        <f t="shared" si="100"/>
        <v>5000013499797043911</v>
      </c>
      <c r="C170" s="22" t="str">
        <f t="shared" si="101"/>
        <v>500001349979704391</v>
      </c>
      <c r="D170" s="31">
        <v>167</v>
      </c>
      <c r="E170" s="31">
        <f>'PR 2025'!A168</f>
        <v>1</v>
      </c>
      <c r="F170" s="31">
        <f>'PR 2025'!B168</f>
        <v>5000013499</v>
      </c>
      <c r="G170" s="32" t="str">
        <f>'PR 2025'!C168</f>
        <v>KX-TS505SLT (PESAWAT TELEPHONE )</v>
      </c>
      <c r="H170" s="31">
        <f>'PR 2025'!D168</f>
        <v>10802042</v>
      </c>
      <c r="I170" s="31">
        <f>VLOOKUP(A170,'PO 2025'!$A$2:$Y$1440,21,FALSE)</f>
        <v>79704391</v>
      </c>
      <c r="J170" s="31">
        <f>'PR 2025'!E168</f>
        <v>1</v>
      </c>
      <c r="K170" s="33" t="str">
        <f>'PR 2025'!F168</f>
        <v>UNT</v>
      </c>
      <c r="L170" s="34">
        <f>'PR 2025'!T168</f>
        <v>45787</v>
      </c>
      <c r="M170" s="31" t="str">
        <f>'PR 2025'!AG168</f>
        <v>R</v>
      </c>
      <c r="N170" s="34">
        <f>VLOOKUP(C170,'GRS 2025'!$A$2:$AH$1992,4,FALSE)</f>
        <v>45803</v>
      </c>
      <c r="O170" s="69" t="str">
        <f>'PR 2025'!AJ168</f>
        <v>U/ BAGIAN ACCOUNTING (HS CODE : 8517.14.00). ANISA</v>
      </c>
    </row>
    <row r="171" spans="1:15" x14ac:dyDescent="0.25">
      <c r="A171" s="22" t="str">
        <f t="shared" si="99"/>
        <v>5000016308108020441</v>
      </c>
      <c r="B171" s="22" t="str">
        <f t="shared" si="100"/>
        <v>5000016308797043911</v>
      </c>
      <c r="C171" s="22" t="str">
        <f t="shared" si="101"/>
        <v>500001630879704391</v>
      </c>
      <c r="D171" s="31">
        <v>168</v>
      </c>
      <c r="E171" s="31">
        <f>'PR 2025'!A169</f>
        <v>1</v>
      </c>
      <c r="F171" s="31">
        <f>'PR 2025'!B169</f>
        <v>5000016308</v>
      </c>
      <c r="G171" s="32" t="str">
        <f>'PR 2025'!C169</f>
        <v>CPU BUILDUP</v>
      </c>
      <c r="H171" s="31">
        <f>'PR 2025'!D169</f>
        <v>10802044</v>
      </c>
      <c r="I171" s="31">
        <f>VLOOKUP(A171,'PO 2025'!$A$2:$Y$1440,21,FALSE)</f>
        <v>79704391</v>
      </c>
      <c r="J171" s="31">
        <f>'PR 2025'!E169</f>
        <v>2</v>
      </c>
      <c r="K171" s="33" t="str">
        <f>'PR 2025'!F169</f>
        <v>UNT</v>
      </c>
      <c r="L171" s="34">
        <f>'PR 2025'!T169</f>
        <v>45787</v>
      </c>
      <c r="M171" s="31" t="str">
        <f>'PR 2025'!AG169</f>
        <v>R</v>
      </c>
      <c r="N171" s="34">
        <f>VLOOKUP(C171,'GRS 2025'!$A$2:$AH$1992,4,FALSE)</f>
        <v>45803</v>
      </c>
      <c r="O171" s="69" t="str">
        <f>'PR 2025'!AJ169</f>
        <v>U/ BAGIAN TRAINING &amp; DEVELOPMENT (HS CODE : 8479.89.50). HENDRA</v>
      </c>
    </row>
    <row r="172" spans="1:15" x14ac:dyDescent="0.25">
      <c r="A172" s="22" t="str">
        <f t="shared" si="99"/>
        <v>5000005059108020442</v>
      </c>
      <c r="B172" s="22" t="str">
        <f t="shared" si="100"/>
        <v>5000005059797043932</v>
      </c>
      <c r="C172" s="22" t="str">
        <f t="shared" si="101"/>
        <v>500000505979704393</v>
      </c>
      <c r="D172" s="31">
        <v>169</v>
      </c>
      <c r="E172" s="31">
        <f>'PR 2025'!A170</f>
        <v>2</v>
      </c>
      <c r="F172" s="31">
        <f>'PR 2025'!B170</f>
        <v>5000005059</v>
      </c>
      <c r="G172" s="32" t="str">
        <f>'PR 2025'!C170</f>
        <v>KEYBOARD USB</v>
      </c>
      <c r="H172" s="31">
        <f>'PR 2025'!D170</f>
        <v>10802044</v>
      </c>
      <c r="I172" s="31">
        <f>VLOOKUP(A172,'PO 2025'!$A$2:$Y$1440,21,FALSE)</f>
        <v>79704393</v>
      </c>
      <c r="J172" s="31">
        <f>'PR 2025'!E170</f>
        <v>2</v>
      </c>
      <c r="K172" s="33" t="str">
        <f>'PR 2025'!F170</f>
        <v>BH</v>
      </c>
      <c r="L172" s="34">
        <f>'PR 2025'!T170</f>
        <v>45787</v>
      </c>
      <c r="M172" s="31" t="str">
        <f>'PR 2025'!AG170</f>
        <v>R</v>
      </c>
      <c r="N172" s="34">
        <f>VLOOKUP(C172,'GRS 2025'!$A$2:$AH$1992,4,FALSE)</f>
        <v>45793</v>
      </c>
      <c r="O172" s="69" t="str">
        <f>'PR 2025'!AJ170</f>
        <v>U/ BAGIAN TRAINING &amp; DEVELOPMENT (HS CODE : 8471.60.30). HENDRA</v>
      </c>
    </row>
    <row r="173" spans="1:15" x14ac:dyDescent="0.25">
      <c r="A173" s="22" t="str">
        <f t="shared" si="99"/>
        <v>5000004248108020443</v>
      </c>
      <c r="B173" s="22" t="str">
        <f t="shared" si="100"/>
        <v>5000004248797043933</v>
      </c>
      <c r="C173" s="22" t="str">
        <f t="shared" si="101"/>
        <v>500000424879704393</v>
      </c>
      <c r="D173" s="31">
        <v>170</v>
      </c>
      <c r="E173" s="31">
        <f>'PR 2025'!A171</f>
        <v>3</v>
      </c>
      <c r="F173" s="31">
        <f>'PR 2025'!B171</f>
        <v>5000004248</v>
      </c>
      <c r="G173" s="32" t="str">
        <f>'PR 2025'!C171</f>
        <v>MOUSE USB</v>
      </c>
      <c r="H173" s="31">
        <f>'PR 2025'!D171</f>
        <v>10802044</v>
      </c>
      <c r="I173" s="31">
        <f>VLOOKUP(A173,'PO 2025'!$A$2:$Y$1440,21,FALSE)</f>
        <v>79704393</v>
      </c>
      <c r="J173" s="31">
        <f>'PR 2025'!E171</f>
        <v>2</v>
      </c>
      <c r="K173" s="33" t="str">
        <f>'PR 2025'!F171</f>
        <v>BH</v>
      </c>
      <c r="L173" s="34">
        <f>'PR 2025'!T171</f>
        <v>45787</v>
      </c>
      <c r="M173" s="31" t="str">
        <f>'PR 2025'!AG171</f>
        <v>R</v>
      </c>
      <c r="N173" s="34">
        <f>VLOOKUP(C173,'GRS 2025'!$A$2:$AH$1992,4,FALSE)</f>
        <v>45793</v>
      </c>
      <c r="O173" s="69" t="str">
        <f>'PR 2025'!AJ171</f>
        <v>U/ BAGIAN TRAINING &amp; DEVELOPMENT (HS CODE : 8471.60.40). HENDRA</v>
      </c>
    </row>
    <row r="174" spans="1:15" x14ac:dyDescent="0.25">
      <c r="A174" s="22" t="str">
        <f t="shared" si="99"/>
        <v>5000008843108020444</v>
      </c>
      <c r="B174" s="22" t="str">
        <f t="shared" si="100"/>
        <v>5000008843797043934</v>
      </c>
      <c r="C174" s="22" t="str">
        <f t="shared" si="101"/>
        <v>500000884379704393</v>
      </c>
      <c r="D174" s="31">
        <v>171</v>
      </c>
      <c r="E174" s="31">
        <f>'PR 2025'!A172</f>
        <v>4</v>
      </c>
      <c r="F174" s="31">
        <f>'PR 2025'!B172</f>
        <v>5000008843</v>
      </c>
      <c r="G174" s="32" t="str">
        <f>'PR 2025'!C172</f>
        <v>MONITOR LCD 19 INCH</v>
      </c>
      <c r="H174" s="31">
        <f>'PR 2025'!D172</f>
        <v>10802044</v>
      </c>
      <c r="I174" s="31">
        <f>VLOOKUP(A174,'PO 2025'!$A$2:$Y$1440,21,FALSE)</f>
        <v>79704393</v>
      </c>
      <c r="J174" s="31">
        <f>'PR 2025'!E172</f>
        <v>2</v>
      </c>
      <c r="K174" s="33" t="str">
        <f>'PR 2025'!F172</f>
        <v>UNT</v>
      </c>
      <c r="L174" s="34">
        <f>'PR 2025'!T172</f>
        <v>45787</v>
      </c>
      <c r="M174" s="31" t="str">
        <f>'PR 2025'!AG172</f>
        <v>R</v>
      </c>
      <c r="N174" s="34">
        <f>VLOOKUP(C174,'GRS 2025'!$A$2:$AH$1992,4,FALSE)</f>
        <v>45793</v>
      </c>
      <c r="O174" s="69" t="str">
        <f>'PR 2025'!AJ172</f>
        <v>U/ BAGIAN TRAINING &amp; DEVELOPMENT (HS CODE : 8528.52.00). HENDRA</v>
      </c>
    </row>
    <row r="175" spans="1:15" x14ac:dyDescent="0.25">
      <c r="A175" s="22" t="str">
        <f t="shared" si="99"/>
        <v>5000016930108020461</v>
      </c>
      <c r="B175" s="22" t="str">
        <f t="shared" si="100"/>
        <v>5000016930797045031</v>
      </c>
      <c r="C175" s="22" t="str">
        <f t="shared" si="101"/>
        <v>500001693079704503</v>
      </c>
      <c r="D175" s="31">
        <v>172</v>
      </c>
      <c r="E175" s="31">
        <f>'PR 2025'!A173</f>
        <v>1</v>
      </c>
      <c r="F175" s="31">
        <f>'PR 2025'!B173</f>
        <v>5000016930</v>
      </c>
      <c r="G175" s="32" t="str">
        <f>'PR 2025'!C173</f>
        <v>PRINT SERVER</v>
      </c>
      <c r="H175" s="31">
        <f>'PR 2025'!D173</f>
        <v>10802046</v>
      </c>
      <c r="I175" s="31">
        <f>VLOOKUP(A175,'PO 2025'!$A$2:$Y$1440,21,FALSE)</f>
        <v>79704503</v>
      </c>
      <c r="J175" s="31">
        <f>'PR 2025'!E173</f>
        <v>1</v>
      </c>
      <c r="K175" s="33" t="str">
        <f>'PR 2025'!F173</f>
        <v>BH</v>
      </c>
      <c r="L175" s="34">
        <f>'PR 2025'!T173</f>
        <v>45787</v>
      </c>
      <c r="M175" s="31" t="str">
        <f>'PR 2025'!AG173</f>
        <v>R</v>
      </c>
      <c r="N175" s="34">
        <f>VLOOKUP(C175,'GRS 2025'!$A$2:$AH$1992,4,FALSE)</f>
        <v>45799</v>
      </c>
      <c r="O175" s="69" t="str">
        <f>'PR 2025'!AJ173</f>
        <v>U/ BAGIAN MTC LJ3 (HS CODE : 8517.79.10). TIO</v>
      </c>
    </row>
    <row r="176" spans="1:15" x14ac:dyDescent="0.25">
      <c r="A176" s="22" t="str">
        <f t="shared" si="99"/>
        <v>5000017612108020471</v>
      </c>
      <c r="B176" s="22" t="str">
        <f t="shared" si="100"/>
        <v>5000017612797048191</v>
      </c>
      <c r="C176" s="22" t="str">
        <f t="shared" si="101"/>
        <v>500001761279704819</v>
      </c>
      <c r="D176" s="56">
        <v>173</v>
      </c>
      <c r="E176" s="56">
        <f>'PR 2025'!A174</f>
        <v>1</v>
      </c>
      <c r="F176" s="56">
        <f>'PR 2025'!B174</f>
        <v>5000017612</v>
      </c>
      <c r="G176" s="57" t="str">
        <f>'PR 2025'!C174</f>
        <v>FAN VGA</v>
      </c>
      <c r="H176" s="56">
        <f>'PR 2025'!D174</f>
        <v>10802047</v>
      </c>
      <c r="I176" s="56">
        <f>VLOOKUP(A176,'PO 2025'!$A$2:$Y$1440,21,FALSE)</f>
        <v>79704819</v>
      </c>
      <c r="J176" s="56">
        <f>'PR 2025'!E174</f>
        <v>1</v>
      </c>
      <c r="K176" s="58" t="str">
        <f>'PR 2025'!F174</f>
        <v>BH</v>
      </c>
      <c r="L176" s="59">
        <f>'PR 2025'!T174</f>
        <v>45787</v>
      </c>
      <c r="M176" s="56" t="str">
        <f>'PR 2025'!AG174</f>
        <v>R</v>
      </c>
      <c r="N176" s="59" t="e">
        <f>VLOOKUP(C176,'GRS 2025'!$A$2:$AH$1992,4,FALSE)</f>
        <v>#N/A</v>
      </c>
      <c r="O176" s="74" t="str">
        <f>'PR 2025'!AJ174</f>
        <v>UKURAN DIAMETER 6 CM U/ BAGIAN IT (HS CODE : 8414.59.10). ERDI</v>
      </c>
    </row>
    <row r="177" spans="1:15" x14ac:dyDescent="0.25">
      <c r="A177" s="22" t="str">
        <f t="shared" si="99"/>
        <v>5000012021108020445</v>
      </c>
      <c r="B177" s="22" t="str">
        <f t="shared" si="100"/>
        <v>5000012021797043935</v>
      </c>
      <c r="C177" s="22" t="str">
        <f t="shared" si="101"/>
        <v>500001202179704393</v>
      </c>
      <c r="D177" s="31">
        <v>174</v>
      </c>
      <c r="E177" s="31">
        <f>'PR 2025'!A175</f>
        <v>5</v>
      </c>
      <c r="F177" s="31">
        <f>'PR 2025'!B175</f>
        <v>5000012021</v>
      </c>
      <c r="G177" s="32" t="str">
        <f>'PR 2025'!C175</f>
        <v>KABEL VGA</v>
      </c>
      <c r="H177" s="31">
        <f>'PR 2025'!D175</f>
        <v>10802044</v>
      </c>
      <c r="I177" s="31">
        <f>VLOOKUP(A177,'PO 2025'!$A$2:$Y$1440,21,FALSE)</f>
        <v>79704393</v>
      </c>
      <c r="J177" s="31">
        <f>'PR 2025'!E175</f>
        <v>2</v>
      </c>
      <c r="K177" s="33" t="str">
        <f>'PR 2025'!F175</f>
        <v>BH</v>
      </c>
      <c r="L177" s="34">
        <f>'PR 2025'!T175</f>
        <v>45790</v>
      </c>
      <c r="M177" s="31" t="str">
        <f>'PR 2025'!AG175</f>
        <v>R</v>
      </c>
      <c r="N177" s="34">
        <f>VLOOKUP(C177,'GRS 2025'!$A$2:$AH$1992,4,FALSE)</f>
        <v>45793</v>
      </c>
      <c r="O177" s="69" t="str">
        <f>'PR 2025'!AJ175</f>
        <v>U/ BAGIAN TRAINING &amp; DEVELOPMENT (HS CODE : 8544.20.31). HENDRA</v>
      </c>
    </row>
    <row r="178" spans="1:15" x14ac:dyDescent="0.25">
      <c r="A178" s="22" t="str">
        <f t="shared" si="99"/>
        <v>5000017258108020861</v>
      </c>
      <c r="B178" s="22" t="str">
        <f t="shared" si="100"/>
        <v>5000017258797043891</v>
      </c>
      <c r="C178" s="22" t="str">
        <f t="shared" si="101"/>
        <v>500001725879704389</v>
      </c>
      <c r="D178" s="31">
        <v>175</v>
      </c>
      <c r="E178" s="31">
        <f>'PR 2025'!A176</f>
        <v>1</v>
      </c>
      <c r="F178" s="31">
        <f>'PR 2025'!B176</f>
        <v>5000017258</v>
      </c>
      <c r="G178" s="32" t="str">
        <f>'PR 2025'!C176</f>
        <v>SWITCH D-LINK 24 PORT</v>
      </c>
      <c r="H178" s="31">
        <f>'PR 2025'!D176</f>
        <v>10802086</v>
      </c>
      <c r="I178" s="31">
        <f>VLOOKUP(A178,'PO 2025'!$A$2:$Y$1440,21,FALSE)</f>
        <v>79704389</v>
      </c>
      <c r="J178" s="31">
        <f>'PR 2025'!E176</f>
        <v>2</v>
      </c>
      <c r="K178" s="33" t="str">
        <f>'PR 2025'!F176</f>
        <v>UNT</v>
      </c>
      <c r="L178" s="34">
        <f>'PR 2025'!T176</f>
        <v>45790</v>
      </c>
      <c r="M178" s="31" t="str">
        <f>'PR 2025'!AG176</f>
        <v>R</v>
      </c>
      <c r="N178" s="34">
        <f>VLOOKUP(C178,'GRS 2025'!$A$2:$AH$1992,4,FALSE)</f>
        <v>45797</v>
      </c>
      <c r="O178" s="69" t="str">
        <f>'PR 2025'!AJ176</f>
        <v>U/ RUANG MARKETING SEMENTARA (HS CODE : 8517.79.10). REYZA</v>
      </c>
    </row>
    <row r="179" spans="1:15" x14ac:dyDescent="0.25">
      <c r="A179" s="22" t="str">
        <f t="shared" si="99"/>
        <v>5000016728108020862</v>
      </c>
      <c r="B179" s="22" t="str">
        <f t="shared" si="100"/>
        <v>5000016728797043892</v>
      </c>
      <c r="C179" s="22" t="str">
        <f t="shared" si="101"/>
        <v>500001672879704389</v>
      </c>
      <c r="D179" s="31">
        <v>176</v>
      </c>
      <c r="E179" s="31">
        <f>'PR 2025'!A177</f>
        <v>2</v>
      </c>
      <c r="F179" s="31">
        <f>'PR 2025'!B177</f>
        <v>5000016728</v>
      </c>
      <c r="G179" s="32" t="str">
        <f>'PR 2025'!C177</f>
        <v>SWITCH D-LINK 8 PORT</v>
      </c>
      <c r="H179" s="31">
        <f>'PR 2025'!D177</f>
        <v>10802086</v>
      </c>
      <c r="I179" s="31">
        <f>VLOOKUP(A179,'PO 2025'!$A$2:$Y$1440,21,FALSE)</f>
        <v>79704389</v>
      </c>
      <c r="J179" s="31">
        <f>'PR 2025'!E177</f>
        <v>6</v>
      </c>
      <c r="K179" s="33" t="str">
        <f>'PR 2025'!F177</f>
        <v>UNT</v>
      </c>
      <c r="L179" s="34">
        <f>'PR 2025'!T177</f>
        <v>45790</v>
      </c>
      <c r="M179" s="31" t="str">
        <f>'PR 2025'!AG177</f>
        <v>R</v>
      </c>
      <c r="N179" s="34">
        <f>VLOOKUP(C179,'GRS 2025'!$A$2:$AH$1992,4,FALSE)</f>
        <v>45797</v>
      </c>
      <c r="O179" s="69" t="str">
        <f>'PR 2025'!AJ177</f>
        <v>U/ RUANG MARKETING SEMENTARA (HS CODE : 8517.79.10). REYZA</v>
      </c>
    </row>
    <row r="180" spans="1:15" x14ac:dyDescent="0.25">
      <c r="A180" s="22" t="str">
        <f t="shared" si="99"/>
        <v>5000000739108020863</v>
      </c>
      <c r="B180" s="22" t="str">
        <f t="shared" si="100"/>
        <v>5000000739797043893</v>
      </c>
      <c r="C180" s="22" t="str">
        <f t="shared" si="101"/>
        <v>500000073979704389</v>
      </c>
      <c r="D180" s="31">
        <v>177</v>
      </c>
      <c r="E180" s="31">
        <f>'PR 2025'!A178</f>
        <v>3</v>
      </c>
      <c r="F180" s="31">
        <f>'PR 2025'!B178</f>
        <v>5000000739</v>
      </c>
      <c r="G180" s="32" t="str">
        <f>'PR 2025'!C178</f>
        <v>KABEL UTP BELDEN</v>
      </c>
      <c r="H180" s="31">
        <f>'PR 2025'!D178</f>
        <v>10802086</v>
      </c>
      <c r="I180" s="31">
        <f>VLOOKUP(A180,'PO 2025'!$A$2:$Y$1440,21,FALSE)</f>
        <v>79704389</v>
      </c>
      <c r="J180" s="31">
        <f>'PR 2025'!E178</f>
        <v>2</v>
      </c>
      <c r="K180" s="33" t="str">
        <f>'PR 2025'!F178</f>
        <v>ROL</v>
      </c>
      <c r="L180" s="34">
        <f>'PR 2025'!T178</f>
        <v>45790</v>
      </c>
      <c r="M180" s="31" t="str">
        <f>'PR 2025'!AG178</f>
        <v>R</v>
      </c>
      <c r="N180" s="34">
        <f>VLOOKUP(C180,'GRS 2025'!$A$2:$AH$1992,4,FALSE)</f>
        <v>45797</v>
      </c>
      <c r="O180" s="69" t="str">
        <f>'PR 2025'!AJ178</f>
        <v>U/ RUANG MARKETING SEMENTARA (HS CODE : 8517.14.00). REYZA</v>
      </c>
    </row>
    <row r="181" spans="1:15" x14ac:dyDescent="0.25">
      <c r="A181" s="22" t="str">
        <f t="shared" si="99"/>
        <v>5000000740108020864</v>
      </c>
      <c r="B181" s="22" t="str">
        <f t="shared" si="100"/>
        <v>5000000740797043934</v>
      </c>
      <c r="C181" s="22" t="str">
        <f t="shared" si="101"/>
        <v>500000074079704393</v>
      </c>
      <c r="D181" s="31">
        <v>178</v>
      </c>
      <c r="E181" s="31">
        <f>'PR 2025'!A179</f>
        <v>4</v>
      </c>
      <c r="F181" s="31">
        <f>'PR 2025'!B179</f>
        <v>5000000740</v>
      </c>
      <c r="G181" s="32" t="str">
        <f>'PR 2025'!C179</f>
        <v>CONECTOR RJ 45</v>
      </c>
      <c r="H181" s="31">
        <f>'PR 2025'!D179</f>
        <v>10802086</v>
      </c>
      <c r="I181" s="31">
        <f>VLOOKUP(A181,'PO 2025'!$A$2:$Y$1440,21,FALSE)</f>
        <v>79704393</v>
      </c>
      <c r="J181" s="31">
        <f>'PR 2025'!E179</f>
        <v>200</v>
      </c>
      <c r="K181" s="33" t="str">
        <f>'PR 2025'!F179</f>
        <v>BH</v>
      </c>
      <c r="L181" s="34">
        <f>'PR 2025'!T179</f>
        <v>45790</v>
      </c>
      <c r="M181" s="31" t="str">
        <f>'PR 2025'!AG179</f>
        <v>R</v>
      </c>
      <c r="N181" s="34">
        <f>VLOOKUP(C181,'GRS 2025'!$A$2:$AH$1992,4,FALSE)</f>
        <v>45793</v>
      </c>
      <c r="O181" s="69" t="str">
        <f>'PR 2025'!AJ179</f>
        <v>U/ RUANG MARKETING SEMENTARA (HS CODE : 8536.70.90). REYZA</v>
      </c>
    </row>
    <row r="182" spans="1:15" x14ac:dyDescent="0.25">
      <c r="A182" s="22" t="str">
        <f t="shared" si="99"/>
        <v>5000013640108020865</v>
      </c>
      <c r="B182" s="22" t="str">
        <f t="shared" si="100"/>
        <v>5000013640797043935</v>
      </c>
      <c r="C182" s="22" t="str">
        <f t="shared" si="101"/>
        <v>500001364079704393</v>
      </c>
      <c r="D182" s="31">
        <v>179</v>
      </c>
      <c r="E182" s="31">
        <f>'PR 2025'!A180</f>
        <v>5</v>
      </c>
      <c r="F182" s="31">
        <f>'PR 2025'!B180</f>
        <v>5000013640</v>
      </c>
      <c r="G182" s="32" t="str">
        <f>'PR 2025'!C180</f>
        <v>CONNECTOR TELEPHONE</v>
      </c>
      <c r="H182" s="31">
        <f>'PR 2025'!D180</f>
        <v>10802086</v>
      </c>
      <c r="I182" s="31">
        <f>VLOOKUP(A182,'PO 2025'!$A$2:$Y$1440,21,FALSE)</f>
        <v>79704393</v>
      </c>
      <c r="J182" s="31">
        <f>'PR 2025'!E180</f>
        <v>50</v>
      </c>
      <c r="K182" s="33" t="str">
        <f>'PR 2025'!F180</f>
        <v>BH</v>
      </c>
      <c r="L182" s="34">
        <f>'PR 2025'!T180</f>
        <v>45790</v>
      </c>
      <c r="M182" s="31" t="str">
        <f>'PR 2025'!AG180</f>
        <v>R</v>
      </c>
      <c r="N182" s="34">
        <f>VLOOKUP(C182,'GRS 2025'!$A$2:$AH$1992,4,FALSE)</f>
        <v>45793</v>
      </c>
      <c r="O182" s="69" t="str">
        <f>'PR 2025'!AJ180</f>
        <v>U/ RUANG MARKETING SEMENTARA (HS CODE : 8518.40.20). REYZA</v>
      </c>
    </row>
    <row r="183" spans="1:15" ht="30" x14ac:dyDescent="0.25">
      <c r="A183" s="22" t="str">
        <f t="shared" si="99"/>
        <v>5000016322108020866</v>
      </c>
      <c r="B183" s="22" t="str">
        <f t="shared" si="100"/>
        <v>5000016322797043936</v>
      </c>
      <c r="C183" s="22" t="str">
        <f t="shared" si="101"/>
        <v>500001632279704393</v>
      </c>
      <c r="D183" s="31">
        <v>180</v>
      </c>
      <c r="E183" s="31">
        <f>'PR 2025'!A181</f>
        <v>6</v>
      </c>
      <c r="F183" s="31">
        <f>'PR 2025'!B181</f>
        <v>5000016322</v>
      </c>
      <c r="G183" s="32" t="str">
        <f>'PR 2025'!C181</f>
        <v>KABEL EXTENTION CORE</v>
      </c>
      <c r="H183" s="31">
        <f>'PR 2025'!D181</f>
        <v>10802086</v>
      </c>
      <c r="I183" s="31">
        <f>VLOOKUP(A183,'PO 2025'!$A$2:$Y$1440,21,FALSE)</f>
        <v>79704393</v>
      </c>
      <c r="J183" s="31">
        <f>'PR 2025'!E181</f>
        <v>55</v>
      </c>
      <c r="K183" s="33" t="str">
        <f>'PR 2025'!F181</f>
        <v>BH</v>
      </c>
      <c r="L183" s="34">
        <f>'PR 2025'!T181</f>
        <v>45790</v>
      </c>
      <c r="M183" s="31" t="str">
        <f>'PR 2025'!AG181</f>
        <v>R</v>
      </c>
      <c r="N183" s="34">
        <f>VLOOKUP(C183,'GRS 2025'!$A$2:$AH$1992,4,FALSE)</f>
        <v>45793</v>
      </c>
      <c r="O183" s="69" t="str">
        <f>'PR 2025'!AJ181</f>
        <v>U/ RUANG MARKETING SEMENTARA (50), PAPERTUBE (1), MESS (1), MARKETING (1), FINAL LJ1 (1), DAN UTILITY (1) (HS CODE : 8544.42.91). REYZA &amp; ERDI</v>
      </c>
    </row>
    <row r="184" spans="1:15" ht="30" x14ac:dyDescent="0.25">
      <c r="A184" s="22" t="str">
        <f t="shared" si="99"/>
        <v>5000012033108020867</v>
      </c>
      <c r="B184" s="22" t="str">
        <f t="shared" si="100"/>
        <v>5000012033797043937</v>
      </c>
      <c r="C184" s="22" t="str">
        <f t="shared" si="101"/>
        <v>500001203379704393</v>
      </c>
      <c r="D184" s="31">
        <v>181</v>
      </c>
      <c r="E184" s="31">
        <f>'PR 2025'!A182</f>
        <v>7</v>
      </c>
      <c r="F184" s="31">
        <f>'PR 2025'!B182</f>
        <v>5000012033</v>
      </c>
      <c r="G184" s="32" t="str">
        <f>'PR 2025'!C182</f>
        <v>KABEL SPIRAL TELEPHONE</v>
      </c>
      <c r="H184" s="31">
        <f>'PR 2025'!D182</f>
        <v>10802086</v>
      </c>
      <c r="I184" s="31">
        <f>VLOOKUP(A184,'PO 2025'!$A$2:$Y$1440,21,FALSE)</f>
        <v>79704393</v>
      </c>
      <c r="J184" s="31">
        <f>'PR 2025'!E182</f>
        <v>55</v>
      </c>
      <c r="K184" s="33" t="str">
        <f>'PR 2025'!F182</f>
        <v>BH</v>
      </c>
      <c r="L184" s="34">
        <f>'PR 2025'!T182</f>
        <v>45790</v>
      </c>
      <c r="M184" s="31" t="str">
        <f>'PR 2025'!AG182</f>
        <v>R</v>
      </c>
      <c r="N184" s="34">
        <f>VLOOKUP(C184,'GRS 2025'!$A$2:$AH$1992,4,FALSE)</f>
        <v>45793</v>
      </c>
      <c r="O184" s="69" t="str">
        <f>'PR 2025'!AJ182</f>
        <v>U/ RUANG MARKETING SEMENTARA (50), KEUANGAN (1), MESS (1), MARKETING (1), FINAL LJ1 (1), DAN UTILITY (1) (HS CODE : 8522.90.92). REYZA &amp; ERDI</v>
      </c>
    </row>
    <row r="185" spans="1:15" x14ac:dyDescent="0.25">
      <c r="A185" s="22" t="str">
        <f t="shared" si="99"/>
        <v>5000017481108020868</v>
      </c>
      <c r="B185" s="22" t="str">
        <f t="shared" si="100"/>
        <v>5000017481797043898</v>
      </c>
      <c r="C185" s="22" t="str">
        <f t="shared" si="101"/>
        <v>500001748179704389</v>
      </c>
      <c r="D185" s="31">
        <v>182</v>
      </c>
      <c r="E185" s="31">
        <f>'PR 2025'!A183</f>
        <v>8</v>
      </c>
      <c r="F185" s="31">
        <f>'PR 2025'!B183</f>
        <v>5000017481</v>
      </c>
      <c r="G185" s="32" t="str">
        <f>'PR 2025'!C183</f>
        <v>SCANNER PLUSTEK PS283</v>
      </c>
      <c r="H185" s="31">
        <f>'PR 2025'!D183</f>
        <v>10802086</v>
      </c>
      <c r="I185" s="31">
        <f>VLOOKUP(A185,'PO 2025'!$A$2:$Y$1440,21,FALSE)</f>
        <v>79704389</v>
      </c>
      <c r="J185" s="31">
        <f>'PR 2025'!E183</f>
        <v>1</v>
      </c>
      <c r="K185" s="33" t="str">
        <f>'PR 2025'!F183</f>
        <v>UNT</v>
      </c>
      <c r="L185" s="34">
        <f>'PR 2025'!T183</f>
        <v>45790</v>
      </c>
      <c r="M185" s="31" t="str">
        <f>'PR 2025'!AG183</f>
        <v>R</v>
      </c>
      <c r="N185" s="34">
        <f>VLOOKUP(C185,'GRS 2025'!$A$2:$AH$1992,4,FALSE)</f>
        <v>45797</v>
      </c>
      <c r="O185" s="69" t="str">
        <f>'PR 2025'!AJ183</f>
        <v>URGENT : U/ BAGIAN PERSONALIA (HS CODE : 8443.31.91). ERIK</v>
      </c>
    </row>
    <row r="186" spans="1:15" x14ac:dyDescent="0.25">
      <c r="A186" s="22" t="str">
        <f t="shared" si="99"/>
        <v>5000017799108020869</v>
      </c>
      <c r="B186" s="22" t="str">
        <f t="shared" si="100"/>
        <v>5000017799797043939</v>
      </c>
      <c r="C186" s="22" t="str">
        <f t="shared" si="101"/>
        <v>500001779979704393</v>
      </c>
      <c r="D186" s="31">
        <v>183</v>
      </c>
      <c r="E186" s="31">
        <f>'PR 2025'!A184</f>
        <v>9</v>
      </c>
      <c r="F186" s="31">
        <f>'PR 2025'!B184</f>
        <v>5000017799</v>
      </c>
      <c r="G186" s="32" t="str">
        <f>'PR 2025'!C184</f>
        <v>THERMAL PASTE</v>
      </c>
      <c r="H186" s="31">
        <f>'PR 2025'!D184</f>
        <v>10802086</v>
      </c>
      <c r="I186" s="31">
        <f>VLOOKUP(A186,'PO 2025'!$A$2:$Y$1440,21,FALSE)</f>
        <v>79704393</v>
      </c>
      <c r="J186" s="31">
        <f>'PR 2025'!E184</f>
        <v>5</v>
      </c>
      <c r="K186" s="33" t="str">
        <f>'PR 2025'!F184</f>
        <v>BH</v>
      </c>
      <c r="L186" s="34">
        <f>'PR 2025'!T184</f>
        <v>45790</v>
      </c>
      <c r="M186" s="31" t="str">
        <f>'PR 2025'!AG184</f>
        <v>R</v>
      </c>
      <c r="N186" s="34">
        <f>VLOOKUP(C186,'GRS 2025'!$A$2:$AH$1992,4,FALSE)</f>
        <v>45793</v>
      </c>
      <c r="O186" s="69" t="str">
        <f>'PR 2025'!AJ184</f>
        <v>U/ BAGIAN IT. RICKY</v>
      </c>
    </row>
    <row r="187" spans="1:15" x14ac:dyDescent="0.25">
      <c r="A187" s="22" t="str">
        <f t="shared" ref="A187" si="102">F187&amp;H187&amp;E187</f>
        <v>50000053401080208610</v>
      </c>
      <c r="B187" s="22" t="str">
        <f t="shared" ref="B187" si="103">F187&amp;I187&amp;E187</f>
        <v>50000053407970485810</v>
      </c>
      <c r="C187" s="22" t="str">
        <f t="shared" ref="C187" si="104">F187&amp;I187</f>
        <v>500000534079704858</v>
      </c>
      <c r="D187" s="31">
        <v>184</v>
      </c>
      <c r="E187" s="31">
        <f>'PR 2025'!A185</f>
        <v>10</v>
      </c>
      <c r="F187" s="31">
        <f>'PR 2025'!B185</f>
        <v>5000005340</v>
      </c>
      <c r="G187" s="32" t="str">
        <f>'PR 2025'!C185</f>
        <v>POWER SUPLY ATX 450 WATT</v>
      </c>
      <c r="H187" s="31">
        <f>'PR 2025'!D185</f>
        <v>10802086</v>
      </c>
      <c r="I187" s="31">
        <f>VLOOKUP(A187,'PO 2025'!$A$2:$Y$1440,21,FALSE)</f>
        <v>79704858</v>
      </c>
      <c r="J187" s="31">
        <f>'PR 2025'!E185</f>
        <v>5</v>
      </c>
      <c r="K187" s="33" t="str">
        <f>'PR 2025'!F185</f>
        <v>UNT</v>
      </c>
      <c r="L187" s="34">
        <f>'PR 2025'!T185</f>
        <v>45790</v>
      </c>
      <c r="M187" s="31" t="str">
        <f>'PR 2025'!AG185</f>
        <v>R</v>
      </c>
      <c r="N187" s="34">
        <f>VLOOKUP(C187,'GRS 2025'!$A$2:$AH$1992,4,FALSE)</f>
        <v>45811</v>
      </c>
      <c r="O187" s="69" t="str">
        <f>'PR 2025'!AJ185</f>
        <v>URGENT : U/ MENGGANTI YANG RUSAK BAGIAN FINAL LJ1, GD PACKING, LAB, GA &amp; DF LJ1 (HS CODE : 8414.59.10). RICKY</v>
      </c>
    </row>
    <row r="188" spans="1:15" x14ac:dyDescent="0.25">
      <c r="A188" s="22" t="str">
        <f t="shared" ref="A188:A191" si="105">F188&amp;H188&amp;E188</f>
        <v>5000017801108021171</v>
      </c>
      <c r="B188" s="22" t="str">
        <f t="shared" ref="B188:B191" si="106">F188&amp;I188&amp;E188</f>
        <v>5000017801797045061</v>
      </c>
      <c r="C188" s="22" t="str">
        <f t="shared" ref="C188:C191" si="107">F188&amp;I188</f>
        <v>500001780179704506</v>
      </c>
      <c r="D188" s="31">
        <v>185</v>
      </c>
      <c r="E188" s="31">
        <f>'PR 2025'!A186</f>
        <v>1</v>
      </c>
      <c r="F188" s="31">
        <f>'PR 2025'!B186</f>
        <v>5000017801</v>
      </c>
      <c r="G188" s="32" t="str">
        <f>'PR 2025'!C186</f>
        <v>MONITOR TV 60 INCH</v>
      </c>
      <c r="H188" s="31">
        <f>'PR 2025'!D186</f>
        <v>10802117</v>
      </c>
      <c r="I188" s="31">
        <f>VLOOKUP(A188,'PO 2025'!$A$2:$Y$1440,21,FALSE)</f>
        <v>79704506</v>
      </c>
      <c r="J188" s="31">
        <f>'PR 2025'!E186</f>
        <v>1</v>
      </c>
      <c r="K188" s="33" t="str">
        <f>'PR 2025'!F186</f>
        <v>UNT</v>
      </c>
      <c r="L188" s="34">
        <f>'PR 2025'!T186</f>
        <v>45791</v>
      </c>
      <c r="M188" s="31" t="str">
        <f>'PR 2025'!AG186</f>
        <v>R</v>
      </c>
      <c r="N188" s="34">
        <f>VLOOKUP(C188,'GRS 2025'!$A$2:$AH$1992,4,FALSE)</f>
        <v>45800</v>
      </c>
      <c r="O188" s="69" t="str">
        <f>'PR 2025'!AJ186</f>
        <v>U/ PJS FACTORY MANAGER (BPK ZENZEN) (HS CODE : 8528.52.00). DETA</v>
      </c>
    </row>
    <row r="189" spans="1:15" x14ac:dyDescent="0.25">
      <c r="A189" s="22" t="str">
        <f t="shared" si="105"/>
        <v>5000017802108021172</v>
      </c>
      <c r="B189" s="22" t="str">
        <f t="shared" si="106"/>
        <v>5000017802797045102</v>
      </c>
      <c r="C189" s="22" t="str">
        <f t="shared" si="107"/>
        <v>500001780279704510</v>
      </c>
      <c r="D189" s="31">
        <v>186</v>
      </c>
      <c r="E189" s="31">
        <f>'PR 2025'!A187</f>
        <v>2</v>
      </c>
      <c r="F189" s="31">
        <f>'PR 2025'!B187</f>
        <v>5000017802</v>
      </c>
      <c r="G189" s="32" t="str">
        <f>'PR 2025'!C187</f>
        <v>LAPTOP LENOVO I5 V15</v>
      </c>
      <c r="H189" s="31">
        <f>'PR 2025'!D187</f>
        <v>10802117</v>
      </c>
      <c r="I189" s="31">
        <f>VLOOKUP(A189,'PO 2025'!$A$2:$Y$1440,21,FALSE)</f>
        <v>79704510</v>
      </c>
      <c r="J189" s="31">
        <f>'PR 2025'!E187</f>
        <v>1</v>
      </c>
      <c r="K189" s="33" t="str">
        <f>'PR 2025'!F187</f>
        <v>UNT</v>
      </c>
      <c r="L189" s="34">
        <f>'PR 2025'!T187</f>
        <v>45791</v>
      </c>
      <c r="M189" s="31" t="str">
        <f>'PR 2025'!AG187</f>
        <v>R</v>
      </c>
      <c r="N189" s="34">
        <f>VLOOKUP(C189,'GRS 2025'!$A$2:$AH$1992,4,FALSE)</f>
        <v>45803</v>
      </c>
      <c r="O189" s="69" t="str">
        <f>'PR 2025'!AJ187</f>
        <v>U/ PJS FACTORY MANAGER (BPK ZENZEN) (HS CODE : 8507.60.31). DETA</v>
      </c>
    </row>
    <row r="190" spans="1:15" x14ac:dyDescent="0.25">
      <c r="A190" s="22" t="str">
        <f t="shared" si="105"/>
        <v>5000011960108021173</v>
      </c>
      <c r="B190" s="22" t="str">
        <f t="shared" si="106"/>
        <v>5000011960797045063</v>
      </c>
      <c r="C190" s="22" t="str">
        <f t="shared" si="107"/>
        <v>500001196079704506</v>
      </c>
      <c r="D190" s="31">
        <v>187</v>
      </c>
      <c r="E190" s="31">
        <f>'PR 2025'!A188</f>
        <v>3</v>
      </c>
      <c r="F190" s="31">
        <f>'PR 2025'!B188</f>
        <v>5000011960</v>
      </c>
      <c r="G190" s="32" t="str">
        <f>'PR 2025'!C188</f>
        <v>BRACKET TV</v>
      </c>
      <c r="H190" s="31">
        <f>'PR 2025'!D188</f>
        <v>10802117</v>
      </c>
      <c r="I190" s="31">
        <f>VLOOKUP(A190,'PO 2025'!$A$2:$Y$1440,21,FALSE)</f>
        <v>79704506</v>
      </c>
      <c r="J190" s="31">
        <f>'PR 2025'!E188</f>
        <v>1</v>
      </c>
      <c r="K190" s="33" t="str">
        <f>'PR 2025'!F188</f>
        <v>BH</v>
      </c>
      <c r="L190" s="34">
        <f>'PR 2025'!T188</f>
        <v>45791</v>
      </c>
      <c r="M190" s="31" t="str">
        <f>'PR 2025'!AG188</f>
        <v>R</v>
      </c>
      <c r="N190" s="34">
        <f>VLOOKUP(C190,'GRS 2025'!$A$2:$AH$1992,4,FALSE)</f>
        <v>45800</v>
      </c>
      <c r="O190" s="69" t="str">
        <f>'PR 2025'!AJ188</f>
        <v>BRACKET YANG STANDING UKURAN 32 - 75 INCH, U/ PJS FACTORY MANAGER (BPK ZENZEN) (HS CODE : 8714.99.91). DETA</v>
      </c>
    </row>
    <row r="191" spans="1:15" x14ac:dyDescent="0.25">
      <c r="A191" s="22" t="str">
        <f t="shared" si="105"/>
        <v>5000014291108021174</v>
      </c>
      <c r="B191" s="22" t="str">
        <f t="shared" si="106"/>
        <v>5000014291797045104</v>
      </c>
      <c r="C191" s="22" t="str">
        <f t="shared" si="107"/>
        <v>500001429179704510</v>
      </c>
      <c r="D191" s="31">
        <v>188</v>
      </c>
      <c r="E191" s="31">
        <f>'PR 2025'!A189</f>
        <v>4</v>
      </c>
      <c r="F191" s="31">
        <f>'PR 2025'!B189</f>
        <v>5000014291</v>
      </c>
      <c r="G191" s="32" t="str">
        <f>'PR 2025'!C189</f>
        <v>KABEL HDMI</v>
      </c>
      <c r="H191" s="31">
        <f>'PR 2025'!D189</f>
        <v>10802117</v>
      </c>
      <c r="I191" s="31">
        <f>VLOOKUP(A191,'PO 2025'!$A$2:$Y$1440,21,FALSE)</f>
        <v>79704510</v>
      </c>
      <c r="J191" s="31">
        <f>'PR 2025'!E189</f>
        <v>1</v>
      </c>
      <c r="K191" s="33" t="str">
        <f>'PR 2025'!F189</f>
        <v>PCS</v>
      </c>
      <c r="L191" s="34">
        <f>'PR 2025'!T189</f>
        <v>45791</v>
      </c>
      <c r="M191" s="31" t="str">
        <f>'PR 2025'!AG189</f>
        <v>R</v>
      </c>
      <c r="N191" s="34">
        <f>VLOOKUP(C191,'GRS 2025'!$A$2:$AH$1992,4,FALSE)</f>
        <v>45803</v>
      </c>
      <c r="O191" s="69" t="str">
        <f>'PR 2025'!AJ189</f>
        <v>UKURAN 5 METER, U/ PJS FACTORY MANAGER (BPK ZENZEN) (HS CODE : 8544.20.31). IDRUS</v>
      </c>
    </row>
    <row r="192" spans="1:15" x14ac:dyDescent="0.25">
      <c r="A192" s="22" t="str">
        <f t="shared" ref="A192:A204" si="108">F192&amp;H192&amp;E192</f>
        <v>5000008929108021221</v>
      </c>
      <c r="B192" s="22" t="str">
        <f t="shared" ref="B192:B204" si="109">F192&amp;I192&amp;E192</f>
        <v>5000008929797047141</v>
      </c>
      <c r="C192" s="22" t="str">
        <f t="shared" ref="C192:C204" si="110">F192&amp;I192</f>
        <v>500000892979704714</v>
      </c>
      <c r="D192" s="31">
        <v>189</v>
      </c>
      <c r="E192" s="31">
        <f>'PR 2025'!A190</f>
        <v>1</v>
      </c>
      <c r="F192" s="31">
        <f>'PR 2025'!B190</f>
        <v>5000008929</v>
      </c>
      <c r="G192" s="32" t="str">
        <f>'PR 2025'!C190</f>
        <v>FAN PROCESSOR P4 LGA</v>
      </c>
      <c r="H192" s="31">
        <f>'PR 2025'!D190</f>
        <v>10802122</v>
      </c>
      <c r="I192" s="31">
        <f>VLOOKUP(A192,'PO 2025'!$A$2:$Y$1440,21,FALSE)</f>
        <v>79704714</v>
      </c>
      <c r="J192" s="31">
        <f>'PR 2025'!E190</f>
        <v>1</v>
      </c>
      <c r="K192" s="33" t="str">
        <f>'PR 2025'!F190</f>
        <v>BH</v>
      </c>
      <c r="L192" s="34">
        <f>'PR 2025'!T190</f>
        <v>45792</v>
      </c>
      <c r="M192" s="31" t="str">
        <f>'PR 2025'!AG190</f>
        <v>R</v>
      </c>
      <c r="N192" s="34">
        <f>VLOOKUP(C192,'GRS 2025'!$A$2:$AH$1992,4,FALSE)</f>
        <v>45803</v>
      </c>
      <c r="O192" s="69" t="str">
        <f>'PR 2025'!AJ190</f>
        <v>U/ MENGGANTI YANG RUSAK BAGIAN PERSIAPAN LJ2 (HS CODE : 8414.59.10). RICKY</v>
      </c>
    </row>
    <row r="193" spans="1:15" x14ac:dyDescent="0.25">
      <c r="A193" s="22" t="str">
        <f t="shared" si="108"/>
        <v>5000004248108021491</v>
      </c>
      <c r="B193" s="22" t="str">
        <f t="shared" si="109"/>
        <v>5000004248797047121</v>
      </c>
      <c r="C193" s="22" t="str">
        <f t="shared" si="110"/>
        <v>500000424879704712</v>
      </c>
      <c r="D193" s="31">
        <v>190</v>
      </c>
      <c r="E193" s="31">
        <f>'PR 2025'!A191</f>
        <v>1</v>
      </c>
      <c r="F193" s="31">
        <f>'PR 2025'!B191</f>
        <v>5000004248</v>
      </c>
      <c r="G193" s="32" t="str">
        <f>'PR 2025'!C191</f>
        <v>MOUSE USB</v>
      </c>
      <c r="H193" s="31">
        <f>'PR 2025'!D191</f>
        <v>10802149</v>
      </c>
      <c r="I193" s="31">
        <f>VLOOKUP(A193,'PO 2025'!$A$2:$Y$1440,21,FALSE)</f>
        <v>79704712</v>
      </c>
      <c r="J193" s="31">
        <f>'PR 2025'!E191</f>
        <v>6</v>
      </c>
      <c r="K193" s="33" t="str">
        <f>'PR 2025'!F191</f>
        <v>BH</v>
      </c>
      <c r="L193" s="34">
        <f>'PR 2025'!T191</f>
        <v>45793</v>
      </c>
      <c r="M193" s="31" t="str">
        <f>'PR 2025'!AG191</f>
        <v>R</v>
      </c>
      <c r="N193" s="34">
        <f>VLOOKUP(C193,'GRS 2025'!$A$2:$AH$1992,4,FALSE)</f>
        <v>45803</v>
      </c>
      <c r="O193" s="69" t="str">
        <f>'PR 2025'!AJ191</f>
        <v>U/ MENGGANTI YANG RUSAK BAGIAN QA (3) DAN KEUANGAN (3) (HS CODE : 8471.60.40). MARYAM &amp; FAJAR</v>
      </c>
    </row>
    <row r="194" spans="1:15" x14ac:dyDescent="0.25">
      <c r="A194" s="22" t="str">
        <f t="shared" si="108"/>
        <v>5000005059108021492</v>
      </c>
      <c r="B194" s="22" t="str">
        <f t="shared" si="109"/>
        <v>5000005059797047122</v>
      </c>
      <c r="C194" s="22" t="str">
        <f t="shared" si="110"/>
        <v>500000505979704712</v>
      </c>
      <c r="D194" s="31">
        <v>191</v>
      </c>
      <c r="E194" s="31">
        <f>'PR 2025'!A192</f>
        <v>2</v>
      </c>
      <c r="F194" s="31">
        <f>'PR 2025'!B192</f>
        <v>5000005059</v>
      </c>
      <c r="G194" s="32" t="str">
        <f>'PR 2025'!C192</f>
        <v>KEYBOARD USB</v>
      </c>
      <c r="H194" s="31">
        <f>'PR 2025'!D192</f>
        <v>10802149</v>
      </c>
      <c r="I194" s="31">
        <f>VLOOKUP(A194,'PO 2025'!$A$2:$Y$1440,21,FALSE)</f>
        <v>79704712</v>
      </c>
      <c r="J194" s="31">
        <f>'PR 2025'!E192</f>
        <v>4</v>
      </c>
      <c r="K194" s="33" t="str">
        <f>'PR 2025'!F192</f>
        <v>BH</v>
      </c>
      <c r="L194" s="34">
        <f>'PR 2025'!T192</f>
        <v>45793</v>
      </c>
      <c r="M194" s="31" t="str">
        <f>'PR 2025'!AG192</f>
        <v>R</v>
      </c>
      <c r="N194" s="34">
        <f>VLOOKUP(C194,'GRS 2025'!$A$2:$AH$1992,4,FALSE)</f>
        <v>45803</v>
      </c>
      <c r="O194" s="69" t="str">
        <f>'PR 2025'!AJ192</f>
        <v>U/ MENGGANTI YANG RUSAK BAGIAN QA (3) DAN KEUANGAN (1) (HS CODE : 8471.60.30). MARYAM &amp; FAJAR</v>
      </c>
    </row>
    <row r="195" spans="1:15" x14ac:dyDescent="0.25">
      <c r="A195" s="22" t="str">
        <f t="shared" si="108"/>
        <v>5000008843108021771</v>
      </c>
      <c r="B195" s="22" t="str">
        <f t="shared" si="109"/>
        <v>5000008843797047121</v>
      </c>
      <c r="C195" s="22" t="str">
        <f t="shared" si="110"/>
        <v>500000884379704712</v>
      </c>
      <c r="D195" s="31">
        <v>192</v>
      </c>
      <c r="E195" s="31">
        <f>'PR 2025'!A193</f>
        <v>1</v>
      </c>
      <c r="F195" s="31">
        <f>'PR 2025'!B193</f>
        <v>5000008843</v>
      </c>
      <c r="G195" s="32" t="str">
        <f>'PR 2025'!C193</f>
        <v>MONITOR LCD 19 INCH</v>
      </c>
      <c r="H195" s="31">
        <f>'PR 2025'!D193</f>
        <v>10802177</v>
      </c>
      <c r="I195" s="31">
        <f>VLOOKUP(A195,'PO 2025'!$A$2:$Y$1440,21,FALSE)</f>
        <v>79704712</v>
      </c>
      <c r="J195" s="31">
        <f>'PR 2025'!E193</f>
        <v>2</v>
      </c>
      <c r="K195" s="33" t="str">
        <f>'PR 2025'!F193</f>
        <v>UNT</v>
      </c>
      <c r="L195" s="34">
        <f>'PR 2025'!T193</f>
        <v>45796</v>
      </c>
      <c r="M195" s="31" t="str">
        <f>'PR 2025'!AG193</f>
        <v>R</v>
      </c>
      <c r="N195" s="34">
        <f>VLOOKUP(C195,'GRS 2025'!$A$2:$AH$1992,4,FALSE)</f>
        <v>45803</v>
      </c>
      <c r="O195" s="69" t="str">
        <f>'PR 2025'!AJ193</f>
        <v>U/ BAGIAN MTC PERSIAPAN LJ2 &amp; RND (HS CODE : 8528.52.00). ARINI &amp; ANDREAS</v>
      </c>
    </row>
    <row r="196" spans="1:15" x14ac:dyDescent="0.25">
      <c r="A196" s="22" t="str">
        <f t="shared" si="108"/>
        <v>5000005059108021772</v>
      </c>
      <c r="B196" s="22" t="str">
        <f t="shared" si="109"/>
        <v>5000005059797047122</v>
      </c>
      <c r="C196" s="22" t="str">
        <f t="shared" si="110"/>
        <v>500000505979704712</v>
      </c>
      <c r="D196" s="31">
        <v>193</v>
      </c>
      <c r="E196" s="31">
        <f>'PR 2025'!A194</f>
        <v>2</v>
      </c>
      <c r="F196" s="31">
        <f>'PR 2025'!B194</f>
        <v>5000005059</v>
      </c>
      <c r="G196" s="32" t="str">
        <f>'PR 2025'!C194</f>
        <v>KEYBOARD USB</v>
      </c>
      <c r="H196" s="31">
        <f>'PR 2025'!D194</f>
        <v>10802177</v>
      </c>
      <c r="I196" s="31">
        <f>VLOOKUP(A196,'PO 2025'!$A$2:$Y$1440,21,FALSE)</f>
        <v>79704712</v>
      </c>
      <c r="J196" s="31">
        <f>'PR 2025'!E194</f>
        <v>2</v>
      </c>
      <c r="K196" s="33" t="str">
        <f>'PR 2025'!F194</f>
        <v>BH</v>
      </c>
      <c r="L196" s="34">
        <f>'PR 2025'!T194</f>
        <v>45796</v>
      </c>
      <c r="M196" s="31" t="str">
        <f>'PR 2025'!AG194</f>
        <v>R</v>
      </c>
      <c r="N196" s="34">
        <f>VLOOKUP(C196,'GRS 2025'!$A$2:$AH$1992,4,FALSE)</f>
        <v>45803</v>
      </c>
      <c r="O196" s="69" t="str">
        <f>'PR 2025'!AJ194</f>
        <v>U/ BAGIAN MTC PERSIAPAN LJ2 &amp; RND (HS CODE : 8471.60.30). ARINI &amp; ANDREAS</v>
      </c>
    </row>
    <row r="197" spans="1:15" x14ac:dyDescent="0.25">
      <c r="A197" s="22" t="str">
        <f t="shared" si="108"/>
        <v>5000004248108021773</v>
      </c>
      <c r="B197" s="22" t="str">
        <f t="shared" si="109"/>
        <v>5000004248797047123</v>
      </c>
      <c r="C197" s="22" t="str">
        <f t="shared" si="110"/>
        <v>500000424879704712</v>
      </c>
      <c r="D197" s="31">
        <v>194</v>
      </c>
      <c r="E197" s="31">
        <f>'PR 2025'!A195</f>
        <v>3</v>
      </c>
      <c r="F197" s="31">
        <f>'PR 2025'!B195</f>
        <v>5000004248</v>
      </c>
      <c r="G197" s="32" t="str">
        <f>'PR 2025'!C195</f>
        <v>MOUSE USB</v>
      </c>
      <c r="H197" s="31">
        <f>'PR 2025'!D195</f>
        <v>10802177</v>
      </c>
      <c r="I197" s="31">
        <f>VLOOKUP(A197,'PO 2025'!$A$2:$Y$1440,21,FALSE)</f>
        <v>79704712</v>
      </c>
      <c r="J197" s="31">
        <f>'PR 2025'!E195</f>
        <v>2</v>
      </c>
      <c r="K197" s="33" t="str">
        <f>'PR 2025'!F195</f>
        <v>BH</v>
      </c>
      <c r="L197" s="34">
        <f>'PR 2025'!T195</f>
        <v>45796</v>
      </c>
      <c r="M197" s="31" t="str">
        <f>'PR 2025'!AG195</f>
        <v>R</v>
      </c>
      <c r="N197" s="34">
        <f>VLOOKUP(C197,'GRS 2025'!$A$2:$AH$1992,4,FALSE)</f>
        <v>45803</v>
      </c>
      <c r="O197" s="69" t="str">
        <f>'PR 2025'!AJ195</f>
        <v>U/ BAGIAN MTC PERSIAPAN LJ2 &amp; RND (HS CODE : 8471.60.40). ARINI &amp; ANDREAS</v>
      </c>
    </row>
    <row r="198" spans="1:15" x14ac:dyDescent="0.25">
      <c r="A198" s="22" t="str">
        <f t="shared" si="108"/>
        <v>5000016308108021774</v>
      </c>
      <c r="B198" s="22" t="str">
        <f t="shared" si="109"/>
        <v>5000016308797046894</v>
      </c>
      <c r="C198" s="22" t="str">
        <f t="shared" si="110"/>
        <v>500001630879704689</v>
      </c>
      <c r="D198" s="31">
        <v>195</v>
      </c>
      <c r="E198" s="31">
        <f>'PR 2025'!A196</f>
        <v>4</v>
      </c>
      <c r="F198" s="31">
        <f>'PR 2025'!B196</f>
        <v>5000016308</v>
      </c>
      <c r="G198" s="32" t="str">
        <f>'PR 2025'!C196</f>
        <v>CPU BUILDUP</v>
      </c>
      <c r="H198" s="31">
        <f>'PR 2025'!D196</f>
        <v>10802177</v>
      </c>
      <c r="I198" s="31">
        <f>VLOOKUP(A198,'PO 2025'!$A$2:$Y$1440,21,FALSE)</f>
        <v>79704689</v>
      </c>
      <c r="J198" s="31">
        <f>'PR 2025'!E196</f>
        <v>2</v>
      </c>
      <c r="K198" s="33" t="str">
        <f>'PR 2025'!F196</f>
        <v>UNT</v>
      </c>
      <c r="L198" s="34">
        <f>'PR 2025'!T196</f>
        <v>45796</v>
      </c>
      <c r="M198" s="31" t="str">
        <f>'PR 2025'!AG196</f>
        <v>R</v>
      </c>
      <c r="N198" s="34">
        <f>VLOOKUP(C198,'GRS 2025'!$A$2:$AH$1992,4,FALSE)</f>
        <v>45804</v>
      </c>
      <c r="O198" s="69" t="str">
        <f>'PR 2025'!AJ196</f>
        <v>U/ BAGIAN MTC PERSIAPAN LJ2 &amp; RND (HS CODE : 8479.89.50). ARINI &amp; ANDREAS</v>
      </c>
    </row>
    <row r="199" spans="1:15" x14ac:dyDescent="0.25">
      <c r="A199" s="22" t="str">
        <f t="shared" si="108"/>
        <v>5000012021108021775</v>
      </c>
      <c r="B199" s="22" t="str">
        <f t="shared" si="109"/>
        <v>5000012021797047125</v>
      </c>
      <c r="C199" s="22" t="str">
        <f t="shared" si="110"/>
        <v>500001202179704712</v>
      </c>
      <c r="D199" s="31">
        <v>196</v>
      </c>
      <c r="E199" s="31">
        <f>'PR 2025'!A197</f>
        <v>5</v>
      </c>
      <c r="F199" s="31">
        <f>'PR 2025'!B197</f>
        <v>5000012021</v>
      </c>
      <c r="G199" s="32" t="str">
        <f>'PR 2025'!C197</f>
        <v>KABEL VGA</v>
      </c>
      <c r="H199" s="31">
        <f>'PR 2025'!D197</f>
        <v>10802177</v>
      </c>
      <c r="I199" s="31">
        <f>VLOOKUP(A199,'PO 2025'!$A$2:$Y$1440,21,FALSE)</f>
        <v>79704712</v>
      </c>
      <c r="J199" s="31">
        <f>'PR 2025'!E197</f>
        <v>2</v>
      </c>
      <c r="K199" s="33" t="str">
        <f>'PR 2025'!F197</f>
        <v>BH</v>
      </c>
      <c r="L199" s="34">
        <f>'PR 2025'!T197</f>
        <v>45796</v>
      </c>
      <c r="M199" s="31" t="str">
        <f>'PR 2025'!AG197</f>
        <v>R</v>
      </c>
      <c r="N199" s="34">
        <f>VLOOKUP(C199,'GRS 2025'!$A$2:$AH$1992,4,FALSE)</f>
        <v>45803</v>
      </c>
      <c r="O199" s="69" t="str">
        <f>'PR 2025'!AJ197</f>
        <v>U/ BAGIAN MTC PERSIAPAN LJ2 &amp; RND (HS CODE : 8544.20.31). ARINI &amp; ANDREAS</v>
      </c>
    </row>
    <row r="200" spans="1:15" x14ac:dyDescent="0.25">
      <c r="A200" s="22" t="str">
        <f t="shared" si="108"/>
        <v>5000005340108021776</v>
      </c>
      <c r="B200" s="22" t="str">
        <f t="shared" si="109"/>
        <v>5000005340797048586</v>
      </c>
      <c r="C200" s="22" t="str">
        <f t="shared" si="110"/>
        <v>500000534079704858</v>
      </c>
      <c r="D200" s="31">
        <v>197</v>
      </c>
      <c r="E200" s="31">
        <f>'PR 2025'!A198</f>
        <v>6</v>
      </c>
      <c r="F200" s="31">
        <f>'PR 2025'!B198</f>
        <v>5000005340</v>
      </c>
      <c r="G200" s="32" t="str">
        <f>'PR 2025'!C198</f>
        <v>POWER SUPLY ATX 450 WATT</v>
      </c>
      <c r="H200" s="31">
        <f>'PR 2025'!D198</f>
        <v>10802177</v>
      </c>
      <c r="I200" s="31">
        <f>VLOOKUP(A200,'PO 2025'!$A$2:$Y$1440,21,FALSE)</f>
        <v>79704858</v>
      </c>
      <c r="J200" s="31">
        <f>'PR 2025'!E198</f>
        <v>1</v>
      </c>
      <c r="K200" s="33" t="str">
        <f>'PR 2025'!F198</f>
        <v>UNT</v>
      </c>
      <c r="L200" s="34">
        <f>'PR 2025'!T198</f>
        <v>45796</v>
      </c>
      <c r="M200" s="31" t="str">
        <f>'PR 2025'!AG198</f>
        <v>R</v>
      </c>
      <c r="N200" s="34">
        <f>VLOOKUP(C200,'GRS 2025'!$A$2:$AH$1992,4,FALSE)</f>
        <v>45811</v>
      </c>
      <c r="O200" s="69" t="str">
        <f>'PR 2025'!AJ198</f>
        <v>U/ BAGIAN AUDIT (HS CODE : 8414.59.10). RICKY</v>
      </c>
    </row>
    <row r="201" spans="1:15" x14ac:dyDescent="0.25">
      <c r="A201" s="22" t="str">
        <f t="shared" si="108"/>
        <v>5000016930108021971</v>
      </c>
      <c r="B201" s="22" t="str">
        <f t="shared" si="109"/>
        <v>5000016930797079841</v>
      </c>
      <c r="C201" s="22" t="str">
        <f t="shared" si="110"/>
        <v>500001693079707984</v>
      </c>
      <c r="D201" s="31">
        <v>198</v>
      </c>
      <c r="E201" s="31">
        <f>'PR 2025'!A199</f>
        <v>1</v>
      </c>
      <c r="F201" s="31">
        <f>'PR 2025'!B199</f>
        <v>5000016930</v>
      </c>
      <c r="G201" s="32" t="str">
        <f>'PR 2025'!C199</f>
        <v>PRINT SERVER</v>
      </c>
      <c r="H201" s="31">
        <f>'PR 2025'!D199</f>
        <v>10802197</v>
      </c>
      <c r="I201" s="31">
        <f>VLOOKUP(A201,'PO 2025'!$A$2:$Y$1440,21,FALSE)</f>
        <v>79707984</v>
      </c>
      <c r="J201" s="31">
        <f>'PR 2025'!E199</f>
        <v>1</v>
      </c>
      <c r="K201" s="33" t="str">
        <f>'PR 2025'!F199</f>
        <v>BH</v>
      </c>
      <c r="L201" s="34">
        <f>'PR 2025'!T199</f>
        <v>45797</v>
      </c>
      <c r="M201" s="31" t="str">
        <f>'PR 2025'!AG199</f>
        <v>R</v>
      </c>
      <c r="N201" s="34">
        <f>VLOOKUP(C201,'GRS 2025'!$A$2:$AH$1992,4,FALSE)</f>
        <v>45894</v>
      </c>
      <c r="O201" s="69" t="str">
        <f>'PR 2025'!AJ199</f>
        <v>U/ BAGIAN MACHCRIMPER (HS CODE : 8517.79.10). TIO</v>
      </c>
    </row>
    <row r="202" spans="1:15" x14ac:dyDescent="0.25">
      <c r="A202" s="22" t="str">
        <f t="shared" si="108"/>
        <v>5000013640108021972</v>
      </c>
      <c r="B202" s="22" t="str">
        <f t="shared" si="109"/>
        <v>5000013640797048582</v>
      </c>
      <c r="C202" s="22" t="str">
        <f t="shared" si="110"/>
        <v>500001364079704858</v>
      </c>
      <c r="D202" s="31">
        <v>199</v>
      </c>
      <c r="E202" s="31">
        <f>'PR 2025'!A200</f>
        <v>2</v>
      </c>
      <c r="F202" s="31">
        <f>'PR 2025'!B200</f>
        <v>5000013640</v>
      </c>
      <c r="G202" s="32" t="str">
        <f>'PR 2025'!C200</f>
        <v>CONNECTOR TELEPHONE</v>
      </c>
      <c r="H202" s="31">
        <f>'PR 2025'!D200</f>
        <v>10802197</v>
      </c>
      <c r="I202" s="31">
        <f>VLOOKUP(A202,'PO 2025'!$A$2:$Y$1440,21,FALSE)</f>
        <v>79704858</v>
      </c>
      <c r="J202" s="31">
        <f>'PR 2025'!E200</f>
        <v>5</v>
      </c>
      <c r="K202" s="33" t="str">
        <f>'PR 2025'!F200</f>
        <v>BH</v>
      </c>
      <c r="L202" s="34">
        <f>'PR 2025'!T200</f>
        <v>45797</v>
      </c>
      <c r="M202" s="31" t="str">
        <f>'PR 2025'!AG200</f>
        <v>R</v>
      </c>
      <c r="N202" s="34">
        <f>VLOOKUP(C202,'GRS 2025'!$A$2:$AH$1992,4,FALSE)</f>
        <v>45811</v>
      </c>
      <c r="O202" s="69" t="str">
        <f>'PR 2025'!AJ200</f>
        <v>U/ BAGIAN MARKETING (HS CODE : 8518.40.20). ERDI</v>
      </c>
    </row>
    <row r="203" spans="1:15" x14ac:dyDescent="0.25">
      <c r="A203" s="22" t="str">
        <f t="shared" si="108"/>
        <v>5000016585108021973</v>
      </c>
      <c r="B203" s="22" t="str">
        <f t="shared" si="109"/>
        <v>5000016585797048583</v>
      </c>
      <c r="C203" s="22" t="str">
        <f t="shared" si="110"/>
        <v>500001658579704858</v>
      </c>
      <c r="D203" s="31">
        <v>200</v>
      </c>
      <c r="E203" s="31">
        <f>'PR 2025'!A201</f>
        <v>3</v>
      </c>
      <c r="F203" s="31">
        <f>'PR 2025'!B201</f>
        <v>5000016585</v>
      </c>
      <c r="G203" s="32" t="str">
        <f>'PR 2025'!C201</f>
        <v>KABEL POWER PRINTER</v>
      </c>
      <c r="H203" s="31">
        <f>'PR 2025'!D201</f>
        <v>10802197</v>
      </c>
      <c r="I203" s="31">
        <f>VLOOKUP(A203,'PO 2025'!$A$2:$Y$1440,21,FALSE)</f>
        <v>79704858</v>
      </c>
      <c r="J203" s="31">
        <f>'PR 2025'!E201</f>
        <v>1</v>
      </c>
      <c r="K203" s="33" t="str">
        <f>'PR 2025'!F201</f>
        <v>UNT</v>
      </c>
      <c r="L203" s="34">
        <f>'PR 2025'!T201</f>
        <v>45797</v>
      </c>
      <c r="M203" s="31" t="str">
        <f>'PR 2025'!AG201</f>
        <v>R</v>
      </c>
      <c r="N203" s="34">
        <f>VLOOKUP(C203,'GRS 2025'!$A$2:$AH$1992,4,FALSE)</f>
        <v>45811</v>
      </c>
      <c r="O203" s="69" t="str">
        <f>'PR 2025'!AJ201</f>
        <v>U/ BAGIAN QA (HS CODE : 8544.20.31). ERDI</v>
      </c>
    </row>
    <row r="204" spans="1:15" x14ac:dyDescent="0.25">
      <c r="A204" s="22" t="str">
        <f t="shared" si="108"/>
        <v>5000014668108022261</v>
      </c>
      <c r="B204" s="22" t="str">
        <f t="shared" si="109"/>
        <v>5000014668797048531</v>
      </c>
      <c r="C204" s="22" t="str">
        <f t="shared" si="110"/>
        <v>500001466879704853</v>
      </c>
      <c r="D204" s="31">
        <v>201</v>
      </c>
      <c r="E204" s="31">
        <f>'PR 2025'!A202</f>
        <v>1</v>
      </c>
      <c r="F204" s="31">
        <f>'PR 2025'!B202</f>
        <v>5000014668</v>
      </c>
      <c r="G204" s="32" t="str">
        <f>'PR 2025'!C202</f>
        <v>NVR 16CH DAHUA 4216</v>
      </c>
      <c r="H204" s="31">
        <f>'PR 2025'!D202</f>
        <v>10802226</v>
      </c>
      <c r="I204" s="31">
        <f>VLOOKUP(A204,'PO 2025'!$A$2:$Y$1440,21,FALSE)</f>
        <v>79704853</v>
      </c>
      <c r="J204" s="31">
        <f>'PR 2025'!E202</f>
        <v>1</v>
      </c>
      <c r="K204" s="33" t="str">
        <f>'PR 2025'!F202</f>
        <v>UNT</v>
      </c>
      <c r="L204" s="34">
        <f>'PR 2025'!T202</f>
        <v>45798</v>
      </c>
      <c r="M204" s="31" t="str">
        <f>'PR 2025'!AG202</f>
        <v>R</v>
      </c>
      <c r="N204" s="34">
        <f>VLOOKUP(C204,'GRS 2025'!$A$2:$AH$1992,4,FALSE)</f>
        <v>45811</v>
      </c>
      <c r="O204" s="69" t="str">
        <f>'PR 2025'!AJ202</f>
        <v>U/ BAGIAN UTILITY : MENGGANTI YANG RUSAK DI AREA IPAL (HS CODE : 8521.90.99). ERLIN</v>
      </c>
    </row>
    <row r="205" spans="1:15" x14ac:dyDescent="0.25">
      <c r="A205" s="22" t="str">
        <f t="shared" ref="A205:A210" si="111">F205&amp;H205&amp;E205</f>
        <v>5000016728108023061</v>
      </c>
      <c r="B205" s="22" t="str">
        <f t="shared" ref="B205:B210" si="112">F205&amp;I205&amp;E205</f>
        <v>5000016728797049501</v>
      </c>
      <c r="C205" s="22" t="str">
        <f t="shared" ref="C205:C210" si="113">F205&amp;I205</f>
        <v>500001672879704950</v>
      </c>
      <c r="D205" s="31">
        <v>202</v>
      </c>
      <c r="E205" s="31">
        <f>'PR 2025'!A203</f>
        <v>1</v>
      </c>
      <c r="F205" s="31">
        <f>'PR 2025'!B203</f>
        <v>5000016728</v>
      </c>
      <c r="G205" s="32" t="str">
        <f>'PR 2025'!C203</f>
        <v>SWITCH D-LINK 8 PORT</v>
      </c>
      <c r="H205" s="31">
        <f>'PR 2025'!D203</f>
        <v>10802306</v>
      </c>
      <c r="I205" s="31">
        <f>VLOOKUP(A205,'PO 2025'!$A$2:$Y$1440,21,FALSE)</f>
        <v>79704950</v>
      </c>
      <c r="J205" s="31">
        <f>'PR 2025'!E203</f>
        <v>1</v>
      </c>
      <c r="K205" s="33" t="str">
        <f>'PR 2025'!F203</f>
        <v>UNT</v>
      </c>
      <c r="L205" s="34">
        <f>'PR 2025'!T203</f>
        <v>45803</v>
      </c>
      <c r="M205" s="31" t="str">
        <f>'PR 2025'!AG203</f>
        <v>R</v>
      </c>
      <c r="N205" s="34">
        <f>VLOOKUP(C205,'GRS 2025'!$A$2:$AH$1992,4,FALSE)</f>
        <v>45822</v>
      </c>
      <c r="O205" s="69" t="str">
        <f>'PR 2025'!AJ203</f>
        <v>U/ BAGIAN KNITTING (HS CODE : 8517.79.10). TIO</v>
      </c>
    </row>
    <row r="206" spans="1:15" ht="30" x14ac:dyDescent="0.25">
      <c r="A206" s="22" t="str">
        <f t="shared" si="111"/>
        <v>5000004248108023062</v>
      </c>
      <c r="B206" s="22" t="str">
        <f t="shared" si="112"/>
        <v>5000004248797048932</v>
      </c>
      <c r="C206" s="22" t="str">
        <f t="shared" si="113"/>
        <v>500000424879704893</v>
      </c>
      <c r="D206" s="31">
        <v>203</v>
      </c>
      <c r="E206" s="31">
        <f>'PR 2025'!A204</f>
        <v>2</v>
      </c>
      <c r="F206" s="31">
        <f>'PR 2025'!B204</f>
        <v>5000004248</v>
      </c>
      <c r="G206" s="32" t="str">
        <f>'PR 2025'!C204</f>
        <v>MOUSE USB</v>
      </c>
      <c r="H206" s="31">
        <f>'PR 2025'!D204</f>
        <v>10802306</v>
      </c>
      <c r="I206" s="31">
        <f>VLOOKUP(A206,'PO 2025'!$A$2:$Y$1440,21,FALSE)</f>
        <v>79704893</v>
      </c>
      <c r="J206" s="31">
        <f>'PR 2025'!E204</f>
        <v>13</v>
      </c>
      <c r="K206" s="33" t="str">
        <f>'PR 2025'!F204</f>
        <v>BH</v>
      </c>
      <c r="L206" s="34">
        <f>'PR 2025'!T204</f>
        <v>45803</v>
      </c>
      <c r="M206" s="31" t="str">
        <f>'PR 2025'!AG204</f>
        <v>R</v>
      </c>
      <c r="N206" s="34">
        <f>VLOOKUP(C206,'GRS 2025'!$A$2:$AH$1992,4,FALSE)</f>
        <v>45808</v>
      </c>
      <c r="O206" s="69" t="str">
        <f>'PR 2025'!AJ204</f>
        <v>FINAL (2), QA (2), PERSIAPAN (1), ERP (2), LABORATORIUM (1), MARKETING (2), PPC GREY (1), GD GREY (1), DAN DF LJ1 (1) (HS CODE : 8471.60.40). ALI &amp; PURKONADI</v>
      </c>
    </row>
    <row r="207" spans="1:15" x14ac:dyDescent="0.25">
      <c r="A207" s="22" t="str">
        <f t="shared" si="111"/>
        <v>5000008843108023063</v>
      </c>
      <c r="B207" s="22" t="str">
        <f t="shared" si="112"/>
        <v>5000008843797048933</v>
      </c>
      <c r="C207" s="22" t="str">
        <f t="shared" si="113"/>
        <v>500000884379704893</v>
      </c>
      <c r="D207" s="31">
        <v>204</v>
      </c>
      <c r="E207" s="31">
        <f>'PR 2025'!A205</f>
        <v>3</v>
      </c>
      <c r="F207" s="31">
        <f>'PR 2025'!B205</f>
        <v>5000008843</v>
      </c>
      <c r="G207" s="32" t="str">
        <f>'PR 2025'!C205</f>
        <v>MONITOR LCD 19 INCH</v>
      </c>
      <c r="H207" s="31">
        <f>'PR 2025'!D205</f>
        <v>10802306</v>
      </c>
      <c r="I207" s="31">
        <f>VLOOKUP(A207,'PO 2025'!$A$2:$Y$1440,21,FALSE)</f>
        <v>79704893</v>
      </c>
      <c r="J207" s="31">
        <f>'PR 2025'!E205</f>
        <v>1</v>
      </c>
      <c r="K207" s="33" t="str">
        <f>'PR 2025'!F205</f>
        <v>UNT</v>
      </c>
      <c r="L207" s="34">
        <f>'PR 2025'!T205</f>
        <v>45803</v>
      </c>
      <c r="M207" s="31" t="str">
        <f>'PR 2025'!AG205</f>
        <v>R</v>
      </c>
      <c r="N207" s="34">
        <f>VLOOKUP(C207,'GRS 2025'!$A$2:$AH$1992,4,FALSE)</f>
        <v>45808</v>
      </c>
      <c r="O207" s="69" t="str">
        <f>'PR 2025'!AJ205</f>
        <v>U/ BAGIAN DF LJ1 (HS CODE : 8528.52.00). PURKONADI</v>
      </c>
    </row>
    <row r="208" spans="1:15" x14ac:dyDescent="0.25">
      <c r="A208" s="22" t="str">
        <f t="shared" si="111"/>
        <v>5000016308108023064</v>
      </c>
      <c r="B208" s="22" t="str">
        <f t="shared" si="112"/>
        <v>5000016308797048944</v>
      </c>
      <c r="C208" s="22" t="str">
        <f t="shared" si="113"/>
        <v>500001630879704894</v>
      </c>
      <c r="D208" s="31">
        <v>205</v>
      </c>
      <c r="E208" s="31">
        <f>'PR 2025'!A206</f>
        <v>4</v>
      </c>
      <c r="F208" s="31">
        <f>'PR 2025'!B206</f>
        <v>5000016308</v>
      </c>
      <c r="G208" s="32" t="str">
        <f>'PR 2025'!C206</f>
        <v>CPU BUILDUP</v>
      </c>
      <c r="H208" s="31">
        <f>'PR 2025'!D206</f>
        <v>10802306</v>
      </c>
      <c r="I208" s="31">
        <f>VLOOKUP(A208,'PO 2025'!$A$2:$Y$1440,21,FALSE)</f>
        <v>79704894</v>
      </c>
      <c r="J208" s="31">
        <f>'PR 2025'!E206</f>
        <v>1</v>
      </c>
      <c r="K208" s="33" t="str">
        <f>'PR 2025'!F206</f>
        <v>UNT</v>
      </c>
      <c r="L208" s="34">
        <f>'PR 2025'!T206</f>
        <v>45803</v>
      </c>
      <c r="M208" s="31" t="str">
        <f>'PR 2025'!AG206</f>
        <v>R</v>
      </c>
      <c r="N208" s="34">
        <f>VLOOKUP(C208,'GRS 2025'!$A$2:$AH$1992,4,FALSE)</f>
        <v>45808</v>
      </c>
      <c r="O208" s="69" t="str">
        <f>'PR 2025'!AJ206</f>
        <v>U/ BAGIAN DF LJ1 (HS CODE : 8479.89.50). PURKONADI</v>
      </c>
    </row>
    <row r="209" spans="1:15" x14ac:dyDescent="0.25">
      <c r="A209" s="22" t="str">
        <f t="shared" si="111"/>
        <v>5000005059108023065</v>
      </c>
      <c r="B209" s="22" t="str">
        <f t="shared" si="112"/>
        <v>5000005059797048935</v>
      </c>
      <c r="C209" s="22" t="str">
        <f t="shared" si="113"/>
        <v>500000505979704893</v>
      </c>
      <c r="D209" s="31">
        <v>206</v>
      </c>
      <c r="E209" s="31">
        <f>'PR 2025'!A207</f>
        <v>5</v>
      </c>
      <c r="F209" s="31">
        <f>'PR 2025'!B207</f>
        <v>5000005059</v>
      </c>
      <c r="G209" s="32" t="str">
        <f>'PR 2025'!C207</f>
        <v>KEYBOARD USB</v>
      </c>
      <c r="H209" s="31">
        <f>'PR 2025'!D207</f>
        <v>10802306</v>
      </c>
      <c r="I209" s="31">
        <f>VLOOKUP(A209,'PO 2025'!$A$2:$Y$1440,21,FALSE)</f>
        <v>79704893</v>
      </c>
      <c r="J209" s="31">
        <f>'PR 2025'!E207</f>
        <v>1</v>
      </c>
      <c r="K209" s="33" t="str">
        <f>'PR 2025'!F207</f>
        <v>BH</v>
      </c>
      <c r="L209" s="34">
        <f>'PR 2025'!T207</f>
        <v>45803</v>
      </c>
      <c r="M209" s="31" t="str">
        <f>'PR 2025'!AG207</f>
        <v>R</v>
      </c>
      <c r="N209" s="34">
        <f>VLOOKUP(C209,'GRS 2025'!$A$2:$AH$1992,4,FALSE)</f>
        <v>45808</v>
      </c>
      <c r="O209" s="69" t="str">
        <f>'PR 2025'!AJ207</f>
        <v>U/ BAGIAN DF LJ1 (HS CODE : 8471.60.30). PURKONADI</v>
      </c>
    </row>
    <row r="210" spans="1:15" x14ac:dyDescent="0.25">
      <c r="A210" s="22" t="str">
        <f t="shared" si="111"/>
        <v>5000011754108023066</v>
      </c>
      <c r="B210" s="22" t="str">
        <f t="shared" si="112"/>
        <v>5000011754797048936</v>
      </c>
      <c r="C210" s="22" t="str">
        <f t="shared" si="113"/>
        <v>500001175479704893</v>
      </c>
      <c r="D210" s="31">
        <v>207</v>
      </c>
      <c r="E210" s="31">
        <f>'PR 2025'!A208</f>
        <v>6</v>
      </c>
      <c r="F210" s="31">
        <f>'PR 2025'!B208</f>
        <v>5000011754</v>
      </c>
      <c r="G210" s="32" t="str">
        <f>'PR 2025'!C208</f>
        <v>MOUSE PAD</v>
      </c>
      <c r="H210" s="31">
        <f>'PR 2025'!D208</f>
        <v>10802306</v>
      </c>
      <c r="I210" s="31">
        <f>VLOOKUP(A210,'PO 2025'!$A$2:$Y$1440,21,FALSE)</f>
        <v>79704893</v>
      </c>
      <c r="J210" s="31">
        <f>'PR 2025'!E208</f>
        <v>1</v>
      </c>
      <c r="K210" s="33" t="str">
        <f>'PR 2025'!F208</f>
        <v>BH</v>
      </c>
      <c r="L210" s="34">
        <f>'PR 2025'!T208</f>
        <v>45803</v>
      </c>
      <c r="M210" s="31" t="str">
        <f>'PR 2025'!AG208</f>
        <v>R</v>
      </c>
      <c r="N210" s="34">
        <f>VLOOKUP(C210,'GRS 2025'!$A$2:$AH$1992,4,FALSE)</f>
        <v>45808</v>
      </c>
      <c r="O210" s="69" t="str">
        <f>'PR 2025'!AJ208</f>
        <v>U/ BAGIAN DF LJ1 (HS CODE : 8471.60.40). PURKONADI</v>
      </c>
    </row>
    <row r="211" spans="1:15" x14ac:dyDescent="0.25">
      <c r="A211" s="22" t="str">
        <f t="shared" ref="A211" si="114">F211&amp;H211&amp;E211</f>
        <v>5000012021108023067</v>
      </c>
      <c r="B211" s="22" t="str">
        <f t="shared" ref="B211" si="115">F211&amp;I211&amp;E211</f>
        <v>5000012021797048937</v>
      </c>
      <c r="C211" s="22" t="str">
        <f t="shared" ref="C211" si="116">F211&amp;I211</f>
        <v>500001202179704893</v>
      </c>
      <c r="D211" s="31">
        <v>208</v>
      </c>
      <c r="E211" s="31">
        <f>'PR 2025'!A209</f>
        <v>7</v>
      </c>
      <c r="F211" s="31">
        <f>'PR 2025'!B209</f>
        <v>5000012021</v>
      </c>
      <c r="G211" s="32" t="str">
        <f>'PR 2025'!C209</f>
        <v>KABEL VGA</v>
      </c>
      <c r="H211" s="31">
        <f>'PR 2025'!D209</f>
        <v>10802306</v>
      </c>
      <c r="I211" s="31">
        <f>VLOOKUP(A211,'PO 2025'!$A$2:$Y$1440,21,FALSE)</f>
        <v>79704893</v>
      </c>
      <c r="J211" s="31">
        <f>'PR 2025'!E209</f>
        <v>1</v>
      </c>
      <c r="K211" s="33" t="str">
        <f>'PR 2025'!F209</f>
        <v>BH</v>
      </c>
      <c r="L211" s="34">
        <f>'PR 2025'!T209</f>
        <v>45803</v>
      </c>
      <c r="M211" s="31" t="str">
        <f>'PR 2025'!AG209</f>
        <v>R</v>
      </c>
      <c r="N211" s="34">
        <f>VLOOKUP(C211,'GRS 2025'!$A$2:$AH$1992,4,FALSE)</f>
        <v>45808</v>
      </c>
      <c r="O211" s="69" t="str">
        <f>'PR 2025'!AJ209</f>
        <v>U/ BAGIAN DF LJ1 (HS CODE : 8544.20.31). PURKONADI</v>
      </c>
    </row>
    <row r="212" spans="1:15" ht="30" x14ac:dyDescent="0.25">
      <c r="A212" s="22" t="str">
        <f t="shared" ref="A212:A215" si="117">F212&amp;H212&amp;E212</f>
        <v>5000005059108024121</v>
      </c>
      <c r="B212" s="22" t="str">
        <f t="shared" ref="B212:B215" si="118">F212&amp;I212&amp;E212</f>
        <v>5000005059797052851</v>
      </c>
      <c r="C212" s="22" t="str">
        <f t="shared" ref="C212:C215" si="119">F212&amp;I212</f>
        <v>500000505979705285</v>
      </c>
      <c r="D212" s="31">
        <v>209</v>
      </c>
      <c r="E212" s="31">
        <f>'PR 2025'!A210</f>
        <v>1</v>
      </c>
      <c r="F212" s="31">
        <f>'PR 2025'!B210</f>
        <v>5000005059</v>
      </c>
      <c r="G212" s="32" t="str">
        <f>'PR 2025'!C210</f>
        <v>KEYBOARD USB</v>
      </c>
      <c r="H212" s="31">
        <f>'PR 2025'!D210</f>
        <v>10802412</v>
      </c>
      <c r="I212" s="31">
        <f>VLOOKUP(A212,'PO 2025'!$A$2:$Y$1440,21,FALSE)</f>
        <v>79705285</v>
      </c>
      <c r="J212" s="31">
        <f>'PR 2025'!E210</f>
        <v>10</v>
      </c>
      <c r="K212" s="33" t="str">
        <f>'PR 2025'!F210</f>
        <v>BH</v>
      </c>
      <c r="L212" s="34">
        <f>'PR 2025'!T210</f>
        <v>45808</v>
      </c>
      <c r="M212" s="31" t="str">
        <f>'PR 2025'!AG210</f>
        <v>R</v>
      </c>
      <c r="N212" s="34">
        <f>VLOOKUP(C212,'GRS 2025'!$A$2:$AH$1992,4,FALSE)</f>
        <v>45822</v>
      </c>
      <c r="O212" s="69" t="str">
        <f>'PR 2025'!AJ210</f>
        <v>U/ BAGIAN DF (2), QA (1), FINAL (2), LABORATORIUM (1), WEAVING (2), PPC GREY (1) DAN PPC PROCCESSING (1) (HS CODE : 8471.60.30). ALI</v>
      </c>
    </row>
    <row r="213" spans="1:15" x14ac:dyDescent="0.25">
      <c r="A213" s="22" t="str">
        <f t="shared" si="117"/>
        <v>5000005340108024122</v>
      </c>
      <c r="B213" s="22" t="str">
        <f t="shared" si="118"/>
        <v>5000005340797052852</v>
      </c>
      <c r="C213" s="22" t="str">
        <f t="shared" si="119"/>
        <v>500000534079705285</v>
      </c>
      <c r="D213" s="31">
        <v>210</v>
      </c>
      <c r="E213" s="31">
        <f>'PR 2025'!A211</f>
        <v>2</v>
      </c>
      <c r="F213" s="31">
        <f>'PR 2025'!B211</f>
        <v>5000005340</v>
      </c>
      <c r="G213" s="32" t="str">
        <f>'PR 2025'!C211</f>
        <v>POWER SUPLY ATX 450 WATT</v>
      </c>
      <c r="H213" s="31">
        <f>'PR 2025'!D211</f>
        <v>10802412</v>
      </c>
      <c r="I213" s="31">
        <f>VLOOKUP(A213,'PO 2025'!$A$2:$Y$1440,21,FALSE)</f>
        <v>79705285</v>
      </c>
      <c r="J213" s="31">
        <f>'PR 2025'!E211</f>
        <v>1</v>
      </c>
      <c r="K213" s="33" t="str">
        <f>'PR 2025'!F211</f>
        <v>UNT</v>
      </c>
      <c r="L213" s="34">
        <f>'PR 2025'!T211</f>
        <v>45808</v>
      </c>
      <c r="M213" s="31" t="str">
        <f>'PR 2025'!AG211</f>
        <v>R</v>
      </c>
      <c r="N213" s="34">
        <f>VLOOKUP(C213,'GRS 2025'!$A$2:$AH$1992,4,FALSE)</f>
        <v>45822</v>
      </c>
      <c r="O213" s="69" t="str">
        <f>'PR 2025'!AJ211</f>
        <v>U/ BAGIAN GD SPAREPART (HS CODE : 8414.59.10). RICKY</v>
      </c>
    </row>
    <row r="214" spans="1:15" x14ac:dyDescent="0.25">
      <c r="A214" s="22" t="str">
        <f t="shared" si="117"/>
        <v>5000013499108024123</v>
      </c>
      <c r="B214" s="22" t="str">
        <f t="shared" si="118"/>
        <v>5000013499797052833</v>
      </c>
      <c r="C214" s="22" t="str">
        <f t="shared" si="119"/>
        <v>500001349979705283</v>
      </c>
      <c r="D214" s="31">
        <v>211</v>
      </c>
      <c r="E214" s="31">
        <f>'PR 2025'!A212</f>
        <v>3</v>
      </c>
      <c r="F214" s="31">
        <f>'PR 2025'!B212</f>
        <v>5000013499</v>
      </c>
      <c r="G214" s="32" t="str">
        <f>'PR 2025'!C212</f>
        <v>KX-TS505SLT (PESAWAT TELEPHONE )</v>
      </c>
      <c r="H214" s="31">
        <f>'PR 2025'!D212</f>
        <v>10802412</v>
      </c>
      <c r="I214" s="31">
        <f>VLOOKUP(A214,'PO 2025'!$A$2:$Y$1440,21,FALSE)</f>
        <v>79705283</v>
      </c>
      <c r="J214" s="31">
        <f>'PR 2025'!E212</f>
        <v>1</v>
      </c>
      <c r="K214" s="33" t="str">
        <f>'PR 2025'!F212</f>
        <v>UNT</v>
      </c>
      <c r="L214" s="34">
        <f>'PR 2025'!T212</f>
        <v>45810</v>
      </c>
      <c r="M214" s="31" t="str">
        <f>'PR 2025'!AG212</f>
        <v>R</v>
      </c>
      <c r="N214" s="34">
        <f>VLOOKUP(C214,'GRS 2025'!$A$2:$AH$1992,4,FALSE)</f>
        <v>45826</v>
      </c>
      <c r="O214" s="69" t="str">
        <f>'PR 2025'!AJ212</f>
        <v>U/ BAGIAN BEACUKAI (HS CODE : 8517.14.00). DESSY</v>
      </c>
    </row>
    <row r="215" spans="1:15" x14ac:dyDescent="0.25">
      <c r="A215" s="22" t="str">
        <f t="shared" si="117"/>
        <v>5000015091108024291</v>
      </c>
      <c r="B215" s="22" t="str">
        <f t="shared" si="118"/>
        <v>5000015091797052861</v>
      </c>
      <c r="C215" s="22" t="str">
        <f t="shared" si="119"/>
        <v>500001509179705286</v>
      </c>
      <c r="D215" s="31">
        <v>212</v>
      </c>
      <c r="E215" s="31">
        <f>'PR 2025'!A213</f>
        <v>1</v>
      </c>
      <c r="F215" s="31">
        <f>'PR 2025'!B213</f>
        <v>5000015091</v>
      </c>
      <c r="G215" s="32" t="str">
        <f>'PR 2025'!C213</f>
        <v>CONVERTER HDMI TO VGA</v>
      </c>
      <c r="H215" s="31">
        <f>'PR 2025'!D213</f>
        <v>10802429</v>
      </c>
      <c r="I215" s="31">
        <f>VLOOKUP(A215,'PO 2025'!$A$2:$Y$1440,21,FALSE)</f>
        <v>79705286</v>
      </c>
      <c r="J215" s="31">
        <f>'PR 2025'!E213</f>
        <v>1</v>
      </c>
      <c r="K215" s="33" t="str">
        <f>'PR 2025'!F213</f>
        <v>PCS</v>
      </c>
      <c r="L215" s="34">
        <f>'PR 2025'!T213</f>
        <v>45810</v>
      </c>
      <c r="M215" s="31" t="str">
        <f>'PR 2025'!AG213</f>
        <v>R</v>
      </c>
      <c r="N215" s="34">
        <f>VLOOKUP(C215,'GRS 2025'!$A$2:$AH$1992,4,FALSE)</f>
        <v>45821</v>
      </c>
      <c r="O215" s="69" t="str">
        <f>'PR 2025'!AJ213</f>
        <v>U/ BAGIAN PPC GREY LJ2 (HS CODE : 8454.10.00). RICKY</v>
      </c>
    </row>
    <row r="216" spans="1:15" ht="30" x14ac:dyDescent="0.25">
      <c r="A216" s="22" t="str">
        <f t="shared" ref="A216:A222" si="120">F216&amp;H216&amp;E216</f>
        <v>5000008843108024641</v>
      </c>
      <c r="B216" s="22" t="str">
        <f t="shared" ref="B216:B222" si="121">F216&amp;I216&amp;E216</f>
        <v>5000008843797052851</v>
      </c>
      <c r="C216" s="22" t="str">
        <f t="shared" ref="C216:C222" si="122">F216&amp;I216</f>
        <v>500000884379705285</v>
      </c>
      <c r="D216" s="31">
        <v>213</v>
      </c>
      <c r="E216" s="31">
        <f>'PR 2025'!A214</f>
        <v>1</v>
      </c>
      <c r="F216" s="31">
        <f>'PR 2025'!B214</f>
        <v>5000008843</v>
      </c>
      <c r="G216" s="32" t="str">
        <f>'PR 2025'!C214</f>
        <v>MONITOR LCD 19 INCH</v>
      </c>
      <c r="H216" s="31">
        <f>'PR 2025'!D214</f>
        <v>10802464</v>
      </c>
      <c r="I216" s="31">
        <f>VLOOKUP(A216,'PO 2025'!$A$2:$Y$1440,21,FALSE)</f>
        <v>79705285</v>
      </c>
      <c r="J216" s="31">
        <f>'PR 2025'!E214</f>
        <v>2</v>
      </c>
      <c r="K216" s="33" t="str">
        <f>'PR 2025'!F214</f>
        <v>UNT</v>
      </c>
      <c r="L216" s="34">
        <f>'PR 2025'!T214</f>
        <v>45812</v>
      </c>
      <c r="M216" s="31" t="str">
        <f>'PR 2025'!AG214</f>
        <v>R</v>
      </c>
      <c r="N216" s="34">
        <f>VLOOKUP(C216,'GRS 2025'!$A$2:$AH$1992,4,FALSE)</f>
        <v>45822</v>
      </c>
      <c r="O216" s="69" t="str">
        <f>'PR 2025'!AJ214</f>
        <v>URGENT : U/ MENGGANTI YANG RUSAK BAGIAN INSPECTING GREY LJ1 DAN GD GREY (GUDANG BARU) (HS CODE : 8528.52.00). HENGKY &amp; AGUS</v>
      </c>
    </row>
    <row r="217" spans="1:15" x14ac:dyDescent="0.25">
      <c r="A217" s="22" t="str">
        <f t="shared" si="120"/>
        <v>5000017289108024642</v>
      </c>
      <c r="B217" s="22" t="str">
        <f t="shared" si="121"/>
        <v>5000017289797052832</v>
      </c>
      <c r="C217" s="22" t="str">
        <f t="shared" si="122"/>
        <v>500001728979705283</v>
      </c>
      <c r="D217" s="31">
        <v>214</v>
      </c>
      <c r="E217" s="31">
        <f>'PR 2025'!A215</f>
        <v>2</v>
      </c>
      <c r="F217" s="31">
        <f>'PR 2025'!B215</f>
        <v>5000017289</v>
      </c>
      <c r="G217" s="32" t="str">
        <f>'PR 2025'!C215</f>
        <v>BRACKET FAN AMD</v>
      </c>
      <c r="H217" s="31">
        <f>'PR 2025'!D215</f>
        <v>10802464</v>
      </c>
      <c r="I217" s="31">
        <f>VLOOKUP(A217,'PO 2025'!$A$2:$Y$1440,21,FALSE)</f>
        <v>79705283</v>
      </c>
      <c r="J217" s="31">
        <f>'PR 2025'!E215</f>
        <v>3</v>
      </c>
      <c r="K217" s="33" t="str">
        <f>'PR 2025'!F215</f>
        <v>BH</v>
      </c>
      <c r="L217" s="34">
        <f>'PR 2025'!T215</f>
        <v>45812</v>
      </c>
      <c r="M217" s="31" t="str">
        <f>'PR 2025'!AG215</f>
        <v>R</v>
      </c>
      <c r="N217" s="34">
        <f>VLOOKUP(C217,'GRS 2025'!$A$2:$AH$1992,4,FALSE)</f>
        <v>45826</v>
      </c>
      <c r="O217" s="69" t="str">
        <f>'PR 2025'!AJ215</f>
        <v>U/ AREA COMPRESSOR, FINAL LJ2 DAN DF LJ1 (HS CODE : 8471.50.90). RICKY</v>
      </c>
    </row>
    <row r="218" spans="1:15" x14ac:dyDescent="0.25">
      <c r="A218" s="22" t="str">
        <f t="shared" si="120"/>
        <v>5000016308108024643</v>
      </c>
      <c r="B218" s="22" t="str">
        <f t="shared" si="121"/>
        <v>5000016308797052833</v>
      </c>
      <c r="C218" s="22" t="str">
        <f t="shared" si="122"/>
        <v>500001630879705283</v>
      </c>
      <c r="D218" s="31">
        <v>215</v>
      </c>
      <c r="E218" s="31">
        <f>'PR 2025'!A216</f>
        <v>3</v>
      </c>
      <c r="F218" s="31">
        <f>'PR 2025'!B216</f>
        <v>5000016308</v>
      </c>
      <c r="G218" s="32" t="str">
        <f>'PR 2025'!C216</f>
        <v>CPU BUILDUP</v>
      </c>
      <c r="H218" s="31">
        <f>'PR 2025'!D216</f>
        <v>10802464</v>
      </c>
      <c r="I218" s="31">
        <f>VLOOKUP(A218,'PO 2025'!$A$2:$Y$1440,21,FALSE)</f>
        <v>79705283</v>
      </c>
      <c r="J218" s="31">
        <f>'PR 2025'!E216</f>
        <v>1</v>
      </c>
      <c r="K218" s="33" t="str">
        <f>'PR 2025'!F216</f>
        <v>UNT</v>
      </c>
      <c r="L218" s="34">
        <f>'PR 2025'!T216</f>
        <v>45812</v>
      </c>
      <c r="M218" s="31" t="str">
        <f>'PR 2025'!AG216</f>
        <v>R</v>
      </c>
      <c r="N218" s="34">
        <f>VLOOKUP(C218,'GRS 2025'!$A$2:$AH$1992,4,FALSE)</f>
        <v>45826</v>
      </c>
      <c r="O218" s="69" t="str">
        <f>'PR 2025'!AJ216</f>
        <v>U/ BAGIAN GD GREY (GUDANG BARU) . AGUS</v>
      </c>
    </row>
    <row r="219" spans="1:15" x14ac:dyDescent="0.25">
      <c r="A219" s="22" t="str">
        <f t="shared" si="120"/>
        <v>5000005059108024644</v>
      </c>
      <c r="B219" s="22" t="str">
        <f t="shared" si="121"/>
        <v>5000005059797052854</v>
      </c>
      <c r="C219" s="22" t="str">
        <f t="shared" si="122"/>
        <v>500000505979705285</v>
      </c>
      <c r="D219" s="31">
        <v>216</v>
      </c>
      <c r="E219" s="31">
        <f>'PR 2025'!A217</f>
        <v>4</v>
      </c>
      <c r="F219" s="31">
        <f>'PR 2025'!B217</f>
        <v>5000005059</v>
      </c>
      <c r="G219" s="32" t="str">
        <f>'PR 2025'!C217</f>
        <v>KEYBOARD USB</v>
      </c>
      <c r="H219" s="31">
        <f>'PR 2025'!D217</f>
        <v>10802464</v>
      </c>
      <c r="I219" s="31">
        <f>VLOOKUP(A219,'PO 2025'!$A$2:$Y$1440,21,FALSE)</f>
        <v>79705285</v>
      </c>
      <c r="J219" s="31">
        <f>'PR 2025'!E217</f>
        <v>1</v>
      </c>
      <c r="K219" s="33" t="str">
        <f>'PR 2025'!F217</f>
        <v>BH</v>
      </c>
      <c r="L219" s="34">
        <f>'PR 2025'!T217</f>
        <v>45812</v>
      </c>
      <c r="M219" s="31" t="str">
        <f>'PR 2025'!AG217</f>
        <v>R</v>
      </c>
      <c r="N219" s="34">
        <f>VLOOKUP(C219,'GRS 2025'!$A$2:$AH$1992,4,FALSE)</f>
        <v>45822</v>
      </c>
      <c r="O219" s="69" t="str">
        <f>'PR 2025'!AJ217</f>
        <v>U/ BAGIAN GD GREY (GUDANG BARU)(HS CODE : 8471.60.30). AGUS</v>
      </c>
    </row>
    <row r="220" spans="1:15" x14ac:dyDescent="0.25">
      <c r="A220" s="22" t="str">
        <f t="shared" si="120"/>
        <v>5000004248108024645</v>
      </c>
      <c r="B220" s="22" t="str">
        <f t="shared" si="121"/>
        <v>5000004248797052855</v>
      </c>
      <c r="C220" s="22" t="str">
        <f t="shared" si="122"/>
        <v>500000424879705285</v>
      </c>
      <c r="D220" s="31">
        <v>217</v>
      </c>
      <c r="E220" s="31">
        <f>'PR 2025'!A218</f>
        <v>5</v>
      </c>
      <c r="F220" s="31">
        <f>'PR 2025'!B218</f>
        <v>5000004248</v>
      </c>
      <c r="G220" s="32" t="str">
        <f>'PR 2025'!C218</f>
        <v>MOUSE USB</v>
      </c>
      <c r="H220" s="31">
        <f>'PR 2025'!D218</f>
        <v>10802464</v>
      </c>
      <c r="I220" s="31">
        <f>VLOOKUP(A220,'PO 2025'!$A$2:$Y$1440,21,FALSE)</f>
        <v>79705285</v>
      </c>
      <c r="J220" s="31">
        <f>'PR 2025'!E218</f>
        <v>1</v>
      </c>
      <c r="K220" s="33" t="str">
        <f>'PR 2025'!F218</f>
        <v>BH</v>
      </c>
      <c r="L220" s="34">
        <f>'PR 2025'!T218</f>
        <v>45812</v>
      </c>
      <c r="M220" s="31" t="str">
        <f>'PR 2025'!AG218</f>
        <v>R</v>
      </c>
      <c r="N220" s="34">
        <f>VLOOKUP(C220,'GRS 2025'!$A$2:$AH$1992,4,FALSE)</f>
        <v>45822</v>
      </c>
      <c r="O220" s="69" t="str">
        <f>'PR 2025'!AJ218</f>
        <v>U/ BAGIAN GD GREY (GUDANG BARU) . AGUS</v>
      </c>
    </row>
    <row r="221" spans="1:15" x14ac:dyDescent="0.25">
      <c r="A221" s="22" t="str">
        <f t="shared" si="120"/>
        <v>5000012021108024646</v>
      </c>
      <c r="B221" s="22" t="str">
        <f t="shared" si="121"/>
        <v>5000012021797052856</v>
      </c>
      <c r="C221" s="22" t="str">
        <f t="shared" si="122"/>
        <v>500001202179705285</v>
      </c>
      <c r="D221" s="31">
        <v>218</v>
      </c>
      <c r="E221" s="31">
        <f>'PR 2025'!A219</f>
        <v>6</v>
      </c>
      <c r="F221" s="31">
        <f>'PR 2025'!B219</f>
        <v>5000012021</v>
      </c>
      <c r="G221" s="32" t="str">
        <f>'PR 2025'!C219</f>
        <v>KABEL VGA</v>
      </c>
      <c r="H221" s="31">
        <f>'PR 2025'!D219</f>
        <v>10802464</v>
      </c>
      <c r="I221" s="31">
        <f>VLOOKUP(A221,'PO 2025'!$A$2:$Y$1440,21,FALSE)</f>
        <v>79705285</v>
      </c>
      <c r="J221" s="31">
        <f>'PR 2025'!E219</f>
        <v>1</v>
      </c>
      <c r="K221" s="33" t="str">
        <f>'PR 2025'!F219</f>
        <v>BH</v>
      </c>
      <c r="L221" s="34">
        <f>'PR 2025'!T219</f>
        <v>45812</v>
      </c>
      <c r="M221" s="31" t="str">
        <f>'PR 2025'!AG219</f>
        <v>R</v>
      </c>
      <c r="N221" s="34">
        <f>VLOOKUP(C221,'GRS 2025'!$A$2:$AH$1992,4,FALSE)</f>
        <v>45822</v>
      </c>
      <c r="O221" s="69" t="str">
        <f>'PR 2025'!AJ219</f>
        <v>U/ BAGIAN GD GREY (GUDANG BARU) . AGUS</v>
      </c>
    </row>
    <row r="222" spans="1:15" x14ac:dyDescent="0.25">
      <c r="A222" s="22" t="str">
        <f t="shared" si="120"/>
        <v>5000013008108024647</v>
      </c>
      <c r="B222" s="22" t="str">
        <f t="shared" si="121"/>
        <v>5000013008797052757</v>
      </c>
      <c r="C222" s="22" t="str">
        <f t="shared" si="122"/>
        <v>500001300879705275</v>
      </c>
      <c r="D222" s="31">
        <v>219</v>
      </c>
      <c r="E222" s="31">
        <f>'PR 2025'!A220</f>
        <v>7</v>
      </c>
      <c r="F222" s="31">
        <f>'PR 2025'!B220</f>
        <v>5000013008</v>
      </c>
      <c r="G222" s="32" t="str">
        <f>'PR 2025'!C220</f>
        <v>PRINTER EPSON LQ-310</v>
      </c>
      <c r="H222" s="31">
        <f>'PR 2025'!D220</f>
        <v>10802464</v>
      </c>
      <c r="I222" s="31">
        <f>VLOOKUP(A222,'PO 2025'!$A$2:$Y$1440,21,FALSE)</f>
        <v>79705275</v>
      </c>
      <c r="J222" s="31">
        <f>'PR 2025'!E220</f>
        <v>1</v>
      </c>
      <c r="K222" s="33" t="str">
        <f>'PR 2025'!F220</f>
        <v>UNT</v>
      </c>
      <c r="L222" s="34">
        <f>'PR 2025'!T220</f>
        <v>45812</v>
      </c>
      <c r="M222" s="31" t="str">
        <f>'PR 2025'!AG220</f>
        <v>R</v>
      </c>
      <c r="N222" s="34">
        <f>VLOOKUP(C222,'GRS 2025'!$A$2:$AH$1992,4,FALSE)</f>
        <v>45822</v>
      </c>
      <c r="O222" s="69" t="str">
        <f>'PR 2025'!AJ220</f>
        <v>U/ BAGIAN GD GREY (GUDANG BARU) . AGUS</v>
      </c>
    </row>
    <row r="223" spans="1:15" x14ac:dyDescent="0.25">
      <c r="A223" s="22" t="str">
        <f t="shared" ref="A223:A227" si="123">F223&amp;H223&amp;E223</f>
        <v>5000016728108024871</v>
      </c>
      <c r="B223" s="22" t="str">
        <f t="shared" ref="B223:B227" si="124">F223&amp;I223&amp;E223</f>
        <v>5000016728797052751</v>
      </c>
      <c r="C223" s="22" t="str">
        <f t="shared" ref="C223:C227" si="125">F223&amp;I223</f>
        <v>500001672879705275</v>
      </c>
      <c r="D223" s="31">
        <v>220</v>
      </c>
      <c r="E223" s="31">
        <f>'PR 2025'!A221</f>
        <v>1</v>
      </c>
      <c r="F223" s="31">
        <f>'PR 2025'!B221</f>
        <v>5000016728</v>
      </c>
      <c r="G223" s="32" t="str">
        <f>'PR 2025'!C221</f>
        <v>SWITCH D-LINK 8 PORT</v>
      </c>
      <c r="H223" s="31">
        <f>'PR 2025'!D221</f>
        <v>10802487</v>
      </c>
      <c r="I223" s="31">
        <f>VLOOKUP(A223,'PO 2025'!$A$2:$Y$1440,21,FALSE)</f>
        <v>79705275</v>
      </c>
      <c r="J223" s="31">
        <f>'PR 2025'!E221</f>
        <v>1</v>
      </c>
      <c r="K223" s="33" t="str">
        <f>'PR 2025'!F221</f>
        <v>UNT</v>
      </c>
      <c r="L223" s="34">
        <f>'PR 2025'!T221</f>
        <v>45815</v>
      </c>
      <c r="M223" s="31" t="str">
        <f>'PR 2025'!AG221</f>
        <v>R</v>
      </c>
      <c r="N223" s="34">
        <f>VLOOKUP(C223,'GRS 2025'!$A$2:$AH$1992,4,FALSE)</f>
        <v>45822</v>
      </c>
      <c r="O223" s="69" t="str">
        <f>'PR 2025'!AJ221</f>
        <v>U/ AREA GD GREY (GUDANG BARU) (HS CODE : 8517.79.10). AGUS</v>
      </c>
    </row>
    <row r="224" spans="1:15" x14ac:dyDescent="0.25">
      <c r="A224" s="22" t="str">
        <f t="shared" si="123"/>
        <v>5000000739108024872</v>
      </c>
      <c r="B224" s="22" t="str">
        <f t="shared" si="124"/>
        <v>5000000739797052752</v>
      </c>
      <c r="C224" s="22" t="str">
        <f t="shared" si="125"/>
        <v>500000073979705275</v>
      </c>
      <c r="D224" s="31">
        <v>221</v>
      </c>
      <c r="E224" s="31">
        <f>'PR 2025'!A222</f>
        <v>2</v>
      </c>
      <c r="F224" s="31">
        <f>'PR 2025'!B222</f>
        <v>5000000739</v>
      </c>
      <c r="G224" s="32" t="str">
        <f>'PR 2025'!C222</f>
        <v>KABEL UTP BELDEN</v>
      </c>
      <c r="H224" s="31">
        <f>'PR 2025'!D222</f>
        <v>10802487</v>
      </c>
      <c r="I224" s="31">
        <f>VLOOKUP(A224,'PO 2025'!$A$2:$Y$1440,21,FALSE)</f>
        <v>79705275</v>
      </c>
      <c r="J224" s="31">
        <f>'PR 2025'!E222</f>
        <v>1</v>
      </c>
      <c r="K224" s="33" t="str">
        <f>'PR 2025'!F222</f>
        <v>ROL</v>
      </c>
      <c r="L224" s="34">
        <f>'PR 2025'!T222</f>
        <v>45815</v>
      </c>
      <c r="M224" s="31" t="str">
        <f>'PR 2025'!AG222</f>
        <v>R</v>
      </c>
      <c r="N224" s="34">
        <f>VLOOKUP(C224,'GRS 2025'!$A$2:$AH$1992,4,FALSE)</f>
        <v>45822</v>
      </c>
      <c r="O224" s="69" t="str">
        <f>'PR 2025'!AJ222</f>
        <v>U/ AREA GD GREY (GUDANG BARU) DAN OD&amp;TM (HS CODE : 8517.14.00). IDRUS</v>
      </c>
    </row>
    <row r="225" spans="1:15" x14ac:dyDescent="0.25">
      <c r="A225" s="22" t="str">
        <f t="shared" si="123"/>
        <v>5000017828108024873</v>
      </c>
      <c r="B225" s="22" t="str">
        <f t="shared" si="124"/>
        <v>5000017828797052083</v>
      </c>
      <c r="C225" s="22" t="str">
        <f t="shared" si="125"/>
        <v>500001782879705208</v>
      </c>
      <c r="D225" s="31">
        <v>222</v>
      </c>
      <c r="E225" s="31">
        <f>'PR 2025'!A223</f>
        <v>3</v>
      </c>
      <c r="F225" s="31">
        <f>'PR 2025'!B223</f>
        <v>5000017828</v>
      </c>
      <c r="G225" s="32" t="str">
        <f>'PR 2025'!C223</f>
        <v>MONITOR 100 INCH</v>
      </c>
      <c r="H225" s="31">
        <f>'PR 2025'!D223</f>
        <v>10802487</v>
      </c>
      <c r="I225" s="31">
        <f>VLOOKUP(A225,'PO 2025'!$A$2:$Y$1440,21,FALSE)</f>
        <v>79705208</v>
      </c>
      <c r="J225" s="31">
        <f>'PR 2025'!E223</f>
        <v>1</v>
      </c>
      <c r="K225" s="33" t="str">
        <f>'PR 2025'!F223</f>
        <v>UNT</v>
      </c>
      <c r="L225" s="34">
        <f>'PR 2025'!T223</f>
        <v>45815</v>
      </c>
      <c r="M225" s="31" t="str">
        <f>'PR 2025'!AG223</f>
        <v>R</v>
      </c>
      <c r="N225" s="34">
        <f>VLOOKUP(C225,'GRS 2025'!$A$2:$AH$1992,4,FALSE)</f>
        <v>45819</v>
      </c>
      <c r="O225" s="69" t="str">
        <f>'PR 2025'!AJ223</f>
        <v>U/ KEBUTUHAN RUANG MEETING 234 (HS CODE : 8528.52.00). GODAM</v>
      </c>
    </row>
    <row r="226" spans="1:15" x14ac:dyDescent="0.25">
      <c r="A226" s="22" t="str">
        <f t="shared" si="123"/>
        <v>5000016930108024961</v>
      </c>
      <c r="B226" s="22" t="str">
        <f t="shared" si="124"/>
        <v>5000016930797079831</v>
      </c>
      <c r="C226" s="22" t="str">
        <f t="shared" si="125"/>
        <v>500001693079707983</v>
      </c>
      <c r="D226" s="31">
        <v>223</v>
      </c>
      <c r="E226" s="31">
        <f>'PR 2025'!A224</f>
        <v>1</v>
      </c>
      <c r="F226" s="31">
        <f>'PR 2025'!B224</f>
        <v>5000016930</v>
      </c>
      <c r="G226" s="32" t="str">
        <f>'PR 2025'!C224</f>
        <v>PRINT SERVER</v>
      </c>
      <c r="H226" s="31">
        <f>'PR 2025'!D224</f>
        <v>10802496</v>
      </c>
      <c r="I226" s="31">
        <f>VLOOKUP(A226,'PO 2025'!$A$2:$Y$1440,21,FALSE)</f>
        <v>79707983</v>
      </c>
      <c r="J226" s="31">
        <f>'PR 2025'!E224</f>
        <v>1</v>
      </c>
      <c r="K226" s="33" t="str">
        <f>'PR 2025'!F224</f>
        <v>BH</v>
      </c>
      <c r="L226" s="34">
        <f>'PR 2025'!T224</f>
        <v>45817</v>
      </c>
      <c r="M226" s="31" t="str">
        <f>'PR 2025'!AG224</f>
        <v>R</v>
      </c>
      <c r="N226" s="34">
        <f>VLOOKUP(C226,'GRS 2025'!$A$2:$AH$1992,4,FALSE)</f>
        <v>45894</v>
      </c>
      <c r="O226" s="69" t="str">
        <f>'PR 2025'!AJ224</f>
        <v>U/ BAGIAN QA GREY LJ2 (HS CODE : 8517.79.10). MARYAM</v>
      </c>
    </row>
    <row r="227" spans="1:15" x14ac:dyDescent="0.25">
      <c r="A227" s="22" t="str">
        <f t="shared" si="123"/>
        <v>5000009123108024962</v>
      </c>
      <c r="B227" s="22" t="str">
        <f t="shared" si="124"/>
        <v>5000009123797053672</v>
      </c>
      <c r="C227" s="22" t="str">
        <f t="shared" si="125"/>
        <v>500000912379705367</v>
      </c>
      <c r="D227" s="31">
        <v>224</v>
      </c>
      <c r="E227" s="31">
        <f>'PR 2025'!A225</f>
        <v>2</v>
      </c>
      <c r="F227" s="31">
        <f>'PR 2025'!B225</f>
        <v>5000009123</v>
      </c>
      <c r="G227" s="32" t="str">
        <f>'PR 2025'!C225</f>
        <v>ADAPTOR LAPTOP</v>
      </c>
      <c r="H227" s="31">
        <f>'PR 2025'!D225</f>
        <v>10802496</v>
      </c>
      <c r="I227" s="31">
        <f>VLOOKUP(A227,'PO 2025'!$A$2:$Y$1440,21,FALSE)</f>
        <v>79705367</v>
      </c>
      <c r="J227" s="31">
        <f>'PR 2025'!E225</f>
        <v>1</v>
      </c>
      <c r="K227" s="33" t="str">
        <f>'PR 2025'!F225</f>
        <v>UNT</v>
      </c>
      <c r="L227" s="34">
        <f>'PR 2025'!T225</f>
        <v>45817</v>
      </c>
      <c r="M227" s="31" t="str">
        <f>'PR 2025'!AG225</f>
        <v>R</v>
      </c>
      <c r="N227" s="34">
        <f>VLOOKUP(C227,'GRS 2025'!$A$2:$AH$1992,4,FALSE)</f>
        <v>45826</v>
      </c>
      <c r="O227" s="69" t="str">
        <f>'PR 2025'!AJ225</f>
        <v>U/ LAPTOP HP ASST. MANAGER PRODUKSI (HS CODE : 8517.79.10). KARISA</v>
      </c>
    </row>
    <row r="228" spans="1:15" x14ac:dyDescent="0.25">
      <c r="A228" s="22" t="str">
        <f t="shared" ref="A228:A229" si="126">F228&amp;H228&amp;E228</f>
        <v>5000000740108025461</v>
      </c>
      <c r="B228" s="22" t="str">
        <f t="shared" ref="B228:B229" si="127">F228&amp;I228&amp;E228</f>
        <v>5000000740797056421</v>
      </c>
      <c r="C228" s="22" t="str">
        <f t="shared" ref="C228:C229" si="128">F228&amp;I228</f>
        <v>500000074079705642</v>
      </c>
      <c r="D228" s="31">
        <v>225</v>
      </c>
      <c r="E228" s="31">
        <f>'PR 2025'!A226</f>
        <v>1</v>
      </c>
      <c r="F228" s="31">
        <f>'PR 2025'!B226</f>
        <v>5000000740</v>
      </c>
      <c r="G228" s="32" t="str">
        <f>'PR 2025'!C226</f>
        <v>CONECTOR RJ 45</v>
      </c>
      <c r="H228" s="31">
        <f>'PR 2025'!D226</f>
        <v>10802546</v>
      </c>
      <c r="I228" s="31">
        <f>VLOOKUP(A228,'PO 2025'!$A$2:$Y$1440,21,FALSE)</f>
        <v>79705642</v>
      </c>
      <c r="J228" s="31">
        <f>'PR 2025'!E226</f>
        <v>200</v>
      </c>
      <c r="K228" s="33" t="str">
        <f>'PR 2025'!F226</f>
        <v>BH</v>
      </c>
      <c r="L228" s="34">
        <f>'PR 2025'!T226</f>
        <v>45819</v>
      </c>
      <c r="M228" s="31" t="str">
        <f>'PR 2025'!AG226</f>
        <v>R</v>
      </c>
      <c r="N228" s="34">
        <f>VLOOKUP(C228,'GRS 2025'!$A$2:$AH$1992,4,FALSE)</f>
        <v>45834</v>
      </c>
      <c r="O228" s="69" t="str">
        <f>'PR 2025'!AJ226</f>
        <v>U/ KEBUTUHAN AUDIT EKSTERNAL (HS CODE : 8536.70.90). TIO</v>
      </c>
    </row>
    <row r="229" spans="1:15" x14ac:dyDescent="0.25">
      <c r="A229" s="22" t="str">
        <f t="shared" si="126"/>
        <v>5000017346108025462</v>
      </c>
      <c r="B229" s="22" t="str">
        <f t="shared" si="127"/>
        <v>5000017346797056432</v>
      </c>
      <c r="C229" s="22" t="str">
        <f t="shared" si="128"/>
        <v>500001734679705643</v>
      </c>
      <c r="D229" s="31">
        <v>226</v>
      </c>
      <c r="E229" s="31">
        <f>'PR 2025'!A227</f>
        <v>2</v>
      </c>
      <c r="F229" s="31">
        <f>'PR 2025'!B227</f>
        <v>5000017346</v>
      </c>
      <c r="G229" s="32" t="str">
        <f>'PR 2025'!C227</f>
        <v>POWER SUPPLY LENOVO</v>
      </c>
      <c r="H229" s="31">
        <f>'PR 2025'!D227</f>
        <v>10802546</v>
      </c>
      <c r="I229" s="31">
        <f>VLOOKUP(A229,'PO 2025'!$A$2:$Y$1440,21,FALSE)</f>
        <v>79705643</v>
      </c>
      <c r="J229" s="31">
        <f>'PR 2025'!E227</f>
        <v>1</v>
      </c>
      <c r="K229" s="33" t="str">
        <f>'PR 2025'!F227</f>
        <v>UNT</v>
      </c>
      <c r="L229" s="34">
        <f>'PR 2025'!T227</f>
        <v>45819</v>
      </c>
      <c r="M229" s="31" t="str">
        <f>'PR 2025'!AG227</f>
        <v>R</v>
      </c>
      <c r="N229" s="34">
        <f>VLOOKUP(C229,'GRS 2025'!$A$2:$AH$1992,4,FALSE)</f>
        <v>45839</v>
      </c>
      <c r="O229" s="69" t="str">
        <f>'PR 2025'!AJ227</f>
        <v>U/ BAGIAN RND (HS CODE : 8414.59.10). RICKY</v>
      </c>
    </row>
    <row r="230" spans="1:15" x14ac:dyDescent="0.25">
      <c r="A230" s="22" t="str">
        <f t="shared" ref="A230:A234" si="129">F230&amp;H230&amp;E230</f>
        <v>5000002171108026201</v>
      </c>
      <c r="B230" s="22" t="str">
        <f t="shared" ref="B230:B234" si="130">F230&amp;I230&amp;E230</f>
        <v>5000002171797056431</v>
      </c>
      <c r="C230" s="22" t="str">
        <f t="shared" ref="C230:C234" si="131">F230&amp;I230</f>
        <v>500000217179705643</v>
      </c>
      <c r="D230" s="31">
        <v>227</v>
      </c>
      <c r="E230" s="31">
        <f>'PR 2025'!A228</f>
        <v>1</v>
      </c>
      <c r="F230" s="31">
        <f>'PR 2025'!B228</f>
        <v>5000002171</v>
      </c>
      <c r="G230" s="32" t="str">
        <f>'PR 2025'!C228</f>
        <v>KABEL PRINTER</v>
      </c>
      <c r="H230" s="31">
        <f>'PR 2025'!D228</f>
        <v>10802620</v>
      </c>
      <c r="I230" s="31">
        <f>VLOOKUP(A230,'PO 2025'!$A$2:$Y$1440,21,FALSE)</f>
        <v>79705643</v>
      </c>
      <c r="J230" s="31">
        <f>'PR 2025'!E228</f>
        <v>1</v>
      </c>
      <c r="K230" s="33" t="str">
        <f>'PR 2025'!F228</f>
        <v>BH</v>
      </c>
      <c r="L230" s="34">
        <f>'PR 2025'!T228</f>
        <v>45821</v>
      </c>
      <c r="M230" s="31" t="str">
        <f>'PR 2025'!AG228</f>
        <v>R</v>
      </c>
      <c r="N230" s="34">
        <f>VLOOKUP(C230,'GRS 2025'!$A$2:$AH$1992,4,FALSE)</f>
        <v>45839</v>
      </c>
      <c r="O230" s="69" t="str">
        <f>'PR 2025'!AJ228</f>
        <v>U/ BAGIAN QA GREY &amp; KEUANGAN (HS CODE : 8544.20.31). ERDI</v>
      </c>
    </row>
    <row r="231" spans="1:15" x14ac:dyDescent="0.25">
      <c r="A231" s="22" t="str">
        <f t="shared" si="129"/>
        <v>5000008843108026202</v>
      </c>
      <c r="B231" s="22" t="str">
        <f t="shared" si="130"/>
        <v>5000008843797056422</v>
      </c>
      <c r="C231" s="22" t="str">
        <f t="shared" si="131"/>
        <v>500000884379705642</v>
      </c>
      <c r="D231" s="31">
        <v>228</v>
      </c>
      <c r="E231" s="31">
        <f>'PR 2025'!A229</f>
        <v>2</v>
      </c>
      <c r="F231" s="31">
        <f>'PR 2025'!B229</f>
        <v>5000008843</v>
      </c>
      <c r="G231" s="32" t="str">
        <f>'PR 2025'!C229</f>
        <v>MONITOR LCD 19 INCH</v>
      </c>
      <c r="H231" s="31">
        <f>'PR 2025'!D229</f>
        <v>10802620</v>
      </c>
      <c r="I231" s="31">
        <f>VLOOKUP(A231,'PO 2025'!$A$2:$Y$1440,21,FALSE)</f>
        <v>79705642</v>
      </c>
      <c r="J231" s="31">
        <f>'PR 2025'!E229</f>
        <v>1</v>
      </c>
      <c r="K231" s="33" t="str">
        <f>'PR 2025'!F229</f>
        <v>UNT</v>
      </c>
      <c r="L231" s="34">
        <f>'PR 2025'!T229</f>
        <v>45821</v>
      </c>
      <c r="M231" s="31" t="str">
        <f>'PR 2025'!AG229</f>
        <v>R</v>
      </c>
      <c r="N231" s="34">
        <f>VLOOKUP(C231,'GRS 2025'!$A$2:$AH$1992,4,FALSE)</f>
        <v>45834</v>
      </c>
      <c r="O231" s="69" t="str">
        <f>'PR 2025'!AJ229</f>
        <v>U/ KARYAWAN BARU DI BAGIAN PPC PROC LJ1 (HS CODE : 8528.52.00). CANRA</v>
      </c>
    </row>
    <row r="232" spans="1:15" x14ac:dyDescent="0.25">
      <c r="A232" s="22" t="str">
        <f t="shared" si="129"/>
        <v>5000016308108026203</v>
      </c>
      <c r="B232" s="22" t="str">
        <f t="shared" si="130"/>
        <v>5000016308797056433</v>
      </c>
      <c r="C232" s="22" t="str">
        <f t="shared" si="131"/>
        <v>500001630879705643</v>
      </c>
      <c r="D232" s="31">
        <v>229</v>
      </c>
      <c r="E232" s="31">
        <f>'PR 2025'!A230</f>
        <v>3</v>
      </c>
      <c r="F232" s="31">
        <f>'PR 2025'!B230</f>
        <v>5000016308</v>
      </c>
      <c r="G232" s="32" t="str">
        <f>'PR 2025'!C230</f>
        <v>CPU BUILDUP</v>
      </c>
      <c r="H232" s="31">
        <f>'PR 2025'!D230</f>
        <v>10802620</v>
      </c>
      <c r="I232" s="31">
        <f>VLOOKUP(A232,'PO 2025'!$A$2:$Y$1440,21,FALSE)</f>
        <v>79705643</v>
      </c>
      <c r="J232" s="31">
        <f>'PR 2025'!E230</f>
        <v>1</v>
      </c>
      <c r="K232" s="33" t="str">
        <f>'PR 2025'!F230</f>
        <v>UNT</v>
      </c>
      <c r="L232" s="34">
        <f>'PR 2025'!T230</f>
        <v>45821</v>
      </c>
      <c r="M232" s="31" t="str">
        <f>'PR 2025'!AG230</f>
        <v>R</v>
      </c>
      <c r="N232" s="34">
        <f>VLOOKUP(C232,'GRS 2025'!$A$2:$AH$1992,4,FALSE)</f>
        <v>45839</v>
      </c>
      <c r="O232" s="69" t="str">
        <f>'PR 2025'!AJ230</f>
        <v>U/ KARYAWAN BARU DI BAGIAN PPC PROC LJ1 (HS CODE : 8479.89.50). CANRA</v>
      </c>
    </row>
    <row r="233" spans="1:15" x14ac:dyDescent="0.25">
      <c r="A233" s="22" t="str">
        <f t="shared" si="129"/>
        <v>5000005059108026204</v>
      </c>
      <c r="B233" s="22" t="str">
        <f t="shared" si="130"/>
        <v>5000005059797056424</v>
      </c>
      <c r="C233" s="22" t="str">
        <f t="shared" si="131"/>
        <v>500000505979705642</v>
      </c>
      <c r="D233" s="31">
        <v>230</v>
      </c>
      <c r="E233" s="31">
        <f>'PR 2025'!A231</f>
        <v>4</v>
      </c>
      <c r="F233" s="31">
        <f>'PR 2025'!B231</f>
        <v>5000005059</v>
      </c>
      <c r="G233" s="32" t="str">
        <f>'PR 2025'!C231</f>
        <v>KEYBOARD USB</v>
      </c>
      <c r="H233" s="31">
        <f>'PR 2025'!D231</f>
        <v>10802620</v>
      </c>
      <c r="I233" s="31">
        <f>VLOOKUP(A233,'PO 2025'!$A$2:$Y$1440,21,FALSE)</f>
        <v>79705642</v>
      </c>
      <c r="J233" s="31">
        <f>'PR 2025'!E231</f>
        <v>1</v>
      </c>
      <c r="K233" s="33" t="str">
        <f>'PR 2025'!F231</f>
        <v>BH</v>
      </c>
      <c r="L233" s="34">
        <f>'PR 2025'!T231</f>
        <v>45821</v>
      </c>
      <c r="M233" s="31" t="str">
        <f>'PR 2025'!AG231</f>
        <v>R</v>
      </c>
      <c r="N233" s="34">
        <f>VLOOKUP(C233,'GRS 2025'!$A$2:$AH$1992,4,FALSE)</f>
        <v>45834</v>
      </c>
      <c r="O233" s="69" t="str">
        <f>'PR 2025'!AJ231</f>
        <v>U/ KARYAWAN BARU DI BAGIAN PPC PROC LJ1 (HS CODE : 8471.60.30). CANRA</v>
      </c>
    </row>
    <row r="234" spans="1:15" x14ac:dyDescent="0.25">
      <c r="A234" s="22" t="str">
        <f t="shared" si="129"/>
        <v>5000004248108026205</v>
      </c>
      <c r="B234" s="22" t="str">
        <f t="shared" si="130"/>
        <v>5000004248797056425</v>
      </c>
      <c r="C234" s="22" t="str">
        <f t="shared" si="131"/>
        <v>500000424879705642</v>
      </c>
      <c r="D234" s="31">
        <v>231</v>
      </c>
      <c r="E234" s="31">
        <f>'PR 2025'!A232</f>
        <v>5</v>
      </c>
      <c r="F234" s="31">
        <f>'PR 2025'!B232</f>
        <v>5000004248</v>
      </c>
      <c r="G234" s="32" t="str">
        <f>'PR 2025'!C232</f>
        <v>MOUSE USB</v>
      </c>
      <c r="H234" s="31">
        <f>'PR 2025'!D232</f>
        <v>10802620</v>
      </c>
      <c r="I234" s="31">
        <f>VLOOKUP(A234,'PO 2025'!$A$2:$Y$1440,21,FALSE)</f>
        <v>79705642</v>
      </c>
      <c r="J234" s="31">
        <f>'PR 2025'!E232</f>
        <v>1</v>
      </c>
      <c r="K234" s="33" t="str">
        <f>'PR 2025'!F232</f>
        <v>BH</v>
      </c>
      <c r="L234" s="34">
        <f>'PR 2025'!T232</f>
        <v>45821</v>
      </c>
      <c r="M234" s="31" t="str">
        <f>'PR 2025'!AG232</f>
        <v>R</v>
      </c>
      <c r="N234" s="34">
        <f>VLOOKUP(C234,'GRS 2025'!$A$2:$AH$1992,4,FALSE)</f>
        <v>45834</v>
      </c>
      <c r="O234" s="69" t="str">
        <f>'PR 2025'!AJ232</f>
        <v>U/ KARYAWAN BARU DI BAGIAN PPC PROC LJ1 (HS CODE : 8471.60.40). CANRA</v>
      </c>
    </row>
    <row r="235" spans="1:15" x14ac:dyDescent="0.25">
      <c r="A235" s="22" t="str">
        <f t="shared" ref="A235:A237" si="132">F235&amp;H235&amp;E235</f>
        <v>5000012021108026206</v>
      </c>
      <c r="B235" s="22" t="str">
        <f t="shared" ref="B235:B237" si="133">F235&amp;I235&amp;E235</f>
        <v>5000012021797056426</v>
      </c>
      <c r="C235" s="22" t="str">
        <f t="shared" ref="C235:C237" si="134">F235&amp;I235</f>
        <v>500001202179705642</v>
      </c>
      <c r="D235" s="31">
        <v>232</v>
      </c>
      <c r="E235" s="31">
        <f>'PR 2025'!A233</f>
        <v>6</v>
      </c>
      <c r="F235" s="31">
        <f>'PR 2025'!B233</f>
        <v>5000012021</v>
      </c>
      <c r="G235" s="32" t="str">
        <f>'PR 2025'!C233</f>
        <v>KABEL VGA</v>
      </c>
      <c r="H235" s="31">
        <f>'PR 2025'!D233</f>
        <v>10802620</v>
      </c>
      <c r="I235" s="31">
        <f>VLOOKUP(A235,'PO 2025'!$A$2:$Y$1440,21,FALSE)</f>
        <v>79705642</v>
      </c>
      <c r="J235" s="31">
        <f>'PR 2025'!E233</f>
        <v>1</v>
      </c>
      <c r="K235" s="33" t="str">
        <f>'PR 2025'!F233</f>
        <v>BH</v>
      </c>
      <c r="L235" s="34">
        <f>'PR 2025'!T233</f>
        <v>45821</v>
      </c>
      <c r="M235" s="31" t="str">
        <f>'PR 2025'!AG233</f>
        <v>R</v>
      </c>
      <c r="N235" s="34">
        <f>VLOOKUP(C235,'GRS 2025'!$A$2:$AH$1992,4,FALSE)</f>
        <v>45834</v>
      </c>
      <c r="O235" s="69" t="str">
        <f>'PR 2025'!AJ233</f>
        <v>U/ KARYAWAN BARU DI BAGIAN PPC PROC LJ1 (HS CODE : 8544.20.31). CANRA</v>
      </c>
    </row>
    <row r="236" spans="1:15" x14ac:dyDescent="0.25">
      <c r="A236" s="22" t="str">
        <f t="shared" si="132"/>
        <v>5000011754108026207</v>
      </c>
      <c r="B236" s="22" t="str">
        <f t="shared" si="133"/>
        <v>5000011754797056427</v>
      </c>
      <c r="C236" s="22" t="str">
        <f t="shared" si="134"/>
        <v>500001175479705642</v>
      </c>
      <c r="D236" s="31">
        <v>233</v>
      </c>
      <c r="E236" s="31">
        <f>'PR 2025'!A234</f>
        <v>7</v>
      </c>
      <c r="F236" s="31">
        <f>'PR 2025'!B234</f>
        <v>5000011754</v>
      </c>
      <c r="G236" s="32" t="str">
        <f>'PR 2025'!C234</f>
        <v>MOUSE PAD</v>
      </c>
      <c r="H236" s="31">
        <f>'PR 2025'!D234</f>
        <v>10802620</v>
      </c>
      <c r="I236" s="31">
        <f>VLOOKUP(A236,'PO 2025'!$A$2:$Y$1440,21,FALSE)</f>
        <v>79705642</v>
      </c>
      <c r="J236" s="31">
        <f>'PR 2025'!E234</f>
        <v>1</v>
      </c>
      <c r="K236" s="33" t="str">
        <f>'PR 2025'!F234</f>
        <v>BH</v>
      </c>
      <c r="L236" s="34">
        <f>'PR 2025'!T234</f>
        <v>45821</v>
      </c>
      <c r="M236" s="31" t="str">
        <f>'PR 2025'!AG234</f>
        <v>R</v>
      </c>
      <c r="N236" s="34">
        <f>VLOOKUP(C236,'GRS 2025'!$A$2:$AH$1992,4,FALSE)</f>
        <v>45834</v>
      </c>
      <c r="O236" s="69" t="str">
        <f>'PR 2025'!AJ234</f>
        <v>U/ KARYAWAN BARU DI BAGIAN PPC PROC LJ1 (HS CODE : 8471.60.40). CANRA</v>
      </c>
    </row>
    <row r="237" spans="1:15" x14ac:dyDescent="0.25">
      <c r="A237" s="22" t="str">
        <f t="shared" si="132"/>
        <v>5000011960108026208</v>
      </c>
      <c r="B237" s="22" t="str">
        <f t="shared" si="133"/>
        <v>5000011960797055728</v>
      </c>
      <c r="C237" s="22" t="str">
        <f t="shared" si="134"/>
        <v>500001196079705572</v>
      </c>
      <c r="D237" s="31">
        <v>234</v>
      </c>
      <c r="E237" s="31">
        <f>'PR 2025'!A235</f>
        <v>8</v>
      </c>
      <c r="F237" s="31">
        <f>'PR 2025'!B235</f>
        <v>5000011960</v>
      </c>
      <c r="G237" s="32" t="str">
        <f>'PR 2025'!C235</f>
        <v>BRACKET TV</v>
      </c>
      <c r="H237" s="31">
        <f>'PR 2025'!D235</f>
        <v>10802620</v>
      </c>
      <c r="I237" s="31">
        <f>VLOOKUP(A237,'PO 2025'!$A$2:$Y$1440,21,FALSE)</f>
        <v>79705572</v>
      </c>
      <c r="J237" s="31">
        <f>'PR 2025'!E235</f>
        <v>1</v>
      </c>
      <c r="K237" s="33" t="str">
        <f>'PR 2025'!F235</f>
        <v>BH</v>
      </c>
      <c r="L237" s="34">
        <f>'PR 2025'!T235</f>
        <v>45821</v>
      </c>
      <c r="M237" s="31" t="str">
        <f>'PR 2025'!AG235</f>
        <v>R</v>
      </c>
      <c r="N237" s="34">
        <f>VLOOKUP(C237,'GRS 2025'!$A$2:$AH$1992,4,FALSE)</f>
        <v>45827</v>
      </c>
      <c r="O237" s="69" t="str">
        <f>'PR 2025'!AJ235</f>
        <v>U/ MONITOR 100 INCH, ATAS PR 10802487 (HS CODE : 8714.99.91). GODAM</v>
      </c>
    </row>
    <row r="238" spans="1:15" x14ac:dyDescent="0.25">
      <c r="A238" s="22" t="str">
        <f t="shared" ref="A238:A243" si="135">F238&amp;H238&amp;E238</f>
        <v>5000008843108026771</v>
      </c>
      <c r="B238" s="22" t="str">
        <f t="shared" ref="B238:B243" si="136">F238&amp;I238&amp;E238</f>
        <v>5000008843797057011</v>
      </c>
      <c r="C238" s="22" t="str">
        <f t="shared" ref="C238:C243" si="137">F238&amp;I238</f>
        <v>500000884379705701</v>
      </c>
      <c r="D238" s="31">
        <v>235</v>
      </c>
      <c r="E238" s="31">
        <f>'PR 2025'!A236</f>
        <v>1</v>
      </c>
      <c r="F238" s="31">
        <f>'PR 2025'!B236</f>
        <v>5000008843</v>
      </c>
      <c r="G238" s="32" t="str">
        <f>'PR 2025'!C236</f>
        <v>MONITOR LCD 19 INCH</v>
      </c>
      <c r="H238" s="31">
        <f>'PR 2025'!D236</f>
        <v>10802677</v>
      </c>
      <c r="I238" s="31">
        <f>VLOOKUP(A238,'PO 2025'!$A$2:$Y$1440,21,FALSE)</f>
        <v>79705701</v>
      </c>
      <c r="J238" s="31">
        <f>'PR 2025'!E236</f>
        <v>1</v>
      </c>
      <c r="K238" s="33" t="str">
        <f>'PR 2025'!F236</f>
        <v>UNT</v>
      </c>
      <c r="L238" s="34">
        <f>'PR 2025'!T236</f>
        <v>45825</v>
      </c>
      <c r="M238" s="31" t="str">
        <f>'PR 2025'!AG236</f>
        <v>R</v>
      </c>
      <c r="N238" s="34">
        <f>VLOOKUP(C238,'GRS 2025'!$A$2:$AH$1992,4,FALSE)</f>
        <v>45834</v>
      </c>
      <c r="O238" s="69" t="str">
        <f>'PR 2025'!AJ236</f>
        <v>U/ PENAMBAHAN KARYAWAN BARU DI DEPT MTC GREY (HS CODE : 8528.52.00). ZEZEN</v>
      </c>
    </row>
    <row r="239" spans="1:15" x14ac:dyDescent="0.25">
      <c r="A239" s="22" t="str">
        <f t="shared" si="135"/>
        <v>5000016308108026772</v>
      </c>
      <c r="B239" s="22" t="str">
        <f t="shared" si="136"/>
        <v>5000016308797057022</v>
      </c>
      <c r="C239" s="22" t="str">
        <f t="shared" si="137"/>
        <v>500001630879705702</v>
      </c>
      <c r="D239" s="31">
        <v>236</v>
      </c>
      <c r="E239" s="31">
        <f>'PR 2025'!A237</f>
        <v>2</v>
      </c>
      <c r="F239" s="31">
        <f>'PR 2025'!B237</f>
        <v>5000016308</v>
      </c>
      <c r="G239" s="32" t="str">
        <f>'PR 2025'!C237</f>
        <v>CPU BUILDUP</v>
      </c>
      <c r="H239" s="31">
        <f>'PR 2025'!D237</f>
        <v>10802677</v>
      </c>
      <c r="I239" s="31">
        <f>VLOOKUP(A239,'PO 2025'!$A$2:$Y$1440,21,FALSE)</f>
        <v>79705702</v>
      </c>
      <c r="J239" s="31">
        <f>'PR 2025'!E237</f>
        <v>1</v>
      </c>
      <c r="K239" s="33" t="str">
        <f>'PR 2025'!F237</f>
        <v>UNT</v>
      </c>
      <c r="L239" s="34">
        <f>'PR 2025'!T237</f>
        <v>45825</v>
      </c>
      <c r="M239" s="31" t="str">
        <f>'PR 2025'!AG237</f>
        <v>R</v>
      </c>
      <c r="N239" s="34">
        <f>VLOOKUP(C239,'GRS 2025'!$A$2:$AH$1992,4,FALSE)</f>
        <v>45839</v>
      </c>
      <c r="O239" s="69" t="str">
        <f>'PR 2025'!AJ237</f>
        <v>U/ PENAMBAHAN KARYAWAN BARU DI DEPT MTC GREY (HS CODE : 8479.89.50). ZEZEN</v>
      </c>
    </row>
    <row r="240" spans="1:15" x14ac:dyDescent="0.25">
      <c r="A240" s="22" t="str">
        <f t="shared" si="135"/>
        <v>5000005059108026773</v>
      </c>
      <c r="B240" s="22" t="str">
        <f t="shared" si="136"/>
        <v>5000005059797057013</v>
      </c>
      <c r="C240" s="22" t="str">
        <f t="shared" si="137"/>
        <v>500000505979705701</v>
      </c>
      <c r="D240" s="31">
        <v>237</v>
      </c>
      <c r="E240" s="31">
        <f>'PR 2025'!A238</f>
        <v>3</v>
      </c>
      <c r="F240" s="31">
        <f>'PR 2025'!B238</f>
        <v>5000005059</v>
      </c>
      <c r="G240" s="32" t="str">
        <f>'PR 2025'!C238</f>
        <v>KEYBOARD USB</v>
      </c>
      <c r="H240" s="31">
        <f>'PR 2025'!D238</f>
        <v>10802677</v>
      </c>
      <c r="I240" s="31">
        <f>VLOOKUP(A240,'PO 2025'!$A$2:$Y$1440,21,FALSE)</f>
        <v>79705701</v>
      </c>
      <c r="J240" s="31">
        <f>'PR 2025'!E238</f>
        <v>1</v>
      </c>
      <c r="K240" s="33" t="str">
        <f>'PR 2025'!F238</f>
        <v>BH</v>
      </c>
      <c r="L240" s="34">
        <f>'PR 2025'!T238</f>
        <v>45825</v>
      </c>
      <c r="M240" s="31" t="str">
        <f>'PR 2025'!AG238</f>
        <v>R</v>
      </c>
      <c r="N240" s="34">
        <f>VLOOKUP(C240,'GRS 2025'!$A$2:$AH$1992,4,FALSE)</f>
        <v>45834</v>
      </c>
      <c r="O240" s="69" t="str">
        <f>'PR 2025'!AJ238</f>
        <v>U/ PENAMBAHAN KARYAWAN BARU DI DEPT MTC GREY (HS CODE : 8471.60.30). ZEZEN</v>
      </c>
    </row>
    <row r="241" spans="1:15" x14ac:dyDescent="0.25">
      <c r="A241" s="22" t="str">
        <f t="shared" si="135"/>
        <v>5000004248108026774</v>
      </c>
      <c r="B241" s="22" t="str">
        <f t="shared" si="136"/>
        <v>5000004248797057014</v>
      </c>
      <c r="C241" s="22" t="str">
        <f t="shared" si="137"/>
        <v>500000424879705701</v>
      </c>
      <c r="D241" s="31">
        <v>238</v>
      </c>
      <c r="E241" s="31">
        <f>'PR 2025'!A239</f>
        <v>4</v>
      </c>
      <c r="F241" s="31">
        <f>'PR 2025'!B239</f>
        <v>5000004248</v>
      </c>
      <c r="G241" s="32" t="str">
        <f>'PR 2025'!C239</f>
        <v>MOUSE USB</v>
      </c>
      <c r="H241" s="31">
        <f>'PR 2025'!D239</f>
        <v>10802677</v>
      </c>
      <c r="I241" s="31">
        <f>VLOOKUP(A241,'PO 2025'!$A$2:$Y$1440,21,FALSE)</f>
        <v>79705701</v>
      </c>
      <c r="J241" s="31">
        <f>'PR 2025'!E239</f>
        <v>1</v>
      </c>
      <c r="K241" s="33" t="str">
        <f>'PR 2025'!F239</f>
        <v>BH</v>
      </c>
      <c r="L241" s="34">
        <f>'PR 2025'!T239</f>
        <v>45825</v>
      </c>
      <c r="M241" s="31" t="str">
        <f>'PR 2025'!AG239</f>
        <v>R</v>
      </c>
      <c r="N241" s="34">
        <f>VLOOKUP(C241,'GRS 2025'!$A$2:$AH$1992,4,FALSE)</f>
        <v>45834</v>
      </c>
      <c r="O241" s="69" t="str">
        <f>'PR 2025'!AJ239</f>
        <v>U/ PENAMBAHAN KARYAWAN BARU DI DEPT MTC GREY (HS CODE : 8471.60.40). ZEZEN</v>
      </c>
    </row>
    <row r="242" spans="1:15" x14ac:dyDescent="0.25">
      <c r="A242" s="22" t="str">
        <f t="shared" si="135"/>
        <v>5000012021108026775</v>
      </c>
      <c r="B242" s="22" t="str">
        <f t="shared" si="136"/>
        <v>5000012021797057015</v>
      </c>
      <c r="C242" s="22" t="str">
        <f t="shared" si="137"/>
        <v>500001202179705701</v>
      </c>
      <c r="D242" s="31">
        <v>239</v>
      </c>
      <c r="E242" s="31">
        <f>'PR 2025'!A240</f>
        <v>5</v>
      </c>
      <c r="F242" s="31">
        <f>'PR 2025'!B240</f>
        <v>5000012021</v>
      </c>
      <c r="G242" s="32" t="str">
        <f>'PR 2025'!C240</f>
        <v>KABEL VGA</v>
      </c>
      <c r="H242" s="31">
        <f>'PR 2025'!D240</f>
        <v>10802677</v>
      </c>
      <c r="I242" s="31">
        <f>VLOOKUP(A242,'PO 2025'!$A$2:$Y$1440,21,FALSE)</f>
        <v>79705701</v>
      </c>
      <c r="J242" s="31">
        <f>'PR 2025'!E240</f>
        <v>1</v>
      </c>
      <c r="K242" s="33" t="str">
        <f>'PR 2025'!F240</f>
        <v>BH</v>
      </c>
      <c r="L242" s="34">
        <f>'PR 2025'!T240</f>
        <v>45825</v>
      </c>
      <c r="M242" s="31" t="str">
        <f>'PR 2025'!AG240</f>
        <v>R</v>
      </c>
      <c r="N242" s="34">
        <f>VLOOKUP(C242,'GRS 2025'!$A$2:$AH$1992,4,FALSE)</f>
        <v>45834</v>
      </c>
      <c r="O242" s="69" t="str">
        <f>'PR 2025'!AJ240</f>
        <v>U/ PENAMBAHAN KARYAWAN BARU DI DEPT MTC GREY (HS CODE : 8544.20.31). ZEZEN</v>
      </c>
    </row>
    <row r="243" spans="1:15" x14ac:dyDescent="0.25">
      <c r="A243" s="22" t="str">
        <f t="shared" si="135"/>
        <v>5000011754108027341</v>
      </c>
      <c r="B243" s="22" t="str">
        <f t="shared" si="136"/>
        <v>5000011754797059461</v>
      </c>
      <c r="C243" s="22" t="str">
        <f t="shared" si="137"/>
        <v>500001175479705946</v>
      </c>
      <c r="D243" s="31">
        <v>240</v>
      </c>
      <c r="E243" s="31">
        <f>'PR 2025'!A241</f>
        <v>1</v>
      </c>
      <c r="F243" s="31">
        <f>'PR 2025'!B241</f>
        <v>5000011754</v>
      </c>
      <c r="G243" s="32" t="str">
        <f>'PR 2025'!C241</f>
        <v>MOUSE PAD</v>
      </c>
      <c r="H243" s="31">
        <f>'PR 2025'!D241</f>
        <v>10802734</v>
      </c>
      <c r="I243" s="31">
        <f>VLOOKUP(A243,'PO 2025'!$A$2:$Y$1440,21,FALSE)</f>
        <v>79705946</v>
      </c>
      <c r="J243" s="31">
        <f>'PR 2025'!E241</f>
        <v>6</v>
      </c>
      <c r="K243" s="33" t="str">
        <f>'PR 2025'!F241</f>
        <v>BH</v>
      </c>
      <c r="L243" s="34">
        <f>'PR 2025'!T241</f>
        <v>45828</v>
      </c>
      <c r="M243" s="31" t="str">
        <f>'PR 2025'!AG241</f>
        <v>R</v>
      </c>
      <c r="N243" s="34">
        <f>VLOOKUP(C243,'GRS 2025'!$A$2:$AH$1992,4,FALSE)</f>
        <v>45840</v>
      </c>
      <c r="O243" s="69" t="str">
        <f>'PR 2025'!AJ241</f>
        <v>U/ BAGIAN OD &amp; TM (HS CODE : 8471.60.40). GINA</v>
      </c>
    </row>
    <row r="244" spans="1:15" x14ac:dyDescent="0.25">
      <c r="A244" s="22" t="str">
        <f t="shared" ref="A244:A245" si="138">F244&amp;H244&amp;E244</f>
        <v>5000013499108027342</v>
      </c>
      <c r="B244" s="22" t="str">
        <f t="shared" ref="B244:B245" si="139">F244&amp;I244&amp;E244</f>
        <v>5000013499797059452</v>
      </c>
      <c r="C244" s="22" t="str">
        <f t="shared" ref="C244:C245" si="140">F244&amp;I244</f>
        <v>500001349979705945</v>
      </c>
      <c r="D244" s="31">
        <v>241</v>
      </c>
      <c r="E244" s="31">
        <f>'PR 2025'!A242</f>
        <v>2</v>
      </c>
      <c r="F244" s="31">
        <f>'PR 2025'!B242</f>
        <v>5000013499</v>
      </c>
      <c r="G244" s="32" t="str">
        <f>'PR 2025'!C242</f>
        <v>KX-TS505SLT (PESAWAT TELEPHONE )</v>
      </c>
      <c r="H244" s="31">
        <f>'PR 2025'!D242</f>
        <v>10802734</v>
      </c>
      <c r="I244" s="31">
        <f>VLOOKUP(A244,'PO 2025'!$A$2:$Y$1440,21,FALSE)</f>
        <v>79705945</v>
      </c>
      <c r="J244" s="31">
        <f>'PR 2025'!E242</f>
        <v>1</v>
      </c>
      <c r="K244" s="33" t="str">
        <f>'PR 2025'!F242</f>
        <v>UNT</v>
      </c>
      <c r="L244" s="34">
        <f>'PR 2025'!T242</f>
        <v>45828</v>
      </c>
      <c r="M244" s="31" t="str">
        <f>'PR 2025'!AG242</f>
        <v>R</v>
      </c>
      <c r="N244" s="34">
        <f>VLOOKUP(C244,'GRS 2025'!$A$2:$AH$1992,4,FALSE)</f>
        <v>45843</v>
      </c>
      <c r="O244" s="69" t="str">
        <f>'PR 2025'!AJ242</f>
        <v>U/ MENGGANTI YANG RUSAK DI BAGIAN BEA CUKAI (HS CODE : 8517.14.00). DESSY</v>
      </c>
    </row>
    <row r="245" spans="1:15" x14ac:dyDescent="0.25">
      <c r="A245" s="22" t="str">
        <f t="shared" si="138"/>
        <v>5000016255108027343</v>
      </c>
      <c r="B245" s="22" t="str">
        <f t="shared" si="139"/>
        <v>5000016255797059453</v>
      </c>
      <c r="C245" s="22" t="str">
        <f t="shared" si="140"/>
        <v>500001625579705945</v>
      </c>
      <c r="D245" s="31">
        <v>242</v>
      </c>
      <c r="E245" s="31">
        <f>'PR 2025'!A243</f>
        <v>3</v>
      </c>
      <c r="F245" s="31">
        <f>'PR 2025'!B243</f>
        <v>5000016255</v>
      </c>
      <c r="G245" s="32" t="str">
        <f>'PR 2025'!C243</f>
        <v>SSD SATA 256GB</v>
      </c>
      <c r="H245" s="31">
        <f>'PR 2025'!D243</f>
        <v>10802734</v>
      </c>
      <c r="I245" s="31">
        <f>VLOOKUP(A245,'PO 2025'!$A$2:$Y$1440,21,FALSE)</f>
        <v>79705945</v>
      </c>
      <c r="J245" s="31">
        <f>'PR 2025'!E243</f>
        <v>1</v>
      </c>
      <c r="K245" s="33" t="str">
        <f>'PR 2025'!F243</f>
        <v>BH</v>
      </c>
      <c r="L245" s="34">
        <f>'PR 2025'!T243</f>
        <v>45828</v>
      </c>
      <c r="M245" s="31" t="str">
        <f>'PR 2025'!AG243</f>
        <v>R</v>
      </c>
      <c r="N245" s="34">
        <f>VLOOKUP(C245,'GRS 2025'!$A$2:$AH$1992,4,FALSE)</f>
        <v>45843</v>
      </c>
      <c r="O245" s="69" t="str">
        <f>'PR 2025'!AJ243</f>
        <v>U/ MENGGANTI YANG RUSAK DI BAGIAN ERP (HS CODE : 8471.50.90). WELI</v>
      </c>
    </row>
    <row r="246" spans="1:15" x14ac:dyDescent="0.25">
      <c r="A246" s="22" t="str">
        <f t="shared" ref="A246:A251" si="141">F246&amp;H246&amp;E246</f>
        <v>5000011960108027821</v>
      </c>
      <c r="B246" s="22" t="str">
        <f t="shared" ref="B246:B251" si="142">F246&amp;I246&amp;E246</f>
        <v>5000011960797058571</v>
      </c>
      <c r="C246" s="22" t="str">
        <f t="shared" ref="C246:C251" si="143">F246&amp;I246</f>
        <v>500001196079705857</v>
      </c>
      <c r="D246" s="31">
        <v>243</v>
      </c>
      <c r="E246" s="31">
        <f>'PR 2025'!A244</f>
        <v>1</v>
      </c>
      <c r="F246" s="31">
        <f>'PR 2025'!B244</f>
        <v>5000011960</v>
      </c>
      <c r="G246" s="32" t="str">
        <f>'PR 2025'!C244</f>
        <v>BRACKET TV</v>
      </c>
      <c r="H246" s="31">
        <f>'PR 2025'!D244</f>
        <v>10802782</v>
      </c>
      <c r="I246" s="31">
        <f>VLOOKUP(A246,'PO 2025'!$A$2:$Y$1440,21,FALSE)</f>
        <v>79705857</v>
      </c>
      <c r="J246" s="31">
        <f>'PR 2025'!E244</f>
        <v>2</v>
      </c>
      <c r="K246" s="33" t="str">
        <f>'PR 2025'!F244</f>
        <v>BH</v>
      </c>
      <c r="L246" s="34">
        <f>'PR 2025'!T244</f>
        <v>45831</v>
      </c>
      <c r="M246" s="31" t="str">
        <f>'PR 2025'!AG244</f>
        <v>R</v>
      </c>
      <c r="N246" s="34">
        <f>VLOOKUP(C246,'GRS 2025'!$A$2:$AH$1992,4,FALSE)</f>
        <v>45838</v>
      </c>
      <c r="O246" s="69" t="str">
        <f>'PR 2025'!AJ244</f>
        <v>U/ RUANG MEETING FAT &amp; SHOWROOM 2 (HS CODE : 8714.99.91). GODAM</v>
      </c>
    </row>
    <row r="247" spans="1:15" x14ac:dyDescent="0.25">
      <c r="A247" s="22" t="str">
        <f t="shared" si="141"/>
        <v>5000016930108027822</v>
      </c>
      <c r="B247" s="22" t="str">
        <f t="shared" si="142"/>
        <v>5000016930797079832</v>
      </c>
      <c r="C247" s="22" t="str">
        <f t="shared" si="143"/>
        <v>500001693079707983</v>
      </c>
      <c r="D247" s="31">
        <v>244</v>
      </c>
      <c r="E247" s="31">
        <f>'PR 2025'!A245</f>
        <v>2</v>
      </c>
      <c r="F247" s="31">
        <f>'PR 2025'!B245</f>
        <v>5000016930</v>
      </c>
      <c r="G247" s="32" t="str">
        <f>'PR 2025'!C245</f>
        <v>PRINT SERVER</v>
      </c>
      <c r="H247" s="31">
        <f>'PR 2025'!D245</f>
        <v>10802782</v>
      </c>
      <c r="I247" s="31">
        <f>VLOOKUP(A247,'PO 2025'!$A$2:$Y$1440,21,FALSE)</f>
        <v>79707983</v>
      </c>
      <c r="J247" s="31">
        <f>'PR 2025'!E245</f>
        <v>1</v>
      </c>
      <c r="K247" s="33" t="str">
        <f>'PR 2025'!F245</f>
        <v>BH</v>
      </c>
      <c r="L247" s="34">
        <f>'PR 2025'!T245</f>
        <v>45831</v>
      </c>
      <c r="M247" s="31" t="str">
        <f>'PR 2025'!AG245</f>
        <v>R</v>
      </c>
      <c r="N247" s="34">
        <f>VLOOKUP(C247,'GRS 2025'!$A$2:$AH$1992,4,FALSE)</f>
        <v>45894</v>
      </c>
      <c r="O247" s="69" t="str">
        <f>'PR 2025'!AJ245</f>
        <v>U/ BAGIAN MTC PERSIAPAN LJ2 (HS CODE : 8517.79.10). ARINI</v>
      </c>
    </row>
    <row r="248" spans="1:15" x14ac:dyDescent="0.25">
      <c r="A248" s="22" t="str">
        <f t="shared" si="141"/>
        <v>5000017856108027823</v>
      </c>
      <c r="B248" s="22" t="str">
        <f t="shared" si="142"/>
        <v>5000017856797058573</v>
      </c>
      <c r="C248" s="22" t="str">
        <f t="shared" si="143"/>
        <v>500001785679705857</v>
      </c>
      <c r="D248" s="31">
        <v>245</v>
      </c>
      <c r="E248" s="31">
        <f>'PR 2025'!A246</f>
        <v>3</v>
      </c>
      <c r="F248" s="31">
        <f>'PR 2025'!B246</f>
        <v>5000017856</v>
      </c>
      <c r="G248" s="32" t="str">
        <f>'PR 2025'!C246</f>
        <v>MONITOR 75 INCH</v>
      </c>
      <c r="H248" s="31">
        <f>'PR 2025'!D246</f>
        <v>10802782</v>
      </c>
      <c r="I248" s="31">
        <f>VLOOKUP(A248,'PO 2025'!$A$2:$Y$1440,21,FALSE)</f>
        <v>79705857</v>
      </c>
      <c r="J248" s="31">
        <f>'PR 2025'!E246</f>
        <v>1</v>
      </c>
      <c r="K248" s="33" t="str">
        <f>'PR 2025'!F246</f>
        <v>UNT</v>
      </c>
      <c r="L248" s="34">
        <f>'PR 2025'!T246</f>
        <v>45831</v>
      </c>
      <c r="M248" s="31" t="str">
        <f>'PR 2025'!AG246</f>
        <v>R</v>
      </c>
      <c r="N248" s="34">
        <f>VLOOKUP(C248,'GRS 2025'!$A$2:$AH$1992,4,FALSE)</f>
        <v>45838</v>
      </c>
      <c r="O248" s="69" t="str">
        <f>'PR 2025'!AJ246</f>
        <v>U/ SHOWROOM 2 (HS CODE : 8528.52.00). GODAM</v>
      </c>
    </row>
    <row r="249" spans="1:15" x14ac:dyDescent="0.25">
      <c r="A249" s="22" t="str">
        <f t="shared" si="141"/>
        <v>5000017857108027824</v>
      </c>
      <c r="B249" s="22" t="str">
        <f t="shared" si="142"/>
        <v>5000017857797058574</v>
      </c>
      <c r="C249" s="22" t="str">
        <f t="shared" si="143"/>
        <v>500001785779705857</v>
      </c>
      <c r="D249" s="31">
        <v>246</v>
      </c>
      <c r="E249" s="31">
        <f>'PR 2025'!A247</f>
        <v>4</v>
      </c>
      <c r="F249" s="31">
        <f>'PR 2025'!B247</f>
        <v>5000017857</v>
      </c>
      <c r="G249" s="32" t="str">
        <f>'PR 2025'!C247</f>
        <v>MONITOR 85 INCH</v>
      </c>
      <c r="H249" s="31">
        <f>'PR 2025'!D247</f>
        <v>10802782</v>
      </c>
      <c r="I249" s="31">
        <f>VLOOKUP(A249,'PO 2025'!$A$2:$Y$1440,21,FALSE)</f>
        <v>79705857</v>
      </c>
      <c r="J249" s="31">
        <f>'PR 2025'!E247</f>
        <v>1</v>
      </c>
      <c r="K249" s="33" t="str">
        <f>'PR 2025'!F247</f>
        <v>UNT</v>
      </c>
      <c r="L249" s="34">
        <f>'PR 2025'!T247</f>
        <v>45831</v>
      </c>
      <c r="M249" s="31" t="str">
        <f>'PR 2025'!AG247</f>
        <v>R</v>
      </c>
      <c r="N249" s="34">
        <f>VLOOKUP(C249,'GRS 2025'!$A$2:$AH$1992,4,FALSE)</f>
        <v>45838</v>
      </c>
      <c r="O249" s="69" t="str">
        <f>'PR 2025'!AJ247</f>
        <v>U/ RUANG MEETING FAT (HS CODE : 8528.52.00). GODAM</v>
      </c>
    </row>
    <row r="250" spans="1:15" x14ac:dyDescent="0.25">
      <c r="A250" s="22" t="str">
        <f t="shared" si="141"/>
        <v>5000008929108027825</v>
      </c>
      <c r="B250" s="22" t="str">
        <f t="shared" si="142"/>
        <v>5000008929797059465</v>
      </c>
      <c r="C250" s="22" t="str">
        <f t="shared" si="143"/>
        <v>500000892979705946</v>
      </c>
      <c r="D250" s="31">
        <v>247</v>
      </c>
      <c r="E250" s="31">
        <f>'PR 2025'!A248</f>
        <v>5</v>
      </c>
      <c r="F250" s="31">
        <f>'PR 2025'!B248</f>
        <v>5000008929</v>
      </c>
      <c r="G250" s="32" t="str">
        <f>'PR 2025'!C248</f>
        <v>FAN PROCESSOR P4 LGA</v>
      </c>
      <c r="H250" s="31">
        <f>'PR 2025'!D248</f>
        <v>10802782</v>
      </c>
      <c r="I250" s="31">
        <f>VLOOKUP(A250,'PO 2025'!$A$2:$Y$1440,21,FALSE)</f>
        <v>79705946</v>
      </c>
      <c r="J250" s="31">
        <f>'PR 2025'!E248</f>
        <v>1</v>
      </c>
      <c r="K250" s="33" t="str">
        <f>'PR 2025'!F248</f>
        <v>BH</v>
      </c>
      <c r="L250" s="34">
        <f>'PR 2025'!T248</f>
        <v>45831</v>
      </c>
      <c r="M250" s="31" t="str">
        <f>'PR 2025'!AG248</f>
        <v>R</v>
      </c>
      <c r="N250" s="34">
        <f>VLOOKUP(C250,'GRS 2025'!$A$2:$AH$1992,4,FALSE)</f>
        <v>45840</v>
      </c>
      <c r="O250" s="69" t="str">
        <f>'PR 2025'!AJ248</f>
        <v>U/ BAGIAN MTC PERSIAPAN LJ3 (HS CODE : 8414.59.10). RICKY</v>
      </c>
    </row>
    <row r="251" spans="1:15" x14ac:dyDescent="0.25">
      <c r="A251" s="22" t="str">
        <f t="shared" si="141"/>
        <v>5000008843108027826</v>
      </c>
      <c r="B251" s="22" t="str">
        <f t="shared" si="142"/>
        <v>5000008843797059466</v>
      </c>
      <c r="C251" s="22" t="str">
        <f t="shared" si="143"/>
        <v>500000884379705946</v>
      </c>
      <c r="D251" s="31">
        <v>248</v>
      </c>
      <c r="E251" s="31">
        <f>'PR 2025'!A249</f>
        <v>6</v>
      </c>
      <c r="F251" s="31">
        <f>'PR 2025'!B249</f>
        <v>5000008843</v>
      </c>
      <c r="G251" s="32" t="str">
        <f>'PR 2025'!C249</f>
        <v>MONITOR LCD 19 INCH</v>
      </c>
      <c r="H251" s="31">
        <f>'PR 2025'!D249</f>
        <v>10802782</v>
      </c>
      <c r="I251" s="31">
        <f>VLOOKUP(A251,'PO 2025'!$A$2:$Y$1440,21,FALSE)</f>
        <v>79705946</v>
      </c>
      <c r="J251" s="31">
        <f>'PR 2025'!E249</f>
        <v>2</v>
      </c>
      <c r="K251" s="33" t="str">
        <f>'PR 2025'!F249</f>
        <v>UNT</v>
      </c>
      <c r="L251" s="34">
        <f>'PR 2025'!T249</f>
        <v>45832</v>
      </c>
      <c r="M251" s="31" t="str">
        <f>'PR 2025'!AG249</f>
        <v>R</v>
      </c>
      <c r="N251" s="34">
        <f>VLOOKUP(C251,'GRS 2025'!$A$2:$AH$1992,4,FALSE)</f>
        <v>45840</v>
      </c>
      <c r="O251" s="69" t="str">
        <f>'PR 2025'!AJ249</f>
        <v>U/ MENGGANTI YG RUSAK BAGIAN INSPECTING GREY (HS CODE : 8528.52.00). IWAN</v>
      </c>
    </row>
    <row r="252" spans="1:15" x14ac:dyDescent="0.25">
      <c r="A252" s="22" t="str">
        <f t="shared" ref="A252:A255" si="144">F252&amp;H252&amp;E252</f>
        <v>5000016255108028671</v>
      </c>
      <c r="B252" s="22" t="str">
        <f t="shared" ref="B252:B255" si="145">F252&amp;I252&amp;E252</f>
        <v>5000016255797062101</v>
      </c>
      <c r="C252" s="22" t="str">
        <f t="shared" ref="C252:C255" si="146">F252&amp;I252</f>
        <v>500001625579706210</v>
      </c>
      <c r="D252" s="31">
        <v>249</v>
      </c>
      <c r="E252" s="31">
        <f>'PR 2025'!A250</f>
        <v>1</v>
      </c>
      <c r="F252" s="31">
        <f>'PR 2025'!B250</f>
        <v>5000016255</v>
      </c>
      <c r="G252" s="32" t="str">
        <f>'PR 2025'!C250</f>
        <v>SSD SATA 256GB</v>
      </c>
      <c r="H252" s="31">
        <f>'PR 2025'!D250</f>
        <v>10802867</v>
      </c>
      <c r="I252" s="31">
        <f>VLOOKUP(A252,'PO 2025'!$A$2:$Y$1440,21,FALSE)</f>
        <v>79706210</v>
      </c>
      <c r="J252" s="31">
        <f>'PR 2025'!E250</f>
        <v>1</v>
      </c>
      <c r="K252" s="33" t="str">
        <f>'PR 2025'!F250</f>
        <v>BH</v>
      </c>
      <c r="L252" s="34">
        <f>'PR 2025'!T250</f>
        <v>45834</v>
      </c>
      <c r="M252" s="31" t="str">
        <f>'PR 2025'!AG250</f>
        <v>R</v>
      </c>
      <c r="N252" s="34">
        <f>VLOOKUP(C252,'GRS 2025'!$A$2:$AH$1992,4,FALSE)</f>
        <v>45848</v>
      </c>
      <c r="O252" s="69" t="str">
        <f>'PR 2025'!AJ250</f>
        <v>U/ MENGGANTI YG RUSAK BAGIAN PPC GREY (). VISAL</v>
      </c>
    </row>
    <row r="253" spans="1:15" x14ac:dyDescent="0.25">
      <c r="A253" s="22" t="str">
        <f t="shared" si="144"/>
        <v>5000000739108029651</v>
      </c>
      <c r="B253" s="22" t="str">
        <f t="shared" si="145"/>
        <v>5000000739797063051</v>
      </c>
      <c r="C253" s="22" t="str">
        <f t="shared" si="146"/>
        <v>500000073979706305</v>
      </c>
      <c r="D253" s="31">
        <v>250</v>
      </c>
      <c r="E253" s="31">
        <f>'PR 2025'!A251</f>
        <v>1</v>
      </c>
      <c r="F253" s="31">
        <f>'PR 2025'!B251</f>
        <v>5000000739</v>
      </c>
      <c r="G253" s="32" t="str">
        <f>'PR 2025'!C251</f>
        <v>KABEL UTP BELDEN</v>
      </c>
      <c r="H253" s="31">
        <f>'PR 2025'!D251</f>
        <v>10802965</v>
      </c>
      <c r="I253" s="31">
        <f>VLOOKUP(A253,'PO 2025'!$A$2:$Y$1440,21,FALSE)</f>
        <v>79706305</v>
      </c>
      <c r="J253" s="31">
        <f>'PR 2025'!E251</f>
        <v>1</v>
      </c>
      <c r="K253" s="33" t="str">
        <f>'PR 2025'!F251</f>
        <v>ROL</v>
      </c>
      <c r="L253" s="34">
        <f>'PR 2025'!T251</f>
        <v>45840</v>
      </c>
      <c r="M253" s="31" t="str">
        <f>'PR 2025'!AG251</f>
        <v>R</v>
      </c>
      <c r="N253" s="34">
        <f>VLOOKUP(C253,'GRS 2025'!$A$2:$AH$1992,4,FALSE)</f>
        <v>45847</v>
      </c>
      <c r="O253" s="69" t="str">
        <f>'PR 2025'!AJ251</f>
        <v>U/ UTILITY : AREA WTP LJ2, DAF &amp; IPAL (HS CODE : 8517.14.00). ERLIN</v>
      </c>
    </row>
    <row r="254" spans="1:15" ht="30" x14ac:dyDescent="0.25">
      <c r="A254" s="22" t="str">
        <f t="shared" si="144"/>
        <v>5000014291108029652</v>
      </c>
      <c r="B254" s="22" t="str">
        <f t="shared" si="145"/>
        <v>5000014291797062102</v>
      </c>
      <c r="C254" s="22" t="str">
        <f t="shared" si="146"/>
        <v>500001429179706210</v>
      </c>
      <c r="D254" s="31">
        <v>251</v>
      </c>
      <c r="E254" s="31">
        <f>'PR 2025'!A252</f>
        <v>2</v>
      </c>
      <c r="F254" s="31">
        <f>'PR 2025'!B252</f>
        <v>5000014291</v>
      </c>
      <c r="G254" s="32" t="str">
        <f>'PR 2025'!C252</f>
        <v>KABEL HDMI</v>
      </c>
      <c r="H254" s="31">
        <f>'PR 2025'!D252</f>
        <v>10802965</v>
      </c>
      <c r="I254" s="31">
        <f>VLOOKUP(A254,'PO 2025'!$A$2:$Y$1440,21,FALSE)</f>
        <v>79706210</v>
      </c>
      <c r="J254" s="31">
        <f>'PR 2025'!E252</f>
        <v>3</v>
      </c>
      <c r="K254" s="33" t="str">
        <f>'PR 2025'!F252</f>
        <v>PCS</v>
      </c>
      <c r="L254" s="34">
        <f>'PR 2025'!T252</f>
        <v>45840</v>
      </c>
      <c r="M254" s="31" t="str">
        <f>'PR 2025'!AG252</f>
        <v>R</v>
      </c>
      <c r="N254" s="34">
        <f>VLOOKUP(C254,'GRS 2025'!$A$2:$AH$1992,4,FALSE)</f>
        <v>45848</v>
      </c>
      <c r="O254" s="69" t="str">
        <f>'PR 2025'!AJ252</f>
        <v>UKURAN 5 METER, U/ BAGIAN UTILITY : MONITORING CCTV, RUANG MEETING FAT &amp; SHOWROOM 2 (HS CODE : 8544.20.31). ERLIN &amp; INSAN</v>
      </c>
    </row>
    <row r="255" spans="1:15" x14ac:dyDescent="0.25">
      <c r="A255" s="22" t="str">
        <f t="shared" si="144"/>
        <v>5000013499108029653</v>
      </c>
      <c r="B255" s="22" t="str">
        <f t="shared" si="145"/>
        <v>5000013499797062103</v>
      </c>
      <c r="C255" s="22" t="str">
        <f t="shared" si="146"/>
        <v>500001349979706210</v>
      </c>
      <c r="D255" s="31">
        <v>252</v>
      </c>
      <c r="E255" s="31">
        <f>'PR 2025'!A253</f>
        <v>3</v>
      </c>
      <c r="F255" s="31">
        <f>'PR 2025'!B253</f>
        <v>5000013499</v>
      </c>
      <c r="G255" s="32" t="str">
        <f>'PR 2025'!C253</f>
        <v>KX-TS505SLT (PESAWAT TELEPHONE )</v>
      </c>
      <c r="H255" s="31">
        <f>'PR 2025'!D253</f>
        <v>10802965</v>
      </c>
      <c r="I255" s="31">
        <f>VLOOKUP(A255,'PO 2025'!$A$2:$Y$1440,21,FALSE)</f>
        <v>79706210</v>
      </c>
      <c r="J255" s="31">
        <f>'PR 2025'!E253</f>
        <v>1</v>
      </c>
      <c r="K255" s="33" t="str">
        <f>'PR 2025'!F253</f>
        <v>UNT</v>
      </c>
      <c r="L255" s="34">
        <f>'PR 2025'!T253</f>
        <v>45840</v>
      </c>
      <c r="M255" s="31" t="str">
        <f>'PR 2025'!AG253</f>
        <v>R</v>
      </c>
      <c r="N255" s="34">
        <f>VLOOKUP(C255,'GRS 2025'!$A$2:$AH$1992,4,FALSE)</f>
        <v>45848</v>
      </c>
      <c r="O255" s="69" t="str">
        <f>'PR 2025'!AJ253</f>
        <v>U/ BAGIAN UTILITY (HS CODE : 8517.14.00). ERLIN</v>
      </c>
    </row>
    <row r="256" spans="1:15" x14ac:dyDescent="0.25">
      <c r="A256" s="22" t="str">
        <f t="shared" ref="A256:A257" si="147">F256&amp;H256&amp;E256</f>
        <v>5000009530108029861</v>
      </c>
      <c r="B256" s="22" t="str">
        <f t="shared" ref="B256:B257" si="148">F256&amp;I256&amp;E256</f>
        <v>5000009530797065831</v>
      </c>
      <c r="C256" s="22" t="str">
        <f t="shared" ref="C256:C257" si="149">F256&amp;I256</f>
        <v>500000953079706583</v>
      </c>
      <c r="D256" s="31">
        <v>253</v>
      </c>
      <c r="E256" s="31">
        <f>'PR 2025'!A254</f>
        <v>1</v>
      </c>
      <c r="F256" s="31">
        <f>'PR 2025'!B254</f>
        <v>5000009530</v>
      </c>
      <c r="G256" s="32" t="str">
        <f>'PR 2025'!C254</f>
        <v>PATCH CORD ST TO LC MM AMP</v>
      </c>
      <c r="H256" s="31">
        <f>'PR 2025'!D254</f>
        <v>10802986</v>
      </c>
      <c r="I256" s="31">
        <f>VLOOKUP(A256,'PO 2025'!$A$2:$Y$1440,21,FALSE)</f>
        <v>79706583</v>
      </c>
      <c r="J256" s="31">
        <f>'PR 2025'!E254</f>
        <v>1</v>
      </c>
      <c r="K256" s="33" t="str">
        <f>'PR 2025'!F254</f>
        <v>UNT</v>
      </c>
      <c r="L256" s="34">
        <f>'PR 2025'!T254</f>
        <v>45841</v>
      </c>
      <c r="M256" s="31" t="str">
        <f>'PR 2025'!AG254</f>
        <v>R</v>
      </c>
      <c r="N256" s="34">
        <f>VLOOKUP(C256,'GRS 2025'!$A$2:$AH$1992,4,FALSE)</f>
        <v>45870</v>
      </c>
      <c r="O256" s="69" t="str">
        <f>'PR 2025'!AJ254</f>
        <v>UKURAN 3 METER : U/ BAGIAN IT (HS CODE : 8544.49.49). ERDI</v>
      </c>
    </row>
    <row r="257" spans="1:15" x14ac:dyDescent="0.25">
      <c r="A257" s="22" t="str">
        <f t="shared" si="147"/>
        <v>5000013802108029862</v>
      </c>
      <c r="B257" s="22" t="str">
        <f t="shared" si="148"/>
        <v>5000013802797065832</v>
      </c>
      <c r="C257" s="22" t="str">
        <f t="shared" si="149"/>
        <v>500001380279706583</v>
      </c>
      <c r="D257" s="31">
        <v>254</v>
      </c>
      <c r="E257" s="31">
        <f>'PR 2025'!A255</f>
        <v>2</v>
      </c>
      <c r="F257" s="31">
        <f>'PR 2025'!B255</f>
        <v>5000013802</v>
      </c>
      <c r="G257" s="32" t="str">
        <f>'PR 2025'!C255</f>
        <v>MIKROBITS SFP TRANSCEIVER SFP-1G-ZR-SM</v>
      </c>
      <c r="H257" s="31">
        <f>'PR 2025'!D255</f>
        <v>10802986</v>
      </c>
      <c r="I257" s="31">
        <f>VLOOKUP(A257,'PO 2025'!$A$2:$Y$1440,21,FALSE)</f>
        <v>79706583</v>
      </c>
      <c r="J257" s="31">
        <f>'PR 2025'!E255</f>
        <v>1</v>
      </c>
      <c r="K257" s="33" t="str">
        <f>'PR 2025'!F255</f>
        <v>UNT</v>
      </c>
      <c r="L257" s="34">
        <f>'PR 2025'!T255</f>
        <v>45841</v>
      </c>
      <c r="M257" s="31" t="str">
        <f>'PR 2025'!AG255</f>
        <v>R</v>
      </c>
      <c r="N257" s="34">
        <f>VLOOKUP(C257,'GRS 2025'!$A$2:$AH$1992,4,FALSE)</f>
        <v>45870</v>
      </c>
      <c r="O257" s="69" t="str">
        <f>'PR 2025'!AJ255</f>
        <v>U/ BAGIAN IT. ERDI</v>
      </c>
    </row>
    <row r="258" spans="1:15" ht="30" x14ac:dyDescent="0.25">
      <c r="A258" s="22" t="str">
        <f t="shared" ref="A258" si="150">F258&amp;H258&amp;E258</f>
        <v>5000009730108030471</v>
      </c>
      <c r="B258" s="22" t="str">
        <f t="shared" ref="B258" si="151">F258&amp;I258&amp;E258</f>
        <v>5000009730797081991</v>
      </c>
      <c r="C258" s="22" t="str">
        <f t="shared" ref="C258" si="152">F258&amp;I258</f>
        <v>500000973079708199</v>
      </c>
      <c r="D258" s="31">
        <v>255</v>
      </c>
      <c r="E258" s="31">
        <f>'PR 2025'!A256</f>
        <v>1</v>
      </c>
      <c r="F258" s="31">
        <f>'PR 2025'!B256</f>
        <v>5000009730</v>
      </c>
      <c r="G258" s="32" t="str">
        <f>'PR 2025'!C256</f>
        <v>LAPTOP</v>
      </c>
      <c r="H258" s="31">
        <f>'PR 2025'!D256</f>
        <v>10803047</v>
      </c>
      <c r="I258" s="31">
        <f>VLOOKUP(A258,'PO 2025'!$A$2:$Y$1440,21,FALSE)</f>
        <v>79708199</v>
      </c>
      <c r="J258" s="31">
        <f>'PR 2025'!E256</f>
        <v>1</v>
      </c>
      <c r="K258" s="33" t="str">
        <f>'PR 2025'!F256</f>
        <v>UNT</v>
      </c>
      <c r="L258" s="34">
        <f>'PR 2025'!T256</f>
        <v>45845</v>
      </c>
      <c r="M258" s="31" t="str">
        <f>'PR 2025'!AG256</f>
        <v>R</v>
      </c>
      <c r="N258" s="34">
        <f>VLOOKUP(C258,'GRS 2025'!$A$2:$AH$1992,4,FALSE)</f>
        <v>45902</v>
      </c>
      <c r="O258" s="69" t="str">
        <f>'PR 2025'!AJ256</f>
        <v>SPESIFIKASI : CORE I5 &amp; FULL HD, U/ MENDUKUNG KONEKTIVITAS KE MONITOR 100" DI RUANG MEETING 234 (HS CODE : 8507.60.31). INSAN</v>
      </c>
    </row>
    <row r="259" spans="1:15" x14ac:dyDescent="0.25">
      <c r="A259" s="22" t="str">
        <f t="shared" ref="A259" si="153">F259&amp;H259&amp;E259</f>
        <v>5000016323108030791</v>
      </c>
      <c r="B259" s="22" t="str">
        <f t="shared" ref="B259" si="154">F259&amp;I259&amp;E259</f>
        <v>5000016323797065831</v>
      </c>
      <c r="C259" s="22" t="str">
        <f t="shared" ref="C259" si="155">F259&amp;I259</f>
        <v>500001632379706583</v>
      </c>
      <c r="D259" s="31">
        <v>256</v>
      </c>
      <c r="E259" s="31">
        <f>'PR 2025'!A257</f>
        <v>1</v>
      </c>
      <c r="F259" s="31">
        <f>'PR 2025'!B257</f>
        <v>5000016323</v>
      </c>
      <c r="G259" s="32" t="str">
        <f>'PR 2025'!C257</f>
        <v>I CONNECTOR RJ 45</v>
      </c>
      <c r="H259" s="31">
        <f>'PR 2025'!D257</f>
        <v>10803079</v>
      </c>
      <c r="I259" s="31">
        <f>VLOOKUP(A259,'PO 2025'!$A$2:$Y$1440,21,FALSE)</f>
        <v>79706583</v>
      </c>
      <c r="J259" s="31">
        <f>'PR 2025'!E257</f>
        <v>10</v>
      </c>
      <c r="K259" s="33" t="str">
        <f>'PR 2025'!F257</f>
        <v>BH</v>
      </c>
      <c r="L259" s="34">
        <f>'PR 2025'!T257</f>
        <v>45847</v>
      </c>
      <c r="M259" s="31" t="str">
        <f>'PR 2025'!AG257</f>
        <v>R</v>
      </c>
      <c r="N259" s="34">
        <f>VLOOKUP(C259,'GRS 2025'!$A$2:$AH$1992,4,FALSE)</f>
        <v>45870</v>
      </c>
      <c r="O259" s="69" t="str">
        <f>'PR 2025'!AJ257</f>
        <v>U/ BAGIAN IT (HS CODE : 8536.70.90). ERDI</v>
      </c>
    </row>
    <row r="260" spans="1:15" x14ac:dyDescent="0.25">
      <c r="A260" s="22" t="str">
        <f t="shared" ref="A260" si="156">F260&amp;H260&amp;E260</f>
        <v>5000016779108030792</v>
      </c>
      <c r="B260" s="22" t="str">
        <f t="shared" ref="B260" si="157">F260&amp;I260&amp;E260</f>
        <v>5000016779797064332</v>
      </c>
      <c r="C260" s="22" t="str">
        <f t="shared" ref="C260" si="158">F260&amp;I260</f>
        <v>500001677979706433</v>
      </c>
      <c r="D260" s="31">
        <v>257</v>
      </c>
      <c r="E260" s="31">
        <f>'PR 2025'!A258</f>
        <v>2</v>
      </c>
      <c r="F260" s="31">
        <f>'PR 2025'!B258</f>
        <v>5000016779</v>
      </c>
      <c r="G260" s="32" t="str">
        <f>'PR 2025'!C258</f>
        <v>SWITCH D-LINK 16 PORT</v>
      </c>
      <c r="H260" s="31">
        <f>'PR 2025'!D258</f>
        <v>10803079</v>
      </c>
      <c r="I260" s="31">
        <f>VLOOKUP(A260,'PO 2025'!$A$2:$Y$1440,21,FALSE)</f>
        <v>79706433</v>
      </c>
      <c r="J260" s="31">
        <f>'PR 2025'!E258</f>
        <v>1</v>
      </c>
      <c r="K260" s="33" t="str">
        <f>'PR 2025'!F258</f>
        <v>UNT</v>
      </c>
      <c r="L260" s="34">
        <f>'PR 2025'!T258</f>
        <v>45847</v>
      </c>
      <c r="M260" s="31" t="str">
        <f>'PR 2025'!AG258</f>
        <v>R</v>
      </c>
      <c r="N260" s="34">
        <f>VLOOKUP(C260,'GRS 2025'!$A$2:$AH$1992,4,FALSE)</f>
        <v>45850</v>
      </c>
      <c r="O260" s="69" t="str">
        <f>'PR 2025'!AJ258</f>
        <v>URGENT : U/ AREA BEA CUKAI (HS CODE : 8517.79.10). TIO</v>
      </c>
    </row>
    <row r="261" spans="1:15" x14ac:dyDescent="0.25">
      <c r="A261" s="22" t="str">
        <f t="shared" ref="A261:A262" si="159">F261&amp;H261&amp;E261</f>
        <v>5000008242108030793</v>
      </c>
      <c r="B261" s="22" t="str">
        <f t="shared" ref="B261:B262" si="160">F261&amp;I261&amp;E261</f>
        <v>5000008242797065723</v>
      </c>
      <c r="C261" s="22" t="str">
        <f t="shared" ref="C261:C262" si="161">F261&amp;I261</f>
        <v>500000824279706572</v>
      </c>
      <c r="D261" s="31">
        <v>258</v>
      </c>
      <c r="E261" s="31">
        <f>'PR 2025'!A259</f>
        <v>3</v>
      </c>
      <c r="F261" s="31">
        <f>'PR 2025'!B259</f>
        <v>5000008242</v>
      </c>
      <c r="G261" s="32" t="str">
        <f>'PR 2025'!C259</f>
        <v>USB LAN</v>
      </c>
      <c r="H261" s="31">
        <f>'PR 2025'!D259</f>
        <v>10803079</v>
      </c>
      <c r="I261" s="31">
        <f>VLOOKUP(A261,'PO 2025'!$A$2:$Y$1440,21,FALSE)</f>
        <v>79706572</v>
      </c>
      <c r="J261" s="31">
        <f>'PR 2025'!E259</f>
        <v>1</v>
      </c>
      <c r="K261" s="33" t="str">
        <f>'PR 2025'!F259</f>
        <v>PCS</v>
      </c>
      <c r="L261" s="34">
        <f>'PR 2025'!T259</f>
        <v>45847</v>
      </c>
      <c r="M261" s="31" t="str">
        <f>'PR 2025'!AG259</f>
        <v>R</v>
      </c>
      <c r="N261" s="34">
        <f>VLOOKUP(C261,'GRS 2025'!$A$2:$AH$1992,4,FALSE)</f>
        <v>45856</v>
      </c>
      <c r="O261" s="69" t="str">
        <f>'PR 2025'!AJ259</f>
        <v>U/ BAGIAN IT (HS CODE : 8454.10.00). RICKY</v>
      </c>
    </row>
    <row r="262" spans="1:15" ht="30" x14ac:dyDescent="0.25">
      <c r="A262" s="22" t="str">
        <f t="shared" si="159"/>
        <v>5000004248108031281</v>
      </c>
      <c r="B262" s="22" t="str">
        <f t="shared" si="160"/>
        <v>5000004248797065721</v>
      </c>
      <c r="C262" s="22" t="str">
        <f t="shared" si="161"/>
        <v>500000424879706572</v>
      </c>
      <c r="D262" s="31">
        <v>259</v>
      </c>
      <c r="E262" s="31">
        <f>'PR 2025'!A260</f>
        <v>1</v>
      </c>
      <c r="F262" s="31">
        <f>'PR 2025'!B260</f>
        <v>5000004248</v>
      </c>
      <c r="G262" s="32" t="str">
        <f>'PR 2025'!C260</f>
        <v>MOUSE USB</v>
      </c>
      <c r="H262" s="31">
        <f>'PR 2025'!D260</f>
        <v>10803128</v>
      </c>
      <c r="I262" s="31">
        <f>VLOOKUP(A262,'PO 2025'!$A$2:$Y$1440,21,FALSE)</f>
        <v>79706572</v>
      </c>
      <c r="J262" s="31">
        <f>'PR 2025'!E260</f>
        <v>12</v>
      </c>
      <c r="K262" s="33" t="str">
        <f>'PR 2025'!F260</f>
        <v>BH</v>
      </c>
      <c r="L262" s="34">
        <f>'PR 2025'!T260</f>
        <v>45848</v>
      </c>
      <c r="M262" s="31" t="str">
        <f>'PR 2025'!AG260</f>
        <v>R</v>
      </c>
      <c r="N262" s="34">
        <f>VLOOKUP(C262,'GRS 2025'!$A$2:$AH$1992,4,FALSE)</f>
        <v>45856</v>
      </c>
      <c r="O262" s="69" t="str">
        <f>'PR 2025'!AJ260</f>
        <v>U/ BAGIAN GUDANG PACKING (2), COST ACCOUNTING (2), QA (1), PPC PROCCESING (1), UTILITY (2), MTC PERSIAPAN (1), FINAL (1), PPC GREY (1) DAN PROCCESSING DF (1) (HS CODE : 8471.60.40). ALI</v>
      </c>
    </row>
    <row r="263" spans="1:15" x14ac:dyDescent="0.25">
      <c r="A263" s="22" t="str">
        <f t="shared" ref="A263" si="162">F263&amp;H263&amp;E263</f>
        <v>5000005340108031661</v>
      </c>
      <c r="B263" s="22" t="str">
        <f t="shared" ref="B263" si="163">F263&amp;I263&amp;E263</f>
        <v>5000005340797066201</v>
      </c>
      <c r="C263" s="22" t="str">
        <f t="shared" ref="C263" si="164">F263&amp;I263</f>
        <v>500000534079706620</v>
      </c>
      <c r="D263" s="31">
        <v>260</v>
      </c>
      <c r="E263" s="31">
        <f>'PR 2025'!A261</f>
        <v>1</v>
      </c>
      <c r="F263" s="31">
        <f>'PR 2025'!B261</f>
        <v>5000005340</v>
      </c>
      <c r="G263" s="32" t="str">
        <f>'PR 2025'!C261</f>
        <v>POWER SUPLY ATX 450 WATT</v>
      </c>
      <c r="H263" s="31">
        <f>'PR 2025'!D261</f>
        <v>10803166</v>
      </c>
      <c r="I263" s="31">
        <f>VLOOKUP(A263,'PO 2025'!$A$2:$Y$1440,21,FALSE)</f>
        <v>79706620</v>
      </c>
      <c r="J263" s="31">
        <f>'PR 2025'!E261</f>
        <v>3</v>
      </c>
      <c r="K263" s="33" t="str">
        <f>'PR 2025'!F261</f>
        <v>UNT</v>
      </c>
      <c r="L263" s="34">
        <f>'PR 2025'!T261</f>
        <v>45852</v>
      </c>
      <c r="M263" s="31" t="str">
        <f>'PR 2025'!AG261</f>
        <v>R</v>
      </c>
      <c r="N263" s="34">
        <f>VLOOKUP(C263,'GRS 2025'!$A$2:$AH$1992,4,FALSE)</f>
        <v>45856</v>
      </c>
      <c r="O263" s="69" t="str">
        <f>'PR 2025'!AJ261</f>
        <v>U/ BAGIAN MTC PERSIAPAN LJ3, DF LJ1 &amp; GD PACKING (HS CODE : 8414.59.10). RICKY</v>
      </c>
    </row>
    <row r="264" spans="1:15" x14ac:dyDescent="0.25">
      <c r="A264" s="22" t="str">
        <f t="shared" ref="A264:A265" si="165">F264&amp;H264&amp;E264</f>
        <v>5000016375108032171</v>
      </c>
      <c r="B264" s="22" t="str">
        <f t="shared" ref="B264:B265" si="166">F264&amp;I264&amp;E264</f>
        <v>5000016375797066221</v>
      </c>
      <c r="C264" s="22" t="str">
        <f t="shared" ref="C264:C265" si="167">F264&amp;I264</f>
        <v>500001637579706622</v>
      </c>
      <c r="D264" s="31">
        <v>261</v>
      </c>
      <c r="E264" s="31">
        <f>'PR 2025'!A262</f>
        <v>1</v>
      </c>
      <c r="F264" s="31">
        <f>'PR 2025'!B262</f>
        <v>5000016375</v>
      </c>
      <c r="G264" s="32" t="str">
        <f>'PR 2025'!C262</f>
        <v>PRINTER EPSON l3210</v>
      </c>
      <c r="H264" s="31">
        <f>'PR 2025'!D262</f>
        <v>10803217</v>
      </c>
      <c r="I264" s="31">
        <f>VLOOKUP(A264,'PO 2025'!$A$2:$Y$1440,21,FALSE)</f>
        <v>79706622</v>
      </c>
      <c r="J264" s="31">
        <f>'PR 2025'!E262</f>
        <v>1</v>
      </c>
      <c r="K264" s="33" t="str">
        <f>'PR 2025'!F262</f>
        <v>UNT</v>
      </c>
      <c r="L264" s="34">
        <f>'PR 2025'!T262</f>
        <v>45853</v>
      </c>
      <c r="M264" s="31" t="str">
        <f>'PR 2025'!AG262</f>
        <v>R</v>
      </c>
      <c r="N264" s="34">
        <f>VLOOKUP(C264,'GRS 2025'!$A$2:$AH$1992,4,FALSE)</f>
        <v>45856</v>
      </c>
      <c r="O264" s="69" t="str">
        <f>'PR 2025'!AJ262</f>
        <v>URGENT : U/ BAGIAN LABORATORIUM (HS CODE : 8443.31.11). TONY</v>
      </c>
    </row>
    <row r="265" spans="1:15" x14ac:dyDescent="0.25">
      <c r="A265" s="22" t="str">
        <f t="shared" si="165"/>
        <v>5000014291108032461</v>
      </c>
      <c r="B265" s="22" t="str">
        <f t="shared" si="166"/>
        <v>5000014291797068271</v>
      </c>
      <c r="C265" s="22" t="str">
        <f t="shared" si="167"/>
        <v>500001429179706827</v>
      </c>
      <c r="D265" s="31">
        <v>262</v>
      </c>
      <c r="E265" s="31">
        <f>'PR 2025'!A263</f>
        <v>1</v>
      </c>
      <c r="F265" s="31">
        <f>'PR 2025'!B263</f>
        <v>5000014291</v>
      </c>
      <c r="G265" s="32" t="str">
        <f>'PR 2025'!C263</f>
        <v>KABEL HDMI</v>
      </c>
      <c r="H265" s="31">
        <f>'PR 2025'!D263</f>
        <v>10803246</v>
      </c>
      <c r="I265" s="31">
        <f>VLOOKUP(A265,'PO 2025'!$A$2:$Y$1440,21,FALSE)</f>
        <v>79706827</v>
      </c>
      <c r="J265" s="31">
        <f>'PR 2025'!E263</f>
        <v>1</v>
      </c>
      <c r="K265" s="33" t="str">
        <f>'PR 2025'!F263</f>
        <v>PCS</v>
      </c>
      <c r="L265" s="34">
        <f>'PR 2025'!T263</f>
        <v>45854</v>
      </c>
      <c r="M265" s="31" t="str">
        <f>'PR 2025'!AG263</f>
        <v>R</v>
      </c>
      <c r="N265" s="34">
        <f>VLOOKUP(C265,'GRS 2025'!$A$2:$AH$1992,4,FALSE)</f>
        <v>45870</v>
      </c>
      <c r="O265" s="69" t="str">
        <f>'PR 2025'!AJ263</f>
        <v>ORDER UKURAN 10 METER, U/ RUANG MEETING 234 (HS CODE : 8544.20.31). INSAN</v>
      </c>
    </row>
    <row r="266" spans="1:15" x14ac:dyDescent="0.25">
      <c r="A266" s="22" t="str">
        <f t="shared" ref="A266:A271" si="168">F266&amp;H266&amp;E266</f>
        <v>5000008843108032601</v>
      </c>
      <c r="B266" s="22" t="str">
        <f t="shared" ref="B266:B271" si="169">F266&amp;I266&amp;E266</f>
        <v>5000008843797068281</v>
      </c>
      <c r="C266" s="22" t="str">
        <f t="shared" ref="C266:C271" si="170">F266&amp;I266</f>
        <v>500000884379706828</v>
      </c>
      <c r="D266" s="31">
        <v>263</v>
      </c>
      <c r="E266" s="31">
        <f>'PR 2025'!A264</f>
        <v>1</v>
      </c>
      <c r="F266" s="31">
        <f>'PR 2025'!B264</f>
        <v>5000008843</v>
      </c>
      <c r="G266" s="32" t="str">
        <f>'PR 2025'!C264</f>
        <v>MONITOR LCD 19 INCH</v>
      </c>
      <c r="H266" s="31">
        <f>'PR 2025'!D264</f>
        <v>10803260</v>
      </c>
      <c r="I266" s="31">
        <f>VLOOKUP(A266,'PO 2025'!$A$2:$Y$1440,21,FALSE)</f>
        <v>79706828</v>
      </c>
      <c r="J266" s="31">
        <f>'PR 2025'!E264</f>
        <v>1</v>
      </c>
      <c r="K266" s="33" t="str">
        <f>'PR 2025'!F264</f>
        <v>UNT</v>
      </c>
      <c r="L266" s="34">
        <f>'PR 2025'!T264</f>
        <v>45855</v>
      </c>
      <c r="M266" s="31" t="str">
        <f>'PR 2025'!AG264</f>
        <v>R</v>
      </c>
      <c r="N266" s="34">
        <f>VLOOKUP(C266,'GRS 2025'!$A$2:$AH$1992,4,FALSE)</f>
        <v>45863</v>
      </c>
      <c r="O266" s="69" t="str">
        <f>'PR 2025'!AJ264</f>
        <v>U/ BAGIAN UTILITY : MENGGANTI YG RUSAK DI AREA COMPRESSOR LJ3. ERLIN</v>
      </c>
    </row>
    <row r="267" spans="1:15" x14ac:dyDescent="0.25">
      <c r="A267" s="22" t="str">
        <f t="shared" si="168"/>
        <v>5000016308108032602</v>
      </c>
      <c r="B267" s="22" t="str">
        <f t="shared" si="169"/>
        <v>5000016308797068272</v>
      </c>
      <c r="C267" s="22" t="str">
        <f t="shared" si="170"/>
        <v>500001630879706827</v>
      </c>
      <c r="D267" s="31">
        <v>264</v>
      </c>
      <c r="E267" s="31">
        <f>'PR 2025'!A265</f>
        <v>2</v>
      </c>
      <c r="F267" s="31">
        <f>'PR 2025'!B265</f>
        <v>5000016308</v>
      </c>
      <c r="G267" s="32" t="str">
        <f>'PR 2025'!C265</f>
        <v>CPU BUILDUP</v>
      </c>
      <c r="H267" s="31">
        <f>'PR 2025'!D265</f>
        <v>10803260</v>
      </c>
      <c r="I267" s="31">
        <f>VLOOKUP(A267,'PO 2025'!$A$2:$Y$1440,21,FALSE)</f>
        <v>79706827</v>
      </c>
      <c r="J267" s="31">
        <f>'PR 2025'!E265</f>
        <v>1</v>
      </c>
      <c r="K267" s="33" t="str">
        <f>'PR 2025'!F265</f>
        <v>UNT</v>
      </c>
      <c r="L267" s="34">
        <f>'PR 2025'!T265</f>
        <v>45855</v>
      </c>
      <c r="M267" s="31" t="str">
        <f>'PR 2025'!AG265</f>
        <v>R</v>
      </c>
      <c r="N267" s="34">
        <f>VLOOKUP(C267,'GRS 2025'!$A$2:$AH$1992,4,FALSE)</f>
        <v>45870</v>
      </c>
      <c r="O267" s="69" t="str">
        <f>'PR 2025'!AJ265</f>
        <v>U/ BAGIAN UTILITY : MENGGANTI YG RUSAK DI AREA COMPRESSOR LJ3. ERLIN</v>
      </c>
    </row>
    <row r="268" spans="1:15" x14ac:dyDescent="0.25">
      <c r="A268" s="22" t="str">
        <f t="shared" si="168"/>
        <v>5000008843108033011</v>
      </c>
      <c r="B268" s="22" t="str">
        <f t="shared" si="169"/>
        <v>5000008843797068511</v>
      </c>
      <c r="C268" s="22" t="str">
        <f t="shared" si="170"/>
        <v>500000884379706851</v>
      </c>
      <c r="D268" s="31">
        <v>265</v>
      </c>
      <c r="E268" s="31">
        <f>'PR 2025'!A266</f>
        <v>1</v>
      </c>
      <c r="F268" s="31">
        <f>'PR 2025'!B266</f>
        <v>5000008843</v>
      </c>
      <c r="G268" s="32" t="str">
        <f>'PR 2025'!C266</f>
        <v>MONITOR LCD 19 INCH</v>
      </c>
      <c r="H268" s="31">
        <f>'PR 2025'!D266</f>
        <v>10803301</v>
      </c>
      <c r="I268" s="31">
        <f>VLOOKUP(A268,'PO 2025'!$A$2:$Y$1440,21,FALSE)</f>
        <v>79706851</v>
      </c>
      <c r="J268" s="31">
        <f>'PR 2025'!E266</f>
        <v>1</v>
      </c>
      <c r="K268" s="33" t="str">
        <f>'PR 2025'!F266</f>
        <v>UNT</v>
      </c>
      <c r="L268" s="34">
        <f>'PR 2025'!T266</f>
        <v>45856</v>
      </c>
      <c r="M268" s="31" t="str">
        <f>'PR 2025'!AG266</f>
        <v>R</v>
      </c>
      <c r="N268" s="34">
        <f>VLOOKUP(C268,'GRS 2025'!$A$2:$AH$1992,4,FALSE)</f>
        <v>45863</v>
      </c>
      <c r="O268" s="69" t="str">
        <f>'PR 2025'!AJ266</f>
        <v>U/ WAKABAG BARU DI BAGIAN GD PACKING (HS CODE : 8528.52.00). SUBHAN</v>
      </c>
    </row>
    <row r="269" spans="1:15" x14ac:dyDescent="0.25">
      <c r="A269" s="22" t="str">
        <f t="shared" si="168"/>
        <v>5000005059108033012</v>
      </c>
      <c r="B269" s="22" t="str">
        <f t="shared" si="169"/>
        <v>5000005059797068512</v>
      </c>
      <c r="C269" s="22" t="str">
        <f t="shared" si="170"/>
        <v>500000505979706851</v>
      </c>
      <c r="D269" s="31">
        <v>266</v>
      </c>
      <c r="E269" s="31">
        <f>'PR 2025'!A267</f>
        <v>2</v>
      </c>
      <c r="F269" s="31">
        <f>'PR 2025'!B267</f>
        <v>5000005059</v>
      </c>
      <c r="G269" s="32" t="str">
        <f>'PR 2025'!C267</f>
        <v>KEYBOARD USB</v>
      </c>
      <c r="H269" s="31">
        <f>'PR 2025'!D267</f>
        <v>10803301</v>
      </c>
      <c r="I269" s="31">
        <f>VLOOKUP(A269,'PO 2025'!$A$2:$Y$1440,21,FALSE)</f>
        <v>79706851</v>
      </c>
      <c r="J269" s="31">
        <f>'PR 2025'!E267</f>
        <v>1</v>
      </c>
      <c r="K269" s="33" t="str">
        <f>'PR 2025'!F267</f>
        <v>BH</v>
      </c>
      <c r="L269" s="34">
        <f>'PR 2025'!T267</f>
        <v>45856</v>
      </c>
      <c r="M269" s="31" t="str">
        <f>'PR 2025'!AG267</f>
        <v>R</v>
      </c>
      <c r="N269" s="34">
        <f>VLOOKUP(C269,'GRS 2025'!$A$2:$AH$1992,4,FALSE)</f>
        <v>45863</v>
      </c>
      <c r="O269" s="69" t="str">
        <f>'PR 2025'!AJ267</f>
        <v>U/ WAKABAG BARU DI BAGIAN GD PACKING (HS CODE : 8471.60.30). SUBHAN</v>
      </c>
    </row>
    <row r="270" spans="1:15" x14ac:dyDescent="0.25">
      <c r="A270" s="22" t="str">
        <f t="shared" si="168"/>
        <v>5000004248108033013</v>
      </c>
      <c r="B270" s="22" t="str">
        <f t="shared" si="169"/>
        <v>5000004248797068513</v>
      </c>
      <c r="C270" s="22" t="str">
        <f t="shared" si="170"/>
        <v>500000424879706851</v>
      </c>
      <c r="D270" s="31">
        <v>267</v>
      </c>
      <c r="E270" s="31">
        <f>'PR 2025'!A268</f>
        <v>3</v>
      </c>
      <c r="F270" s="31">
        <f>'PR 2025'!B268</f>
        <v>5000004248</v>
      </c>
      <c r="G270" s="32" t="str">
        <f>'PR 2025'!C268</f>
        <v>MOUSE USB</v>
      </c>
      <c r="H270" s="31">
        <f>'PR 2025'!D268</f>
        <v>10803301</v>
      </c>
      <c r="I270" s="31">
        <f>VLOOKUP(A270,'PO 2025'!$A$2:$Y$1440,21,FALSE)</f>
        <v>79706851</v>
      </c>
      <c r="J270" s="31">
        <f>'PR 2025'!E268</f>
        <v>1</v>
      </c>
      <c r="K270" s="33" t="str">
        <f>'PR 2025'!F268</f>
        <v>BH</v>
      </c>
      <c r="L270" s="34">
        <f>'PR 2025'!T268</f>
        <v>45856</v>
      </c>
      <c r="M270" s="31" t="str">
        <f>'PR 2025'!AG268</f>
        <v>R</v>
      </c>
      <c r="N270" s="34">
        <f>VLOOKUP(C270,'GRS 2025'!$A$2:$AH$1992,4,FALSE)</f>
        <v>45863</v>
      </c>
      <c r="O270" s="69" t="str">
        <f>'PR 2025'!AJ268</f>
        <v>U/ WAKABAG BARU DI BAGIAN GD PACKING (HS CODE : 8471.60.40). SUBHAN</v>
      </c>
    </row>
    <row r="271" spans="1:15" x14ac:dyDescent="0.25">
      <c r="A271" s="22" t="str">
        <f t="shared" si="168"/>
        <v>5000012021108033014</v>
      </c>
      <c r="B271" s="22" t="str">
        <f t="shared" si="169"/>
        <v>5000012021797068514</v>
      </c>
      <c r="C271" s="22" t="str">
        <f t="shared" si="170"/>
        <v>500001202179706851</v>
      </c>
      <c r="D271" s="31">
        <v>268</v>
      </c>
      <c r="E271" s="31">
        <f>'PR 2025'!A269</f>
        <v>4</v>
      </c>
      <c r="F271" s="31">
        <f>'PR 2025'!B269</f>
        <v>5000012021</v>
      </c>
      <c r="G271" s="32" t="str">
        <f>'PR 2025'!C269</f>
        <v>KABEL VGA</v>
      </c>
      <c r="H271" s="31">
        <f>'PR 2025'!D269</f>
        <v>10803301</v>
      </c>
      <c r="I271" s="31">
        <f>VLOOKUP(A271,'PO 2025'!$A$2:$Y$1440,21,FALSE)</f>
        <v>79706851</v>
      </c>
      <c r="J271" s="31">
        <f>'PR 2025'!E269</f>
        <v>1</v>
      </c>
      <c r="K271" s="33" t="str">
        <f>'PR 2025'!F269</f>
        <v>BH</v>
      </c>
      <c r="L271" s="34">
        <f>'PR 2025'!T269</f>
        <v>45859</v>
      </c>
      <c r="M271" s="31" t="str">
        <f>'PR 2025'!AG269</f>
        <v>R</v>
      </c>
      <c r="N271" s="34">
        <f>VLOOKUP(C271,'GRS 2025'!$A$2:$AH$1992,4,FALSE)</f>
        <v>45863</v>
      </c>
      <c r="O271" s="69" t="str">
        <f>'PR 2025'!AJ269</f>
        <v>U/ WAKABAG BARU DI BAGIAN GD PACKING (HS CODE : 8544.20.31). SUBHAN</v>
      </c>
    </row>
    <row r="272" spans="1:15" x14ac:dyDescent="0.25">
      <c r="A272" s="22" t="str">
        <f t="shared" ref="A272:A273" si="171">F272&amp;H272&amp;E272</f>
        <v>5000017082108033621</v>
      </c>
      <c r="B272" s="22" t="str">
        <f t="shared" ref="B272:B273" si="172">F272&amp;I272&amp;E272</f>
        <v>5000017082797070031</v>
      </c>
      <c r="C272" s="22" t="str">
        <f t="shared" ref="C272:C273" si="173">F272&amp;I272</f>
        <v>500001708279707003</v>
      </c>
      <c r="D272" s="31">
        <v>269</v>
      </c>
      <c r="E272" s="31">
        <f>'PR 2025'!A270</f>
        <v>1</v>
      </c>
      <c r="F272" s="31">
        <f>'PR 2025'!B270</f>
        <v>5000017082</v>
      </c>
      <c r="G272" s="32" t="str">
        <f>'PR 2025'!C270</f>
        <v>PRINTER EPSON TMU 220D</v>
      </c>
      <c r="H272" s="31">
        <f>'PR 2025'!D270</f>
        <v>10803362</v>
      </c>
      <c r="I272" s="31">
        <f>VLOOKUP(A272,'PO 2025'!$A$2:$Y$1440,21,FALSE)</f>
        <v>79707003</v>
      </c>
      <c r="J272" s="31">
        <f>'PR 2025'!E270</f>
        <v>1</v>
      </c>
      <c r="K272" s="33" t="str">
        <f>'PR 2025'!F270</f>
        <v>UNT</v>
      </c>
      <c r="L272" s="34">
        <f>'PR 2025'!T270</f>
        <v>45860</v>
      </c>
      <c r="M272" s="31" t="str">
        <f>'PR 2025'!AG270</f>
        <v>R</v>
      </c>
      <c r="N272" s="34">
        <f>VLOOKUP(C272,'GRS 2025'!$A$2:$AH$1992,4,FALSE)</f>
        <v>45868</v>
      </c>
      <c r="O272" s="69" t="str">
        <f>'PR 2025'!AJ270</f>
        <v>U/ BAGIAN GD OBAT : MENGGANTI PRINTER YG TIDAK BISA CONNECT DENGAN TIMBANGAN (HS CODE : 8443.31.11). RIZAL</v>
      </c>
    </row>
    <row r="273" spans="1:15" ht="30" x14ac:dyDescent="0.25">
      <c r="A273" s="22" t="str">
        <f t="shared" si="171"/>
        <v>5000017083108033622</v>
      </c>
      <c r="B273" s="22" t="e">
        <f t="shared" si="172"/>
        <v>#N/A</v>
      </c>
      <c r="C273" s="22" t="e">
        <f t="shared" si="173"/>
        <v>#N/A</v>
      </c>
      <c r="D273" s="39">
        <v>270</v>
      </c>
      <c r="E273" s="39">
        <f>'PR 2025'!A271</f>
        <v>2</v>
      </c>
      <c r="F273" s="39">
        <f>'PR 2025'!B271</f>
        <v>5000017083</v>
      </c>
      <c r="G273" s="40" t="str">
        <f>'PR 2025'!C271</f>
        <v>KABEL SERIAL RS-232</v>
      </c>
      <c r="H273" s="39">
        <f>'PR 2025'!D271</f>
        <v>10803362</v>
      </c>
      <c r="I273" s="39" t="e">
        <f>VLOOKUP(A273,'PO 2025'!$A$2:$Y$1440,21,FALSE)</f>
        <v>#N/A</v>
      </c>
      <c r="J273" s="39">
        <f>'PR 2025'!E271</f>
        <v>1</v>
      </c>
      <c r="K273" s="41" t="str">
        <f>'PR 2025'!F271</f>
        <v>BH</v>
      </c>
      <c r="L273" s="42">
        <f>'PR 2025'!T271</f>
        <v>45860</v>
      </c>
      <c r="M273" s="39" t="str">
        <f>'PR 2025'!AG271</f>
        <v>R</v>
      </c>
      <c r="N273" s="42" t="e">
        <f>VLOOKUP(C273,'GRS 2025'!$A$2:$AH$1992,4,FALSE)</f>
        <v>#N/A</v>
      </c>
      <c r="O273" s="73" t="str">
        <f>'PR 2025'!AJ271</f>
        <v>9 PIN U/ BAGIAN GD OBAT : MENGGANTI PRINTER YG TIDAK BISA CONNECT DENGAN TIMBANGAN (HS CODE : 8544.20.31). RIZAL</v>
      </c>
    </row>
    <row r="274" spans="1:15" x14ac:dyDescent="0.25">
      <c r="A274" s="22" t="str">
        <f t="shared" ref="A274:A277" si="174">F274&amp;H274&amp;E274</f>
        <v>5000016308108034251</v>
      </c>
      <c r="B274" s="22" t="str">
        <f t="shared" ref="B274:B277" si="175">F274&amp;I274&amp;E274</f>
        <v>5000016308797071221</v>
      </c>
      <c r="C274" s="22" t="str">
        <f t="shared" ref="C274:C277" si="176">F274&amp;I274</f>
        <v>500001630879707122</v>
      </c>
      <c r="D274" s="31">
        <v>271</v>
      </c>
      <c r="E274" s="31">
        <f>'PR 2025'!A272</f>
        <v>1</v>
      </c>
      <c r="F274" s="31">
        <f>'PR 2025'!B272</f>
        <v>5000016308</v>
      </c>
      <c r="G274" s="32" t="str">
        <f>'PR 2025'!C272</f>
        <v>CPU BUILDUP</v>
      </c>
      <c r="H274" s="31">
        <f>'PR 2025'!D272</f>
        <v>10803425</v>
      </c>
      <c r="I274" s="31">
        <f>VLOOKUP(A274,'PO 2025'!$A$2:$Y$1440,21,FALSE)</f>
        <v>79707122</v>
      </c>
      <c r="J274" s="31">
        <f>'PR 2025'!E272</f>
        <v>1</v>
      </c>
      <c r="K274" s="33" t="str">
        <f>'PR 2025'!F272</f>
        <v>UNT</v>
      </c>
      <c r="L274" s="34">
        <f>'PR 2025'!T272</f>
        <v>45863</v>
      </c>
      <c r="M274" s="31" t="str">
        <f>'PR 2025'!AG272</f>
        <v>R</v>
      </c>
      <c r="N274" s="34">
        <f>VLOOKUP(C274,'GRS 2025'!$A$2:$AH$1992,4,FALSE)</f>
        <v>45870</v>
      </c>
      <c r="O274" s="69" t="str">
        <f>'PR 2025'!AJ272</f>
        <v>U/ WAKABAG DF LJ2, MENGGANTI YG RUSAK (HS CODE : 8479.89.50). AGUS R</v>
      </c>
    </row>
    <row r="275" spans="1:15" ht="30" x14ac:dyDescent="0.25">
      <c r="A275" s="22" t="str">
        <f t="shared" si="174"/>
        <v>5000013640108034621</v>
      </c>
      <c r="B275" s="22" t="str">
        <f t="shared" si="175"/>
        <v>5000013640797071711</v>
      </c>
      <c r="C275" s="22" t="str">
        <f t="shared" si="176"/>
        <v>500001364079707171</v>
      </c>
      <c r="D275" s="31">
        <v>272</v>
      </c>
      <c r="E275" s="31">
        <f>'PR 2025'!A273</f>
        <v>1</v>
      </c>
      <c r="F275" s="31">
        <f>'PR 2025'!B273</f>
        <v>5000013640</v>
      </c>
      <c r="G275" s="32" t="str">
        <f>'PR 2025'!C273</f>
        <v>CONNECTOR TELEPHONE</v>
      </c>
      <c r="H275" s="31">
        <f>'PR 2025'!D273</f>
        <v>10803462</v>
      </c>
      <c r="I275" s="31">
        <f>VLOOKUP(A275,'PO 2025'!$A$2:$Y$1440,21,FALSE)</f>
        <v>79707171</v>
      </c>
      <c r="J275" s="31">
        <f>'PR 2025'!E273</f>
        <v>10</v>
      </c>
      <c r="K275" s="33" t="str">
        <f>'PR 2025'!F273</f>
        <v>BH</v>
      </c>
      <c r="L275" s="34">
        <f>'PR 2025'!T273</f>
        <v>45866</v>
      </c>
      <c r="M275" s="31" t="str">
        <f>'PR 2025'!AG273</f>
        <v>R</v>
      </c>
      <c r="N275" s="34">
        <f>VLOOKUP(C275,'GRS 2025'!$A$2:$AH$1992,4,FALSE)</f>
        <v>45874</v>
      </c>
      <c r="O275" s="69" t="str">
        <f>'PR 2025'!AJ273</f>
        <v>U/ BAGIAN GD BENANG, GD PACKING, FINAL LJ2, RND, PAJAK, PERSIAPAN LJ2, KEUANGAN (2), WEAVING, DAN UTILITY  (HS CODE : 8518.40.20). ERDI</v>
      </c>
    </row>
    <row r="276" spans="1:15" ht="30" x14ac:dyDescent="0.25">
      <c r="A276" s="22" t="str">
        <f t="shared" si="174"/>
        <v>5000012033108034622</v>
      </c>
      <c r="B276" s="22" t="str">
        <f t="shared" si="175"/>
        <v>5000012033797071712</v>
      </c>
      <c r="C276" s="22" t="str">
        <f t="shared" si="176"/>
        <v>500001203379707171</v>
      </c>
      <c r="D276" s="31">
        <v>273</v>
      </c>
      <c r="E276" s="31">
        <f>'PR 2025'!A274</f>
        <v>2</v>
      </c>
      <c r="F276" s="31">
        <f>'PR 2025'!B274</f>
        <v>5000012033</v>
      </c>
      <c r="G276" s="32" t="str">
        <f>'PR 2025'!C274</f>
        <v>KABEL SPIRAL TELEPHONE</v>
      </c>
      <c r="H276" s="31">
        <f>'PR 2025'!D274</f>
        <v>10803462</v>
      </c>
      <c r="I276" s="31">
        <f>VLOOKUP(A276,'PO 2025'!$A$2:$Y$1440,21,FALSE)</f>
        <v>79707171</v>
      </c>
      <c r="J276" s="31">
        <f>'PR 2025'!E274</f>
        <v>10</v>
      </c>
      <c r="K276" s="33" t="str">
        <f>'PR 2025'!F274</f>
        <v>BH</v>
      </c>
      <c r="L276" s="34">
        <f>'PR 2025'!T274</f>
        <v>45866</v>
      </c>
      <c r="M276" s="31" t="str">
        <f>'PR 2025'!AG274</f>
        <v>R</v>
      </c>
      <c r="N276" s="34">
        <f>VLOOKUP(C276,'GRS 2025'!$A$2:$AH$1992,4,FALSE)</f>
        <v>45874</v>
      </c>
      <c r="O276" s="69" t="str">
        <f>'PR 2025'!AJ274</f>
        <v>U/ BAGIAN GD BENANG, GD PACKING, FINAL LJ2, RND, PAJAK, PERSIAPAN LJ2, KEUANGAN (2), WEAVING, DAN UTILITY (HS CODE : 8522.90.92). ERDI</v>
      </c>
    </row>
    <row r="277" spans="1:15" ht="30" x14ac:dyDescent="0.25">
      <c r="A277" s="22" t="str">
        <f t="shared" si="174"/>
        <v>5000016322108034623</v>
      </c>
      <c r="B277" s="22" t="str">
        <f t="shared" si="175"/>
        <v>5000016322797071713</v>
      </c>
      <c r="C277" s="22" t="str">
        <f t="shared" si="176"/>
        <v>500001632279707171</v>
      </c>
      <c r="D277" s="31">
        <v>274</v>
      </c>
      <c r="E277" s="31">
        <f>'PR 2025'!A275</f>
        <v>3</v>
      </c>
      <c r="F277" s="31">
        <f>'PR 2025'!B275</f>
        <v>5000016322</v>
      </c>
      <c r="G277" s="32" t="str">
        <f>'PR 2025'!C275</f>
        <v>KABEL EXTENTION CORE</v>
      </c>
      <c r="H277" s="31">
        <f>'PR 2025'!D275</f>
        <v>10803462</v>
      </c>
      <c r="I277" s="31">
        <f>VLOOKUP(A277,'PO 2025'!$A$2:$Y$1440,21,FALSE)</f>
        <v>79707171</v>
      </c>
      <c r="J277" s="31">
        <f>'PR 2025'!E275</f>
        <v>10</v>
      </c>
      <c r="K277" s="33" t="str">
        <f>'PR 2025'!F275</f>
        <v>BH</v>
      </c>
      <c r="L277" s="34">
        <f>'PR 2025'!T275</f>
        <v>45866</v>
      </c>
      <c r="M277" s="31" t="str">
        <f>'PR 2025'!AG275</f>
        <v>R</v>
      </c>
      <c r="N277" s="34">
        <f>VLOOKUP(C277,'GRS 2025'!$A$2:$AH$1992,4,FALSE)</f>
        <v>45874</v>
      </c>
      <c r="O277" s="69" t="str">
        <f>'PR 2025'!AJ275</f>
        <v>U/ BAGIAN GD BENANG, GD PACKING, FINAL LJ2, RND, PAJAK, PERSIAPAN LJ2, KEUANGAN (2), WEAVING, DAN UTILITY (HS CODE : 8544.42.91). ERDI</v>
      </c>
    </row>
    <row r="278" spans="1:15" x14ac:dyDescent="0.25">
      <c r="A278" s="22" t="str">
        <f t="shared" ref="A278" si="177">F278&amp;H278&amp;E278</f>
        <v>5000016255108035231</v>
      </c>
      <c r="B278" s="22" t="str">
        <f t="shared" ref="B278" si="178">F278&amp;I278&amp;E278</f>
        <v>5000016255797073471</v>
      </c>
      <c r="C278" s="22" t="str">
        <f t="shared" ref="C278" si="179">F278&amp;I278</f>
        <v>500001625579707347</v>
      </c>
      <c r="D278" s="31">
        <v>275</v>
      </c>
      <c r="E278" s="31">
        <f>'PR 2025'!A276</f>
        <v>1</v>
      </c>
      <c r="F278" s="31">
        <f>'PR 2025'!B276</f>
        <v>5000016255</v>
      </c>
      <c r="G278" s="32" t="str">
        <f>'PR 2025'!C276</f>
        <v>SSD SATA 256GB</v>
      </c>
      <c r="H278" s="31">
        <f>'PR 2025'!D276</f>
        <v>10803523</v>
      </c>
      <c r="I278" s="31">
        <f>VLOOKUP(A278,'PO 2025'!$A$2:$Y$1440,21,FALSE)</f>
        <v>79707347</v>
      </c>
      <c r="J278" s="31">
        <f>'PR 2025'!E276</f>
        <v>1</v>
      </c>
      <c r="K278" s="33" t="str">
        <f>'PR 2025'!F276</f>
        <v>BH</v>
      </c>
      <c r="L278" s="34">
        <f>'PR 2025'!T276</f>
        <v>45868</v>
      </c>
      <c r="M278" s="31" t="str">
        <f>'PR 2025'!AG276</f>
        <v>R</v>
      </c>
      <c r="N278" s="34">
        <f>VLOOKUP(C278,'GRS 2025'!$A$2:$AH$1992,4,FALSE)</f>
        <v>45878</v>
      </c>
      <c r="O278" s="69" t="str">
        <f>'PR 2025'!AJ276</f>
        <v>U/ MENGGANTI YANG RUSAK BAGIAN MTC. PERSIAPAN LJ1 (HS CODE : 8471.50.90). ZEZEN</v>
      </c>
    </row>
    <row r="279" spans="1:15" x14ac:dyDescent="0.25">
      <c r="A279" s="22" t="str">
        <f t="shared" ref="A279:A284" si="180">F279&amp;H279&amp;E279</f>
        <v>5000008843108035381</v>
      </c>
      <c r="B279" s="22" t="str">
        <f t="shared" ref="B279:B284" si="181">F279&amp;I279&amp;E279</f>
        <v>5000008843797073481</v>
      </c>
      <c r="C279" s="22" t="str">
        <f t="shared" ref="C279:C284" si="182">F279&amp;I279</f>
        <v>500000884379707348</v>
      </c>
      <c r="D279" s="31">
        <v>276</v>
      </c>
      <c r="E279" s="31">
        <f>'PR 2025'!A277</f>
        <v>1</v>
      </c>
      <c r="F279" s="31">
        <f>'PR 2025'!B277</f>
        <v>5000008843</v>
      </c>
      <c r="G279" s="32" t="str">
        <f>'PR 2025'!C277</f>
        <v>MONITOR LCD 19 INCH</v>
      </c>
      <c r="H279" s="31">
        <f>'PR 2025'!D277</f>
        <v>10803538</v>
      </c>
      <c r="I279" s="31">
        <f>VLOOKUP(A279,'PO 2025'!$A$2:$Y$1440,21,FALSE)</f>
        <v>79707348</v>
      </c>
      <c r="J279" s="31">
        <f>'PR 2025'!E277</f>
        <v>2</v>
      </c>
      <c r="K279" s="33" t="str">
        <f>'PR 2025'!F277</f>
        <v>UNT</v>
      </c>
      <c r="L279" s="34">
        <f>'PR 2025'!T277</f>
        <v>45870</v>
      </c>
      <c r="M279" s="31" t="str">
        <f>'PR 2025'!AG277</f>
        <v>R</v>
      </c>
      <c r="N279" s="34">
        <f>VLOOKUP(C279,'GRS 2025'!$A$2:$AH$1992,4,FALSE)</f>
        <v>45875</v>
      </c>
      <c r="O279" s="69" t="str">
        <f>'PR 2025'!AJ277</f>
        <v>U/ SUPERVISOR BARU BAGIAN ODTM (HS CODE : 8528.52.00). HENDRA</v>
      </c>
    </row>
    <row r="280" spans="1:15" x14ac:dyDescent="0.25">
      <c r="A280" s="22" t="str">
        <f t="shared" si="180"/>
        <v>5000016308108035382</v>
      </c>
      <c r="B280" s="22" t="str">
        <f t="shared" si="181"/>
        <v>5000016308797073472</v>
      </c>
      <c r="C280" s="22" t="str">
        <f t="shared" si="182"/>
        <v>500001630879707347</v>
      </c>
      <c r="D280" s="31">
        <v>277</v>
      </c>
      <c r="E280" s="31">
        <f>'PR 2025'!A278</f>
        <v>2</v>
      </c>
      <c r="F280" s="31">
        <f>'PR 2025'!B278</f>
        <v>5000016308</v>
      </c>
      <c r="G280" s="32" t="str">
        <f>'PR 2025'!C278</f>
        <v>CPU BUILDUP</v>
      </c>
      <c r="H280" s="31">
        <f>'PR 2025'!D278</f>
        <v>10803538</v>
      </c>
      <c r="I280" s="31">
        <f>VLOOKUP(A280,'PO 2025'!$A$2:$Y$1440,21,FALSE)</f>
        <v>79707347</v>
      </c>
      <c r="J280" s="31">
        <f>'PR 2025'!E278</f>
        <v>2</v>
      </c>
      <c r="K280" s="33" t="str">
        <f>'PR 2025'!F278</f>
        <v>UNT</v>
      </c>
      <c r="L280" s="34">
        <f>'PR 2025'!T278</f>
        <v>45870</v>
      </c>
      <c r="M280" s="31" t="str">
        <f>'PR 2025'!AG278</f>
        <v>R</v>
      </c>
      <c r="N280" s="34">
        <f>VLOOKUP(C280,'GRS 2025'!$A$2:$AH$1992,4,FALSE)</f>
        <v>45878</v>
      </c>
      <c r="O280" s="69" t="str">
        <f>'PR 2025'!AJ278</f>
        <v>U/ SUPERVISOR BARU BAGIAN ODTM (HS CODE : 8479.89.50). HENDRA</v>
      </c>
    </row>
    <row r="281" spans="1:15" x14ac:dyDescent="0.25">
      <c r="A281" s="22" t="str">
        <f t="shared" si="180"/>
        <v>5000005059108035383</v>
      </c>
      <c r="B281" s="22" t="str">
        <f t="shared" si="181"/>
        <v>5000005059797073483</v>
      </c>
      <c r="C281" s="22" t="str">
        <f t="shared" si="182"/>
        <v>500000505979707348</v>
      </c>
      <c r="D281" s="31">
        <v>278</v>
      </c>
      <c r="E281" s="31">
        <f>'PR 2025'!A279</f>
        <v>3</v>
      </c>
      <c r="F281" s="31">
        <f>'PR 2025'!B279</f>
        <v>5000005059</v>
      </c>
      <c r="G281" s="32" t="str">
        <f>'PR 2025'!C279</f>
        <v>KEYBOARD USB</v>
      </c>
      <c r="H281" s="31">
        <f>'PR 2025'!D279</f>
        <v>10803538</v>
      </c>
      <c r="I281" s="31">
        <f>VLOOKUP(A281,'PO 2025'!$A$2:$Y$1440,21,FALSE)</f>
        <v>79707348</v>
      </c>
      <c r="J281" s="31">
        <f>'PR 2025'!E279</f>
        <v>2</v>
      </c>
      <c r="K281" s="33" t="str">
        <f>'PR 2025'!F279</f>
        <v>BH</v>
      </c>
      <c r="L281" s="34">
        <f>'PR 2025'!T279</f>
        <v>45870</v>
      </c>
      <c r="M281" s="31" t="str">
        <f>'PR 2025'!AG279</f>
        <v>R</v>
      </c>
      <c r="N281" s="34">
        <f>VLOOKUP(C281,'GRS 2025'!$A$2:$AH$1992,4,FALSE)</f>
        <v>45875</v>
      </c>
      <c r="O281" s="69" t="str">
        <f>'PR 2025'!AJ279</f>
        <v>U/ SUPERVISOR BARU BAGIAN ODTM (HS CODE : 8471.60.30). HENDRA</v>
      </c>
    </row>
    <row r="282" spans="1:15" x14ac:dyDescent="0.25">
      <c r="A282" s="22" t="str">
        <f t="shared" si="180"/>
        <v>5000004248108035384</v>
      </c>
      <c r="B282" s="22" t="str">
        <f t="shared" si="181"/>
        <v>5000004248797073484</v>
      </c>
      <c r="C282" s="22" t="str">
        <f t="shared" si="182"/>
        <v>500000424879707348</v>
      </c>
      <c r="D282" s="31">
        <v>279</v>
      </c>
      <c r="E282" s="31">
        <f>'PR 2025'!A280</f>
        <v>4</v>
      </c>
      <c r="F282" s="31">
        <f>'PR 2025'!B280</f>
        <v>5000004248</v>
      </c>
      <c r="G282" s="32" t="str">
        <f>'PR 2025'!C280</f>
        <v>MOUSE USB</v>
      </c>
      <c r="H282" s="31">
        <f>'PR 2025'!D280</f>
        <v>10803538</v>
      </c>
      <c r="I282" s="31">
        <f>VLOOKUP(A282,'PO 2025'!$A$2:$Y$1440,21,FALSE)</f>
        <v>79707348</v>
      </c>
      <c r="J282" s="31">
        <f>'PR 2025'!E280</f>
        <v>2</v>
      </c>
      <c r="K282" s="33" t="str">
        <f>'PR 2025'!F280</f>
        <v>BH</v>
      </c>
      <c r="L282" s="34">
        <f>'PR 2025'!T280</f>
        <v>45870</v>
      </c>
      <c r="M282" s="31" t="str">
        <f>'PR 2025'!AG280</f>
        <v>R</v>
      </c>
      <c r="N282" s="34">
        <f>VLOOKUP(C282,'GRS 2025'!$A$2:$AH$1992,4,FALSE)</f>
        <v>45875</v>
      </c>
      <c r="O282" s="69" t="str">
        <f>'PR 2025'!AJ280</f>
        <v>U/ SUPERVISOR BARU BAGIAN ODTM (HS CODE :  8471.60.40). HENDRA</v>
      </c>
    </row>
    <row r="283" spans="1:15" x14ac:dyDescent="0.25">
      <c r="A283" s="22" t="str">
        <f t="shared" si="180"/>
        <v>5000012021108035385</v>
      </c>
      <c r="B283" s="22" t="str">
        <f t="shared" si="181"/>
        <v>5000012021797073485</v>
      </c>
      <c r="C283" s="22" t="str">
        <f t="shared" si="182"/>
        <v>500001202179707348</v>
      </c>
      <c r="D283" s="31">
        <v>280</v>
      </c>
      <c r="E283" s="31">
        <f>'PR 2025'!A281</f>
        <v>5</v>
      </c>
      <c r="F283" s="31">
        <f>'PR 2025'!B281</f>
        <v>5000012021</v>
      </c>
      <c r="G283" s="32" t="str">
        <f>'PR 2025'!C281</f>
        <v>KABEL VGA</v>
      </c>
      <c r="H283" s="31">
        <f>'PR 2025'!D281</f>
        <v>10803538</v>
      </c>
      <c r="I283" s="31">
        <f>VLOOKUP(A283,'PO 2025'!$A$2:$Y$1440,21,FALSE)</f>
        <v>79707348</v>
      </c>
      <c r="J283" s="31">
        <f>'PR 2025'!E281</f>
        <v>2</v>
      </c>
      <c r="K283" s="33" t="str">
        <f>'PR 2025'!F281</f>
        <v>BH</v>
      </c>
      <c r="L283" s="34">
        <f>'PR 2025'!T281</f>
        <v>45870</v>
      </c>
      <c r="M283" s="31" t="str">
        <f>'PR 2025'!AG281</f>
        <v>R</v>
      </c>
      <c r="N283" s="34">
        <f>VLOOKUP(C283,'GRS 2025'!$A$2:$AH$1992,4,FALSE)</f>
        <v>45875</v>
      </c>
      <c r="O283" s="69" t="str">
        <f>'PR 2025'!AJ281</f>
        <v>U/ SUPERVISOR BARU BAGIAN ODTM (HS CODE : 8544.20.31). HENDRA</v>
      </c>
    </row>
    <row r="284" spans="1:15" x14ac:dyDescent="0.25">
      <c r="A284" s="22" t="str">
        <f t="shared" si="180"/>
        <v>5000011754108035701</v>
      </c>
      <c r="B284" s="22" t="str">
        <f t="shared" si="181"/>
        <v>5000011754797077381</v>
      </c>
      <c r="C284" s="22" t="str">
        <f t="shared" si="182"/>
        <v>500001175479707738</v>
      </c>
      <c r="D284" s="31">
        <v>281</v>
      </c>
      <c r="E284" s="31">
        <f>'PR 2025'!A282</f>
        <v>1</v>
      </c>
      <c r="F284" s="31">
        <f>'PR 2025'!B282</f>
        <v>5000011754</v>
      </c>
      <c r="G284" s="32" t="str">
        <f>'PR 2025'!C282</f>
        <v>MOUSE PAD</v>
      </c>
      <c r="H284" s="31">
        <f>'PR 2025'!D282</f>
        <v>10803570</v>
      </c>
      <c r="I284" s="31">
        <f>VLOOKUP(A284,'PO 2025'!$A$2:$Y$1440,21,FALSE)</f>
        <v>79707738</v>
      </c>
      <c r="J284" s="31">
        <f>'PR 2025'!E282</f>
        <v>1</v>
      </c>
      <c r="K284" s="33" t="str">
        <f>'PR 2025'!F282</f>
        <v>BH</v>
      </c>
      <c r="L284" s="34">
        <f>'PR 2025'!T282</f>
        <v>45873</v>
      </c>
      <c r="M284" s="31" t="str">
        <f>'PR 2025'!AG282</f>
        <v>R</v>
      </c>
      <c r="N284" s="34">
        <f>VLOOKUP(C284,'GRS 2025'!$A$2:$AH$1992,4,FALSE)</f>
        <v>45895</v>
      </c>
      <c r="O284" s="69" t="str">
        <f>'PR 2025'!AJ282</f>
        <v>U/ BAGIAN PEMBELIAN (HS CODE : 8471.60.40). REIZA</v>
      </c>
    </row>
    <row r="285" spans="1:15" x14ac:dyDescent="0.25">
      <c r="A285" s="22" t="str">
        <f t="shared" ref="A285:A288" si="183">F285&amp;H285&amp;E285</f>
        <v>5000008929108035702</v>
      </c>
      <c r="B285" s="22" t="str">
        <f t="shared" ref="B285:B288" si="184">F285&amp;I285&amp;E285</f>
        <v>5000008929797077382</v>
      </c>
      <c r="C285" s="22" t="str">
        <f t="shared" ref="C285:C288" si="185">F285&amp;I285</f>
        <v>500000892979707738</v>
      </c>
      <c r="D285" s="31">
        <v>282</v>
      </c>
      <c r="E285" s="31">
        <f>'PR 2025'!A283</f>
        <v>2</v>
      </c>
      <c r="F285" s="31">
        <f>'PR 2025'!B283</f>
        <v>5000008929</v>
      </c>
      <c r="G285" s="32" t="str">
        <f>'PR 2025'!C283</f>
        <v>FAN PROCESSOR P4 LGA</v>
      </c>
      <c r="H285" s="31">
        <f>'PR 2025'!D283</f>
        <v>10803570</v>
      </c>
      <c r="I285" s="31">
        <f>VLOOKUP(A285,'PO 2025'!$A$2:$Y$1440,21,FALSE)</f>
        <v>79707738</v>
      </c>
      <c r="J285" s="31">
        <f>'PR 2025'!E283</f>
        <v>1</v>
      </c>
      <c r="K285" s="33" t="str">
        <f>'PR 2025'!F283</f>
        <v>BH</v>
      </c>
      <c r="L285" s="34">
        <f>'PR 2025'!T283</f>
        <v>45873</v>
      </c>
      <c r="M285" s="31" t="str">
        <f>'PR 2025'!AG283</f>
        <v>R</v>
      </c>
      <c r="N285" s="34">
        <f>VLOOKUP(C285,'GRS 2025'!$A$2:$AH$1992,4,FALSE)</f>
        <v>45895</v>
      </c>
      <c r="O285" s="69" t="str">
        <f>'PR 2025'!AJ283</f>
        <v>U/ MENGGANTI YG RUSAK BAGIAN FINAL LJ1 (HS CODE : 8414.59.10). TIO</v>
      </c>
    </row>
    <row r="286" spans="1:15" x14ac:dyDescent="0.25">
      <c r="A286" s="22" t="str">
        <f t="shared" si="183"/>
        <v>5000013802108035703</v>
      </c>
      <c r="B286" s="22" t="str">
        <f t="shared" si="184"/>
        <v>5000013802797074373</v>
      </c>
      <c r="C286" s="22" t="str">
        <f t="shared" si="185"/>
        <v>500001380279707437</v>
      </c>
      <c r="D286" s="31">
        <v>283</v>
      </c>
      <c r="E286" s="31">
        <f>'PR 2025'!A284</f>
        <v>3</v>
      </c>
      <c r="F286" s="31">
        <f>'PR 2025'!B284</f>
        <v>5000013802</v>
      </c>
      <c r="G286" s="32" t="str">
        <f>'PR 2025'!C284</f>
        <v>MIKROBITS SFP TRANSCEIVER SFP-1G-ZR-SM</v>
      </c>
      <c r="H286" s="31">
        <f>'PR 2025'!D284</f>
        <v>10803570</v>
      </c>
      <c r="I286" s="31">
        <f>VLOOKUP(A286,'PO 2025'!$A$2:$Y$1440,21,FALSE)</f>
        <v>79707437</v>
      </c>
      <c r="J286" s="31">
        <f>'PR 2025'!E284</f>
        <v>1</v>
      </c>
      <c r="K286" s="33" t="str">
        <f>'PR 2025'!F284</f>
        <v>UNT</v>
      </c>
      <c r="L286" s="34">
        <f>'PR 2025'!T284</f>
        <v>45873</v>
      </c>
      <c r="M286" s="31" t="str">
        <f>'PR 2025'!AG284</f>
        <v>R</v>
      </c>
      <c r="N286" s="34">
        <f>VLOOKUP(C286,'GRS 2025'!$A$2:$AH$1992,4,FALSE)</f>
        <v>45882</v>
      </c>
      <c r="O286" s="69" t="str">
        <f>'PR 2025'!AJ284</f>
        <v>ORDER YANG 80 KM, U/ AREA LJ3 (HS CODE : 8517.62.43). TIO</v>
      </c>
    </row>
    <row r="287" spans="1:15" x14ac:dyDescent="0.25">
      <c r="A287" s="22" t="str">
        <f t="shared" si="183"/>
        <v>5000015919108035704</v>
      </c>
      <c r="B287" s="22" t="str">
        <f t="shared" si="184"/>
        <v>5000015919797074374</v>
      </c>
      <c r="C287" s="22" t="str">
        <f t="shared" si="185"/>
        <v>500001591979707437</v>
      </c>
      <c r="D287" s="31">
        <v>284</v>
      </c>
      <c r="E287" s="31">
        <f>'PR 2025'!A285</f>
        <v>4</v>
      </c>
      <c r="F287" s="31">
        <f>'PR 2025'!B285</f>
        <v>5000015919</v>
      </c>
      <c r="G287" s="32" t="str">
        <f>'PR 2025'!C285</f>
        <v>WEBCAM PORTABLE</v>
      </c>
      <c r="H287" s="31">
        <f>'PR 2025'!D285</f>
        <v>10803570</v>
      </c>
      <c r="I287" s="31">
        <f>VLOOKUP(A287,'PO 2025'!$A$2:$Y$1440,21,FALSE)</f>
        <v>79707437</v>
      </c>
      <c r="J287" s="31">
        <f>'PR 2025'!E285</f>
        <v>1</v>
      </c>
      <c r="K287" s="33" t="str">
        <f>'PR 2025'!F285</f>
        <v>UNT</v>
      </c>
      <c r="L287" s="34">
        <f>'PR 2025'!T285</f>
        <v>45873</v>
      </c>
      <c r="M287" s="31" t="str">
        <f>'PR 2025'!AG285</f>
        <v>R</v>
      </c>
      <c r="N287" s="34">
        <f>VLOOKUP(C287,'GRS 2025'!$A$2:$AH$1992,4,FALSE)</f>
        <v>45882</v>
      </c>
      <c r="O287" s="69" t="str">
        <f>'PR 2025'!AJ285</f>
        <v>U/ ZOOM MEETING ASST. MGR. HCM (HS CODE : 8525.81.10). RISWADI</v>
      </c>
    </row>
    <row r="288" spans="1:15" x14ac:dyDescent="0.25">
      <c r="A288" s="22" t="str">
        <f t="shared" si="183"/>
        <v>5000015560108036101</v>
      </c>
      <c r="B288" s="22" t="str">
        <f t="shared" si="184"/>
        <v>5000015560797077201</v>
      </c>
      <c r="C288" s="22" t="str">
        <f t="shared" si="185"/>
        <v>500001556079707720</v>
      </c>
      <c r="D288" s="31">
        <v>285</v>
      </c>
      <c r="E288" s="31">
        <f>'PR 2025'!A286</f>
        <v>1</v>
      </c>
      <c r="F288" s="31">
        <f>'PR 2025'!B286</f>
        <v>5000015560</v>
      </c>
      <c r="G288" s="32" t="str">
        <f>'PR 2025'!C286</f>
        <v>RAM DDR3 8GB</v>
      </c>
      <c r="H288" s="31">
        <f>'PR 2025'!D286</f>
        <v>10803610</v>
      </c>
      <c r="I288" s="31">
        <f>VLOOKUP(A288,'PO 2025'!$A$2:$Y$1440,21,FALSE)</f>
        <v>79707720</v>
      </c>
      <c r="J288" s="31">
        <f>'PR 2025'!E286</f>
        <v>1</v>
      </c>
      <c r="K288" s="33" t="str">
        <f>'PR 2025'!F286</f>
        <v>BH</v>
      </c>
      <c r="L288" s="34">
        <f>'PR 2025'!T286</f>
        <v>45874</v>
      </c>
      <c r="M288" s="31" t="str">
        <f>'PR 2025'!AG286</f>
        <v>R</v>
      </c>
      <c r="N288" s="34">
        <f>VLOOKUP(C288,'GRS 2025'!$A$2:$AH$1992,4,FALSE)</f>
        <v>45892</v>
      </c>
      <c r="O288" s="69" t="str">
        <f>'PR 2025'!AJ286</f>
        <v>U/ MENGGANTI YG RUSAK BAGIAN IT (HS CODE : 8471.50.90). BUDI</v>
      </c>
    </row>
    <row r="289" spans="1:15" ht="30" x14ac:dyDescent="0.25">
      <c r="A289" s="22" t="str">
        <f t="shared" ref="A289:A298" si="186">F289&amp;H289&amp;E289</f>
        <v>5000005059108036871</v>
      </c>
      <c r="B289" s="22" t="str">
        <f t="shared" ref="B289:B298" si="187">F289&amp;I289&amp;E289</f>
        <v>5000005059797077381</v>
      </c>
      <c r="C289" s="22" t="str">
        <f t="shared" ref="C289:C298" si="188">F289&amp;I289</f>
        <v>500000505979707738</v>
      </c>
      <c r="D289" s="31">
        <v>286</v>
      </c>
      <c r="E289" s="31">
        <f>'PR 2025'!A287</f>
        <v>1</v>
      </c>
      <c r="F289" s="31">
        <f>'PR 2025'!B287</f>
        <v>5000005059</v>
      </c>
      <c r="G289" s="32" t="str">
        <f>'PR 2025'!C287</f>
        <v>KEYBOARD USB</v>
      </c>
      <c r="H289" s="31">
        <f>'PR 2025'!D287</f>
        <v>10803687</v>
      </c>
      <c r="I289" s="31">
        <f>VLOOKUP(A289,'PO 2025'!$A$2:$Y$1440,21,FALSE)</f>
        <v>79707738</v>
      </c>
      <c r="J289" s="31">
        <f>'PR 2025'!E287</f>
        <v>10</v>
      </c>
      <c r="K289" s="33" t="str">
        <f>'PR 2025'!F287</f>
        <v>BH</v>
      </c>
      <c r="L289" s="34">
        <f>'PR 2025'!T287</f>
        <v>45877</v>
      </c>
      <c r="M289" s="31" t="str">
        <f>'PR 2025'!AG287</f>
        <v>R</v>
      </c>
      <c r="N289" s="34">
        <f>VLOOKUP(C289,'GRS 2025'!$A$2:$AH$1992,4,FALSE)</f>
        <v>45895</v>
      </c>
      <c r="O289" s="69" t="str">
        <f>'PR 2025'!AJ287</f>
        <v>U/ BAGIAN GUDANG PACKING (2), MTC PERSIAPAN, GD SPAREPART, LABORAT, GD OBAT KECIL, FINAL, PROCCESSING DF (2), UTILITY (HS CODE : 8471.60.30). ALI</v>
      </c>
    </row>
    <row r="290" spans="1:15" x14ac:dyDescent="0.25">
      <c r="A290" s="22" t="str">
        <f t="shared" si="186"/>
        <v>5000015560108036872</v>
      </c>
      <c r="B290" s="22" t="str">
        <f t="shared" si="187"/>
        <v>5000015560797077202</v>
      </c>
      <c r="C290" s="22" t="str">
        <f t="shared" si="188"/>
        <v>500001556079707720</v>
      </c>
      <c r="D290" s="31">
        <v>287</v>
      </c>
      <c r="E290" s="31">
        <f>'PR 2025'!A288</f>
        <v>2</v>
      </c>
      <c r="F290" s="31">
        <f>'PR 2025'!B288</f>
        <v>5000015560</v>
      </c>
      <c r="G290" s="32" t="str">
        <f>'PR 2025'!C288</f>
        <v>RAM DDR3 8GB</v>
      </c>
      <c r="H290" s="31">
        <f>'PR 2025'!D288</f>
        <v>10803687</v>
      </c>
      <c r="I290" s="31">
        <f>VLOOKUP(A290,'PO 2025'!$A$2:$Y$1440,21,FALSE)</f>
        <v>79707720</v>
      </c>
      <c r="J290" s="31">
        <f>'PR 2025'!E288</f>
        <v>1</v>
      </c>
      <c r="K290" s="33" t="str">
        <f>'PR 2025'!F288</f>
        <v>BH</v>
      </c>
      <c r="L290" s="34">
        <f>'PR 2025'!T288</f>
        <v>45878</v>
      </c>
      <c r="M290" s="31" t="str">
        <f>'PR 2025'!AG288</f>
        <v>R</v>
      </c>
      <c r="N290" s="34">
        <f>VLOOKUP(C290,'GRS 2025'!$A$2:$AH$1992,4,FALSE)</f>
        <v>45892</v>
      </c>
      <c r="O290" s="69" t="str">
        <f>'PR 2025'!AJ288</f>
        <v>U/ UPGRADE RAM LEADER KEUANGAN (HS CODE : 8471.50.90). MARIA</v>
      </c>
    </row>
    <row r="291" spans="1:15" x14ac:dyDescent="0.25">
      <c r="A291" s="22" t="str">
        <f t="shared" si="186"/>
        <v>5000016930108036873</v>
      </c>
      <c r="B291" s="22" t="str">
        <f t="shared" si="187"/>
        <v>5000016930797079813</v>
      </c>
      <c r="C291" s="22" t="str">
        <f t="shared" si="188"/>
        <v>500001693079707981</v>
      </c>
      <c r="D291" s="31">
        <v>288</v>
      </c>
      <c r="E291" s="31">
        <f>'PR 2025'!A289</f>
        <v>3</v>
      </c>
      <c r="F291" s="31">
        <f>'PR 2025'!B289</f>
        <v>5000016930</v>
      </c>
      <c r="G291" s="32" t="str">
        <f>'PR 2025'!C289</f>
        <v>PRINT SERVER</v>
      </c>
      <c r="H291" s="31">
        <f>'PR 2025'!D289</f>
        <v>10803687</v>
      </c>
      <c r="I291" s="31">
        <f>VLOOKUP(A291,'PO 2025'!$A$2:$Y$1440,21,FALSE)</f>
        <v>79707981</v>
      </c>
      <c r="J291" s="31">
        <f>'PR 2025'!E289</f>
        <v>1</v>
      </c>
      <c r="K291" s="33" t="str">
        <f>'PR 2025'!F289</f>
        <v>BH</v>
      </c>
      <c r="L291" s="34">
        <f>'PR 2025'!T289</f>
        <v>45878</v>
      </c>
      <c r="M291" s="31" t="str">
        <f>'PR 2025'!AG289</f>
        <v>R</v>
      </c>
      <c r="N291" s="34">
        <f>VLOOKUP(C291,'GRS 2025'!$A$2:$AH$1992,4,FALSE)</f>
        <v>45894</v>
      </c>
      <c r="O291" s="69" t="str">
        <f>'PR 2025'!AJ289</f>
        <v>U/ BAGIAN QA GREY LJ1 (HS CODE : 8517.79.10). MARYAM</v>
      </c>
    </row>
    <row r="292" spans="1:15" x14ac:dyDescent="0.25">
      <c r="A292" s="22" t="str">
        <f t="shared" si="186"/>
        <v>5000017216108037001</v>
      </c>
      <c r="B292" s="22" t="str">
        <f t="shared" si="187"/>
        <v>5000017216797077381</v>
      </c>
      <c r="C292" s="22" t="str">
        <f t="shared" si="188"/>
        <v>500001721679707738</v>
      </c>
      <c r="D292" s="31">
        <v>289</v>
      </c>
      <c r="E292" s="31">
        <f>'PR 2025'!A290</f>
        <v>1</v>
      </c>
      <c r="F292" s="31">
        <f>'PR 2025'!B290</f>
        <v>5000017216</v>
      </c>
      <c r="G292" s="32" t="str">
        <f>'PR 2025'!C290</f>
        <v>MONITOR LCD 22 INCH</v>
      </c>
      <c r="H292" s="31">
        <f>'PR 2025'!D290</f>
        <v>10803700</v>
      </c>
      <c r="I292" s="31">
        <f>VLOOKUP(A292,'PO 2025'!$A$2:$Y$1440,21,FALSE)</f>
        <v>79707738</v>
      </c>
      <c r="J292" s="31">
        <f>'PR 2025'!E290</f>
        <v>5</v>
      </c>
      <c r="K292" s="33" t="str">
        <f>'PR 2025'!F290</f>
        <v>UNT</v>
      </c>
      <c r="L292" s="34">
        <f>'PR 2025'!T290</f>
        <v>45880</v>
      </c>
      <c r="M292" s="31" t="str">
        <f>'PR 2025'!AG290</f>
        <v>R</v>
      </c>
      <c r="N292" s="34">
        <f>VLOOKUP(C292,'GRS 2025'!$A$2:$AH$1992,4,FALSE)</f>
        <v>45895</v>
      </c>
      <c r="O292" s="69" t="str">
        <f>'PR 2025'!AJ290</f>
        <v>U/ BAGIAN MARKETING (3) &amp; FINAL INSPECTING LJ1 (2) (HS CODE : 8528.52.00). ELFHA &amp; MARGIANTO</v>
      </c>
    </row>
    <row r="293" spans="1:15" x14ac:dyDescent="0.25">
      <c r="A293" s="22" t="str">
        <f t="shared" si="186"/>
        <v>5000016308108037002</v>
      </c>
      <c r="B293" s="22" t="str">
        <f t="shared" si="187"/>
        <v>5000016308797077202</v>
      </c>
      <c r="C293" s="22" t="str">
        <f t="shared" si="188"/>
        <v>500001630879707720</v>
      </c>
      <c r="D293" s="31">
        <v>290</v>
      </c>
      <c r="E293" s="31">
        <f>'PR 2025'!A291</f>
        <v>2</v>
      </c>
      <c r="F293" s="31">
        <f>'PR 2025'!B291</f>
        <v>5000016308</v>
      </c>
      <c r="G293" s="32" t="str">
        <f>'PR 2025'!C291</f>
        <v>CPU BUILDUP</v>
      </c>
      <c r="H293" s="31">
        <f>'PR 2025'!D291</f>
        <v>10803700</v>
      </c>
      <c r="I293" s="31">
        <f>VLOOKUP(A293,'PO 2025'!$A$2:$Y$1440,21,FALSE)</f>
        <v>79707720</v>
      </c>
      <c r="J293" s="31">
        <f>'PR 2025'!E291</f>
        <v>4</v>
      </c>
      <c r="K293" s="33" t="str">
        <f>'PR 2025'!F291</f>
        <v>UNT</v>
      </c>
      <c r="L293" s="34">
        <f>'PR 2025'!T291</f>
        <v>45880</v>
      </c>
      <c r="M293" s="31" t="str">
        <f>'PR 2025'!AG291</f>
        <v>R</v>
      </c>
      <c r="N293" s="34">
        <f>VLOOKUP(C293,'GRS 2025'!$A$2:$AH$1992,4,FALSE)</f>
        <v>45892</v>
      </c>
      <c r="O293" s="69" t="str">
        <f>'PR 2025'!AJ291</f>
        <v>U/ BAGIAN MARKETING (3) &amp; FINAL INSPECTING LJ1 (1) (HS CODE : 8528.52.00). ELFHA &amp; MARGIANTO</v>
      </c>
    </row>
    <row r="294" spans="1:15" x14ac:dyDescent="0.25">
      <c r="A294" s="22" t="str">
        <f t="shared" si="186"/>
        <v>5000005059108037003</v>
      </c>
      <c r="B294" s="22" t="str">
        <f t="shared" si="187"/>
        <v>5000005059797077383</v>
      </c>
      <c r="C294" s="22" t="str">
        <f t="shared" si="188"/>
        <v>500000505979707738</v>
      </c>
      <c r="D294" s="31">
        <v>291</v>
      </c>
      <c r="E294" s="31">
        <f>'PR 2025'!A292</f>
        <v>3</v>
      </c>
      <c r="F294" s="31">
        <f>'PR 2025'!B292</f>
        <v>5000005059</v>
      </c>
      <c r="G294" s="32" t="str">
        <f>'PR 2025'!C292</f>
        <v>KEYBOARD USB</v>
      </c>
      <c r="H294" s="31">
        <f>'PR 2025'!D292</f>
        <v>10803700</v>
      </c>
      <c r="I294" s="31">
        <f>VLOOKUP(A294,'PO 2025'!$A$2:$Y$1440,21,FALSE)</f>
        <v>79707738</v>
      </c>
      <c r="J294" s="31">
        <f>'PR 2025'!E292</f>
        <v>5</v>
      </c>
      <c r="K294" s="33" t="str">
        <f>'PR 2025'!F292</f>
        <v>BH</v>
      </c>
      <c r="L294" s="34">
        <f>'PR 2025'!T292</f>
        <v>45880</v>
      </c>
      <c r="M294" s="31" t="str">
        <f>'PR 2025'!AG292</f>
        <v>R</v>
      </c>
      <c r="N294" s="34">
        <f>VLOOKUP(C294,'GRS 2025'!$A$2:$AH$1992,4,FALSE)</f>
        <v>45895</v>
      </c>
      <c r="O294" s="69" t="str">
        <f>'PR 2025'!AJ292</f>
        <v>U/ BAGIAN MARKETING (3) &amp; FINAL INSPECTING LJ1 (2) (HS CODE : 8528.52.00). ELFHA &amp; MARGIANTO</v>
      </c>
    </row>
    <row r="295" spans="1:15" x14ac:dyDescent="0.25">
      <c r="A295" s="22" t="str">
        <f t="shared" si="186"/>
        <v>5000004248108037004</v>
      </c>
      <c r="B295" s="22" t="str">
        <f t="shared" si="187"/>
        <v>5000004248797077384</v>
      </c>
      <c r="C295" s="22" t="str">
        <f t="shared" si="188"/>
        <v>500000424879707738</v>
      </c>
      <c r="D295" s="31">
        <v>292</v>
      </c>
      <c r="E295" s="31">
        <f>'PR 2025'!A293</f>
        <v>4</v>
      </c>
      <c r="F295" s="31">
        <f>'PR 2025'!B293</f>
        <v>5000004248</v>
      </c>
      <c r="G295" s="32" t="str">
        <f>'PR 2025'!C293</f>
        <v>MOUSE USB</v>
      </c>
      <c r="H295" s="31">
        <f>'PR 2025'!D293</f>
        <v>10803700</v>
      </c>
      <c r="I295" s="31">
        <f>VLOOKUP(A295,'PO 2025'!$A$2:$Y$1440,21,FALSE)</f>
        <v>79707738</v>
      </c>
      <c r="J295" s="31">
        <f>'PR 2025'!E293</f>
        <v>5</v>
      </c>
      <c r="K295" s="33" t="str">
        <f>'PR 2025'!F293</f>
        <v>BH</v>
      </c>
      <c r="L295" s="34">
        <f>'PR 2025'!T293</f>
        <v>45880</v>
      </c>
      <c r="M295" s="31" t="str">
        <f>'PR 2025'!AG293</f>
        <v>R</v>
      </c>
      <c r="N295" s="34">
        <f>VLOOKUP(C295,'GRS 2025'!$A$2:$AH$1992,4,FALSE)</f>
        <v>45895</v>
      </c>
      <c r="O295" s="69" t="str">
        <f>'PR 2025'!AJ293</f>
        <v>U/ BAGIAN MARKETING (3) &amp; FINAL INSPECTING LJ1 (2) (HS CODE : 8528.52.00). ELFHA &amp; MARGIANTO</v>
      </c>
    </row>
    <row r="296" spans="1:15" x14ac:dyDescent="0.25">
      <c r="A296" s="22" t="str">
        <f t="shared" si="186"/>
        <v>5000012021108037005</v>
      </c>
      <c r="B296" s="22" t="str">
        <f t="shared" si="187"/>
        <v>5000012021797077385</v>
      </c>
      <c r="C296" s="22" t="str">
        <f t="shared" si="188"/>
        <v>500001202179707738</v>
      </c>
      <c r="D296" s="31">
        <v>293</v>
      </c>
      <c r="E296" s="31">
        <f>'PR 2025'!A294</f>
        <v>5</v>
      </c>
      <c r="F296" s="31">
        <f>'PR 2025'!B294</f>
        <v>5000012021</v>
      </c>
      <c r="G296" s="32" t="str">
        <f>'PR 2025'!C294</f>
        <v>KABEL VGA</v>
      </c>
      <c r="H296" s="31">
        <f>'PR 2025'!D294</f>
        <v>10803700</v>
      </c>
      <c r="I296" s="31">
        <f>VLOOKUP(A296,'PO 2025'!$A$2:$Y$1440,21,FALSE)</f>
        <v>79707738</v>
      </c>
      <c r="J296" s="31">
        <f>'PR 2025'!E294</f>
        <v>5</v>
      </c>
      <c r="K296" s="33" t="str">
        <f>'PR 2025'!F294</f>
        <v>BH</v>
      </c>
      <c r="L296" s="34">
        <f>'PR 2025'!T294</f>
        <v>45880</v>
      </c>
      <c r="M296" s="31" t="str">
        <f>'PR 2025'!AG294</f>
        <v>R</v>
      </c>
      <c r="N296" s="34">
        <f>VLOOKUP(C296,'GRS 2025'!$A$2:$AH$1992,4,FALSE)</f>
        <v>45895</v>
      </c>
      <c r="O296" s="69" t="str">
        <f>'PR 2025'!AJ294</f>
        <v>U/ BAGIAN MARKETING (3) &amp; FINAL INSPECTING LJ1 (2) (HS CODE : 8528.52.00). ELFHA &amp; MARGIANTO</v>
      </c>
    </row>
    <row r="297" spans="1:15" x14ac:dyDescent="0.25">
      <c r="A297" s="22" t="str">
        <f t="shared" si="186"/>
        <v>5000016428108037006</v>
      </c>
      <c r="B297" s="22" t="str">
        <f t="shared" si="187"/>
        <v>5000016428797077376</v>
      </c>
      <c r="C297" s="22" t="str">
        <f t="shared" si="188"/>
        <v>500001642879707737</v>
      </c>
      <c r="D297" s="31">
        <v>294</v>
      </c>
      <c r="E297" s="31">
        <f>'PR 2025'!A295</f>
        <v>6</v>
      </c>
      <c r="F297" s="31">
        <f>'PR 2025'!B295</f>
        <v>5000016428</v>
      </c>
      <c r="G297" s="32" t="str">
        <f>'PR 2025'!C295</f>
        <v>PRINTER EPSON L-121</v>
      </c>
      <c r="H297" s="31">
        <f>'PR 2025'!D295</f>
        <v>10803700</v>
      </c>
      <c r="I297" s="31">
        <f>VLOOKUP(A297,'PO 2025'!$A$2:$Y$1440,21,FALSE)</f>
        <v>79707737</v>
      </c>
      <c r="J297" s="31">
        <f>'PR 2025'!E295</f>
        <v>1</v>
      </c>
      <c r="K297" s="33" t="str">
        <f>'PR 2025'!F295</f>
        <v>UNT</v>
      </c>
      <c r="L297" s="34">
        <f>'PR 2025'!T295</f>
        <v>45880</v>
      </c>
      <c r="M297" s="31" t="str">
        <f>'PR 2025'!AG295</f>
        <v>R</v>
      </c>
      <c r="N297" s="34">
        <f>VLOOKUP(C297,'GRS 2025'!$A$2:$AH$1992,4,FALSE)</f>
        <v>45889</v>
      </c>
      <c r="O297" s="69" t="str">
        <f>'PR 2025'!AJ295</f>
        <v>U/ BAGIAN FINAL INSPECTING LJ2 (HS CODE : 8443.31.11). JASSEN</v>
      </c>
    </row>
    <row r="298" spans="1:15" x14ac:dyDescent="0.25">
      <c r="A298" s="22" t="str">
        <f t="shared" si="186"/>
        <v>5000017216108037491</v>
      </c>
      <c r="B298" s="22" t="str">
        <f t="shared" si="187"/>
        <v>5000017216797078221</v>
      </c>
      <c r="C298" s="22" t="str">
        <f t="shared" si="188"/>
        <v>500001721679707822</v>
      </c>
      <c r="D298" s="31">
        <v>295</v>
      </c>
      <c r="E298" s="31">
        <f>'PR 2025'!A296</f>
        <v>1</v>
      </c>
      <c r="F298" s="31">
        <f>'PR 2025'!B296</f>
        <v>5000017216</v>
      </c>
      <c r="G298" s="32" t="str">
        <f>'PR 2025'!C296</f>
        <v>MONITOR LCD 22 INCH</v>
      </c>
      <c r="H298" s="31">
        <f>'PR 2025'!D296</f>
        <v>10803749</v>
      </c>
      <c r="I298" s="31">
        <f>VLOOKUP(A298,'PO 2025'!$A$2:$Y$1440,21,FALSE)</f>
        <v>79707822</v>
      </c>
      <c r="J298" s="31">
        <f>'PR 2025'!E296</f>
        <v>1</v>
      </c>
      <c r="K298" s="33" t="str">
        <f>'PR 2025'!F296</f>
        <v>UNT</v>
      </c>
      <c r="L298" s="34">
        <f>'PR 2025'!T296</f>
        <v>45881</v>
      </c>
      <c r="M298" s="31" t="str">
        <f>'PR 2025'!AG296</f>
        <v>R</v>
      </c>
      <c r="N298" s="34">
        <f>VLOOKUP(C298,'GRS 2025'!$A$2:$AH$1992,4,FALSE)</f>
        <v>45895</v>
      </c>
      <c r="O298" s="69" t="str">
        <f>'PR 2025'!AJ296</f>
        <v>U/ MENGGANTI YG RUSAK BAGIAN DF LJ2 (HS CODE : 8528.52.00). AGUS</v>
      </c>
    </row>
    <row r="299" spans="1:15" x14ac:dyDescent="0.25">
      <c r="A299" s="22" t="str">
        <f t="shared" ref="A299:A300" si="189">F299&amp;H299&amp;E299</f>
        <v>5000008929108038131</v>
      </c>
      <c r="B299" s="22" t="str">
        <f t="shared" ref="B299:B300" si="190">F299&amp;I299&amp;E299</f>
        <v>5000008929797079221</v>
      </c>
      <c r="C299" s="22" t="str">
        <f t="shared" ref="C299:C300" si="191">F299&amp;I299</f>
        <v>500000892979707922</v>
      </c>
      <c r="D299" s="31">
        <v>296</v>
      </c>
      <c r="E299" s="31">
        <f>'PR 2025'!A297</f>
        <v>1</v>
      </c>
      <c r="F299" s="31">
        <f>'PR 2025'!B297</f>
        <v>5000008929</v>
      </c>
      <c r="G299" s="32" t="str">
        <f>'PR 2025'!C297</f>
        <v>FAN PROCESSOR P4 LGA</v>
      </c>
      <c r="H299" s="31">
        <f>'PR 2025'!D297</f>
        <v>10803813</v>
      </c>
      <c r="I299" s="31">
        <f>VLOOKUP(A299,'PO 2025'!$A$2:$Y$1440,21,FALSE)</f>
        <v>79707922</v>
      </c>
      <c r="J299" s="31">
        <f>'PR 2025'!E297</f>
        <v>2</v>
      </c>
      <c r="K299" s="33" t="str">
        <f>'PR 2025'!F297</f>
        <v>BH</v>
      </c>
      <c r="L299" s="34">
        <f>'PR 2025'!T297</f>
        <v>45887</v>
      </c>
      <c r="M299" s="31" t="str">
        <f>'PR 2025'!AG297</f>
        <v>R</v>
      </c>
      <c r="N299" s="34">
        <f>VLOOKUP(C299,'GRS 2025'!$A$2:$AH$1992,4,FALSE)</f>
        <v>45895</v>
      </c>
      <c r="O299" s="69" t="str">
        <f>'PR 2025'!AJ297</f>
        <v>U/ BAGIAN QA GREY LJ1 &amp; INSPECTING GREY LJ1 (HS CODE : 8414.59.10). RICKY</v>
      </c>
    </row>
    <row r="300" spans="1:15" x14ac:dyDescent="0.25">
      <c r="A300" s="22" t="str">
        <f t="shared" si="189"/>
        <v>5000005340108038132</v>
      </c>
      <c r="B300" s="22" t="str">
        <f t="shared" si="190"/>
        <v>5000005340797079222</v>
      </c>
      <c r="C300" s="22" t="str">
        <f t="shared" si="191"/>
        <v>500000534079707922</v>
      </c>
      <c r="D300" s="31">
        <v>297</v>
      </c>
      <c r="E300" s="31">
        <f>'PR 2025'!A298</f>
        <v>2</v>
      </c>
      <c r="F300" s="31">
        <f>'PR 2025'!B298</f>
        <v>5000005340</v>
      </c>
      <c r="G300" s="32" t="str">
        <f>'PR 2025'!C298</f>
        <v>POWER SUPLY ATX 450 WATT</v>
      </c>
      <c r="H300" s="31">
        <f>'PR 2025'!D298</f>
        <v>10803813</v>
      </c>
      <c r="I300" s="31">
        <f>VLOOKUP(A300,'PO 2025'!$A$2:$Y$1440,21,FALSE)</f>
        <v>79707922</v>
      </c>
      <c r="J300" s="31">
        <f>'PR 2025'!E298</f>
        <v>3</v>
      </c>
      <c r="K300" s="33" t="str">
        <f>'PR 2025'!F298</f>
        <v>UNT</v>
      </c>
      <c r="L300" s="34">
        <f>'PR 2025'!T298</f>
        <v>45887</v>
      </c>
      <c r="M300" s="31" t="str">
        <f>'PR 2025'!AG298</f>
        <v>R</v>
      </c>
      <c r="N300" s="34">
        <f>VLOOKUP(C300,'GRS 2025'!$A$2:$AH$1992,4,FALSE)</f>
        <v>45895</v>
      </c>
      <c r="O300" s="69" t="str">
        <f>'PR 2025'!AJ298</f>
        <v>U/ BAGIAN QA GREY LJ1 (2) DAN INSPECTING GREY LJ1 (1) (HS CODE : 8414.59.10). RICKY</v>
      </c>
    </row>
    <row r="301" spans="1:15" x14ac:dyDescent="0.25">
      <c r="A301" s="22" t="str">
        <f t="shared" ref="A301:A317" si="192">F301&amp;H301&amp;E301</f>
        <v>5000016930108038481</v>
      </c>
      <c r="B301" s="22" t="str">
        <f t="shared" ref="B301:B317" si="193">F301&amp;I301&amp;E301</f>
        <v>5000016930797098861</v>
      </c>
      <c r="C301" s="22" t="str">
        <f t="shared" ref="C301:C317" si="194">F301&amp;I301</f>
        <v>500001693079709886</v>
      </c>
      <c r="D301" s="31">
        <v>298</v>
      </c>
      <c r="E301" s="31">
        <f>'PR 2025'!A299</f>
        <v>1</v>
      </c>
      <c r="F301" s="31">
        <f>'PR 2025'!B299</f>
        <v>5000016930</v>
      </c>
      <c r="G301" s="32" t="str">
        <f>'PR 2025'!C299</f>
        <v>PRINT SERVER</v>
      </c>
      <c r="H301" s="31">
        <f>'PR 2025'!D299</f>
        <v>10803848</v>
      </c>
      <c r="I301" s="31">
        <f>VLOOKUP(A301,'PO 2025'!$A$2:$Y$1440,21,FALSE)</f>
        <v>79709886</v>
      </c>
      <c r="J301" s="31">
        <f>'PR 2025'!E299</f>
        <v>1</v>
      </c>
      <c r="K301" s="33" t="str">
        <f>'PR 2025'!F299</f>
        <v>BH</v>
      </c>
      <c r="L301" s="34">
        <f>'PR 2025'!T299</f>
        <v>45889</v>
      </c>
      <c r="M301" s="31" t="str">
        <f>'PR 2025'!AG299</f>
        <v>R</v>
      </c>
      <c r="N301" s="34">
        <f>VLOOKUP(C301,'GRS 2025'!$A$2:$AH$1992,4,FALSE)</f>
        <v>45944</v>
      </c>
      <c r="O301" s="69" t="str">
        <f>'PR 2025'!AJ299</f>
        <v>U/ BAGIAN WEAVING LJ2 (HS CODE : 8517.79.10). SHENNY</v>
      </c>
    </row>
    <row r="302" spans="1:15" x14ac:dyDescent="0.25">
      <c r="A302" s="22" t="str">
        <f t="shared" si="192"/>
        <v>5000017216108038731</v>
      </c>
      <c r="B302" s="22" t="str">
        <f t="shared" si="193"/>
        <v>5000017216797080691</v>
      </c>
      <c r="C302" s="22" t="str">
        <f t="shared" si="194"/>
        <v>500001721679708069</v>
      </c>
      <c r="D302" s="31">
        <v>299</v>
      </c>
      <c r="E302" s="31">
        <f>'PR 2025'!A300</f>
        <v>1</v>
      </c>
      <c r="F302" s="31">
        <f>'PR 2025'!B300</f>
        <v>5000017216</v>
      </c>
      <c r="G302" s="32" t="str">
        <f>'PR 2025'!C300</f>
        <v>MONITOR LCD 22 INCH</v>
      </c>
      <c r="H302" s="31">
        <f>'PR 2025'!D300</f>
        <v>10803873</v>
      </c>
      <c r="I302" s="31">
        <f>VLOOKUP(A302,'PO 2025'!$A$2:$Y$1440,21,FALSE)</f>
        <v>79708069</v>
      </c>
      <c r="J302" s="31">
        <f>'PR 2025'!E300</f>
        <v>1</v>
      </c>
      <c r="K302" s="33" t="str">
        <f>'PR 2025'!F300</f>
        <v>UNT</v>
      </c>
      <c r="L302" s="34">
        <f>'PR 2025'!T300</f>
        <v>45890</v>
      </c>
      <c r="M302" s="31" t="str">
        <f>'PR 2025'!AG300</f>
        <v>R</v>
      </c>
      <c r="N302" s="34">
        <f>VLOOKUP(C302,'GRS 2025'!$A$2:$AH$1992,4,FALSE)</f>
        <v>45902</v>
      </c>
      <c r="O302" s="69" t="str">
        <f>'PR 2025'!AJ300</f>
        <v>U/ BAGIAN BI : KEBUTUHAN PEKERJAAN DALAM MENGGAMBAR MENGGUNAKAN AUTOCAD (HS CODE : 8528.52.00). INSAN</v>
      </c>
    </row>
    <row r="303" spans="1:15" ht="30" x14ac:dyDescent="0.25">
      <c r="A303" s="22" t="str">
        <f t="shared" si="192"/>
        <v>5000012021108038735</v>
      </c>
      <c r="B303" s="22" t="str">
        <f t="shared" si="193"/>
        <v>5000012021797080695</v>
      </c>
      <c r="C303" s="22" t="str">
        <f t="shared" si="194"/>
        <v>500001202179708069</v>
      </c>
      <c r="D303" s="31">
        <v>300</v>
      </c>
      <c r="E303" s="31">
        <f>'PR 2025'!A301</f>
        <v>5</v>
      </c>
      <c r="F303" s="31">
        <f>'PR 2025'!B301</f>
        <v>5000012021</v>
      </c>
      <c r="G303" s="32" t="str">
        <f>'PR 2025'!C301</f>
        <v>KABEL VGA</v>
      </c>
      <c r="H303" s="31">
        <f>'PR 2025'!D301</f>
        <v>10803873</v>
      </c>
      <c r="I303" s="31">
        <f>VLOOKUP(A303,'PO 2025'!$A$2:$Y$1440,21,FALSE)</f>
        <v>79708069</v>
      </c>
      <c r="J303" s="31">
        <f>'PR 2025'!E301</f>
        <v>1</v>
      </c>
      <c r="K303" s="33" t="str">
        <f>'PR 2025'!F301</f>
        <v>BH</v>
      </c>
      <c r="L303" s="34">
        <f>'PR 2025'!T301</f>
        <v>45890</v>
      </c>
      <c r="M303" s="31" t="str">
        <f>'PR 2025'!AG301</f>
        <v>R</v>
      </c>
      <c r="N303" s="34">
        <f>VLOOKUP(C303,'GRS 2025'!$A$2:$AH$1992,4,FALSE)</f>
        <v>45902</v>
      </c>
      <c r="O303" s="69" t="str">
        <f>'PR 2025'!AJ301</f>
        <v>TYPE NVDIA GTX 1660 (VRAM 4GB), U/ BAGIAN BI : KEBUTUHAN PEKERJAAN DALAM MENGGAMBAR MENGGUNAKAN AUTOCAD (HS CODE : 8528.52.00). INSAN</v>
      </c>
    </row>
    <row r="304" spans="1:15" x14ac:dyDescent="0.25">
      <c r="A304" s="22" t="str">
        <f t="shared" si="192"/>
        <v>5000004248108038734</v>
      </c>
      <c r="B304" s="22" t="str">
        <f t="shared" si="193"/>
        <v>5000004248797080694</v>
      </c>
      <c r="C304" s="22" t="str">
        <f t="shared" si="194"/>
        <v>500000424879708069</v>
      </c>
      <c r="D304" s="31">
        <v>301</v>
      </c>
      <c r="E304" s="31">
        <f>'PR 2025'!A302</f>
        <v>4</v>
      </c>
      <c r="F304" s="31">
        <f>'PR 2025'!B302</f>
        <v>5000004248</v>
      </c>
      <c r="G304" s="32" t="str">
        <f>'PR 2025'!C302</f>
        <v>MOUSE USB</v>
      </c>
      <c r="H304" s="31">
        <f>'PR 2025'!D302</f>
        <v>10803873</v>
      </c>
      <c r="I304" s="31">
        <f>VLOOKUP(A304,'PO 2025'!$A$2:$Y$1440,21,FALSE)</f>
        <v>79708069</v>
      </c>
      <c r="J304" s="31">
        <f>'PR 2025'!E302</f>
        <v>1</v>
      </c>
      <c r="K304" s="33" t="str">
        <f>'PR 2025'!F302</f>
        <v>BH</v>
      </c>
      <c r="L304" s="34">
        <f>'PR 2025'!T302</f>
        <v>45890</v>
      </c>
      <c r="M304" s="31" t="str">
        <f>'PR 2025'!AG302</f>
        <v>R</v>
      </c>
      <c r="N304" s="34">
        <f>VLOOKUP(C304,'GRS 2025'!$A$2:$AH$1992,4,FALSE)</f>
        <v>45902</v>
      </c>
      <c r="O304" s="69" t="str">
        <f>'PR 2025'!AJ302</f>
        <v>U/ BAGIAN BI : KEBUTUHAN PEKERJAAN DALAM MENGGAMBAR MENGGUNAKAN AUTOCAD (HS CODE : 8528.52.00). INSAN</v>
      </c>
    </row>
    <row r="305" spans="1:15" x14ac:dyDescent="0.25">
      <c r="A305" s="22" t="str">
        <f t="shared" si="192"/>
        <v>5000005059108038733</v>
      </c>
      <c r="B305" s="22" t="str">
        <f t="shared" si="193"/>
        <v>5000005059797080693</v>
      </c>
      <c r="C305" s="22" t="str">
        <f t="shared" si="194"/>
        <v>500000505979708069</v>
      </c>
      <c r="D305" s="31">
        <v>302</v>
      </c>
      <c r="E305" s="31">
        <f>'PR 2025'!A303</f>
        <v>3</v>
      </c>
      <c r="F305" s="31">
        <f>'PR 2025'!B303</f>
        <v>5000005059</v>
      </c>
      <c r="G305" s="32" t="str">
        <f>'PR 2025'!C303</f>
        <v>KEYBOARD USB</v>
      </c>
      <c r="H305" s="31">
        <f>'PR 2025'!D303</f>
        <v>10803873</v>
      </c>
      <c r="I305" s="31">
        <f>VLOOKUP(A305,'PO 2025'!$A$2:$Y$1440,21,FALSE)</f>
        <v>79708069</v>
      </c>
      <c r="J305" s="31">
        <f>'PR 2025'!E303</f>
        <v>1</v>
      </c>
      <c r="K305" s="33" t="str">
        <f>'PR 2025'!F303</f>
        <v>BH</v>
      </c>
      <c r="L305" s="34">
        <f>'PR 2025'!T303</f>
        <v>45890</v>
      </c>
      <c r="M305" s="31" t="str">
        <f>'PR 2025'!AG303</f>
        <v>R</v>
      </c>
      <c r="N305" s="34">
        <f>VLOOKUP(C305,'GRS 2025'!$A$2:$AH$1992,4,FALSE)</f>
        <v>45902</v>
      </c>
      <c r="O305" s="69" t="str">
        <f>'PR 2025'!AJ303</f>
        <v>U/ BAGIAN BI : KEBUTUHAN PEKERJAAN DALAM MENGGAMBAR MENGGUNAKAN AUTOCAD (HS CODE : 8528.52.00). INSAN</v>
      </c>
    </row>
    <row r="306" spans="1:15" ht="30" x14ac:dyDescent="0.25">
      <c r="A306" s="22" t="str">
        <f t="shared" si="192"/>
        <v>5000016583108038732</v>
      </c>
      <c r="B306" s="22" t="str">
        <f t="shared" si="193"/>
        <v>5000016583797083392</v>
      </c>
      <c r="C306" s="22" t="str">
        <f t="shared" si="194"/>
        <v>500001658379708339</v>
      </c>
      <c r="D306" s="31">
        <v>303</v>
      </c>
      <c r="E306" s="31">
        <f>'PR 2025'!A304</f>
        <v>2</v>
      </c>
      <c r="F306" s="31">
        <f>'PR 2025'!B304</f>
        <v>5000016583</v>
      </c>
      <c r="G306" s="32" t="str">
        <f>'PR 2025'!C304</f>
        <v>CPU BUILDUP I7</v>
      </c>
      <c r="H306" s="31">
        <f>'PR 2025'!D304</f>
        <v>10803873</v>
      </c>
      <c r="I306" s="31">
        <f>VLOOKUP(A306,'PO 2025'!$A$2:$Y$1440,21,FALSE)</f>
        <v>79708339</v>
      </c>
      <c r="J306" s="31">
        <f>'PR 2025'!E304</f>
        <v>1</v>
      </c>
      <c r="K306" s="33" t="str">
        <f>'PR 2025'!F304</f>
        <v>UNT</v>
      </c>
      <c r="L306" s="34">
        <f>'PR 2025'!T304</f>
        <v>45890</v>
      </c>
      <c r="M306" s="31" t="str">
        <f>'PR 2025'!AG304</f>
        <v>R</v>
      </c>
      <c r="N306" s="34">
        <f>VLOOKUP(C306,'GRS 2025'!$A$2:$AH$1992,4,FALSE)</f>
        <v>45910</v>
      </c>
      <c r="O306" s="69" t="str">
        <f>'PR 2025'!AJ304</f>
        <v>GEN 6 KEATAS, U/ BAGIAN BI : KEBUTUHAN PEKERJAAN DALAM MENGGAMBAR MENGGUNAKAN AUTOCAD (HS CODE : 8528.52.00). INSAN</v>
      </c>
    </row>
    <row r="307" spans="1:15" x14ac:dyDescent="0.25">
      <c r="A307" s="22" t="str">
        <f t="shared" si="192"/>
        <v>5000016255108038941</v>
      </c>
      <c r="B307" s="22" t="str">
        <f t="shared" si="193"/>
        <v>5000016255797082911</v>
      </c>
      <c r="C307" s="22" t="str">
        <f t="shared" si="194"/>
        <v>500001625579708291</v>
      </c>
      <c r="D307" s="31">
        <v>304</v>
      </c>
      <c r="E307" s="31">
        <f>'PR 2025'!A305</f>
        <v>1</v>
      </c>
      <c r="F307" s="31">
        <f>'PR 2025'!B305</f>
        <v>5000016255</v>
      </c>
      <c r="G307" s="32" t="str">
        <f>'PR 2025'!C305</f>
        <v>SSD SATA 256GB</v>
      </c>
      <c r="H307" s="31">
        <f>'PR 2025'!D305</f>
        <v>10803894</v>
      </c>
      <c r="I307" s="31">
        <f>VLOOKUP(A307,'PO 2025'!$A$2:$Y$1440,21,FALSE)</f>
        <v>79708291</v>
      </c>
      <c r="J307" s="31">
        <f>'PR 2025'!E305</f>
        <v>2</v>
      </c>
      <c r="K307" s="33" t="str">
        <f>'PR 2025'!F305</f>
        <v>BH</v>
      </c>
      <c r="L307" s="34">
        <f>'PR 2025'!T305</f>
        <v>45892</v>
      </c>
      <c r="M307" s="31" t="str">
        <f>'PR 2025'!AG305</f>
        <v>R</v>
      </c>
      <c r="N307" s="34">
        <f>VLOOKUP(C307,'GRS 2025'!$A$2:$AH$1992,4,FALSE)</f>
        <v>45911</v>
      </c>
      <c r="O307" s="69" t="str">
        <f>'PR 2025'!AJ305</f>
        <v>U/ MENGGANTI YANG RUSAK BAGIAN TAX ACC DAN PJS FACTORY MANAGER (HS CODE : 8471.50.90). RANI &amp; ERDI</v>
      </c>
    </row>
    <row r="308" spans="1:15" x14ac:dyDescent="0.25">
      <c r="A308" s="22" t="str">
        <f t="shared" si="192"/>
        <v>5000015919108038942</v>
      </c>
      <c r="B308" s="22" t="str">
        <f t="shared" si="193"/>
        <v>5000015919797082912</v>
      </c>
      <c r="C308" s="22" t="str">
        <f t="shared" si="194"/>
        <v>500001591979708291</v>
      </c>
      <c r="D308" s="31">
        <v>305</v>
      </c>
      <c r="E308" s="31">
        <f>'PR 2025'!A306</f>
        <v>2</v>
      </c>
      <c r="F308" s="31">
        <f>'PR 2025'!B306</f>
        <v>5000015919</v>
      </c>
      <c r="G308" s="32" t="str">
        <f>'PR 2025'!C306</f>
        <v>WEBCAM PORTABLE</v>
      </c>
      <c r="H308" s="31">
        <f>'PR 2025'!D306</f>
        <v>10803894</v>
      </c>
      <c r="I308" s="31">
        <f>VLOOKUP(A308,'PO 2025'!$A$2:$Y$1440,21,FALSE)</f>
        <v>79708291</v>
      </c>
      <c r="J308" s="31">
        <f>'PR 2025'!E306</f>
        <v>1</v>
      </c>
      <c r="K308" s="33" t="str">
        <f>'PR 2025'!F306</f>
        <v>UNT</v>
      </c>
      <c r="L308" s="34">
        <f>'PR 2025'!T306</f>
        <v>45892</v>
      </c>
      <c r="M308" s="31" t="str">
        <f>'PR 2025'!AG306</f>
        <v>R</v>
      </c>
      <c r="N308" s="34">
        <f>VLOOKUP(C308,'GRS 2025'!$A$2:$AH$1992,4,FALSE)</f>
        <v>45911</v>
      </c>
      <c r="O308" s="69" t="str">
        <f>'PR 2025'!AJ306</f>
        <v>U/ ZOOM MEET DI RUANG ASST. MGR. ENGINEERING (HS CODE : 8525.81.10). M IRFAN</v>
      </c>
    </row>
    <row r="309" spans="1:15" x14ac:dyDescent="0.25">
      <c r="A309" s="22" t="str">
        <f t="shared" si="192"/>
        <v>5000015970108038943</v>
      </c>
      <c r="B309" s="22" t="str">
        <f t="shared" si="193"/>
        <v>5000015970797082913</v>
      </c>
      <c r="C309" s="22" t="str">
        <f t="shared" si="194"/>
        <v>500001597079708291</v>
      </c>
      <c r="D309" s="31">
        <v>306</v>
      </c>
      <c r="E309" s="31">
        <f>'PR 2025'!A307</f>
        <v>3</v>
      </c>
      <c r="F309" s="31">
        <f>'PR 2025'!B307</f>
        <v>5000015970</v>
      </c>
      <c r="G309" s="32" t="str">
        <f>'PR 2025'!C307</f>
        <v>MICROPHONE CLIP ON + AUDIO SPLITTER</v>
      </c>
      <c r="H309" s="31">
        <f>'PR 2025'!D307</f>
        <v>10803894</v>
      </c>
      <c r="I309" s="31">
        <f>VLOOKUP(A309,'PO 2025'!$A$2:$Y$1440,21,FALSE)</f>
        <v>79708291</v>
      </c>
      <c r="J309" s="31">
        <f>'PR 2025'!E307</f>
        <v>1</v>
      </c>
      <c r="K309" s="33" t="str">
        <f>'PR 2025'!F307</f>
        <v>UNT</v>
      </c>
      <c r="L309" s="34">
        <f>'PR 2025'!T307</f>
        <v>45892</v>
      </c>
      <c r="M309" s="31" t="str">
        <f>'PR 2025'!AG307</f>
        <v>R</v>
      </c>
      <c r="N309" s="34">
        <f>VLOOKUP(C309,'GRS 2025'!$A$2:$AH$1992,4,FALSE)</f>
        <v>45911</v>
      </c>
      <c r="O309" s="69" t="str">
        <f>'PR 2025'!AJ307</f>
        <v>U/ ZOOM MEET DI RUANG ASST. MGR. ENGINEERING (HS CODE : 8518.10.19). M IRFAN</v>
      </c>
    </row>
    <row r="310" spans="1:15" x14ac:dyDescent="0.25">
      <c r="A310" s="22" t="str">
        <f t="shared" si="192"/>
        <v>5000017216108039331</v>
      </c>
      <c r="B310" s="22" t="str">
        <f t="shared" si="193"/>
        <v>5000017216797082921</v>
      </c>
      <c r="C310" s="22" t="str">
        <f t="shared" si="194"/>
        <v>500001721679708292</v>
      </c>
      <c r="D310" s="31">
        <v>307</v>
      </c>
      <c r="E310" s="31">
        <f>'PR 2025'!A308</f>
        <v>1</v>
      </c>
      <c r="F310" s="31">
        <f>'PR 2025'!B308</f>
        <v>5000017216</v>
      </c>
      <c r="G310" s="32" t="str">
        <f>'PR 2025'!C308</f>
        <v>MONITOR LCD 22 INCH</v>
      </c>
      <c r="H310" s="31">
        <f>'PR 2025'!D308</f>
        <v>10803933</v>
      </c>
      <c r="I310" s="31">
        <f>VLOOKUP(A310,'PO 2025'!$A$2:$Y$1440,21,FALSE)</f>
        <v>79708292</v>
      </c>
      <c r="J310" s="31">
        <f>'PR 2025'!E308</f>
        <v>1</v>
      </c>
      <c r="K310" s="33" t="str">
        <f>'PR 2025'!F308</f>
        <v>UNT</v>
      </c>
      <c r="L310" s="34">
        <f>'PR 2025'!T308</f>
        <v>45895</v>
      </c>
      <c r="M310" s="31" t="str">
        <f>'PR 2025'!AG308</f>
        <v>R</v>
      </c>
      <c r="N310" s="34">
        <f>VLOOKUP(C310,'GRS 2025'!$A$2:$AH$1992,4,FALSE)</f>
        <v>45902</v>
      </c>
      <c r="O310" s="69" t="str">
        <f>'PR 2025'!AJ308</f>
        <v>U/ MENGGANTI YANG RUSAK BAGIAN INSPECTING GREY LJ1 (HS CODE : 8528.52.00). HENGKY</v>
      </c>
    </row>
    <row r="311" spans="1:15" x14ac:dyDescent="0.25">
      <c r="A311" s="22" t="str">
        <f t="shared" si="192"/>
        <v>5000012006108039332</v>
      </c>
      <c r="B311" s="22" t="str">
        <f t="shared" si="193"/>
        <v>5000012006797082922</v>
      </c>
      <c r="C311" s="22" t="str">
        <f t="shared" si="194"/>
        <v>500001200679708292</v>
      </c>
      <c r="D311" s="31">
        <v>308</v>
      </c>
      <c r="E311" s="31">
        <f>'PR 2025'!A309</f>
        <v>2</v>
      </c>
      <c r="F311" s="31">
        <f>'PR 2025'!B309</f>
        <v>5000012006</v>
      </c>
      <c r="G311" s="32" t="str">
        <f>'PR 2025'!C309</f>
        <v>MONITOR TV 32 INCH</v>
      </c>
      <c r="H311" s="31">
        <f>'PR 2025'!D309</f>
        <v>10803933</v>
      </c>
      <c r="I311" s="31">
        <f>VLOOKUP(A311,'PO 2025'!$A$2:$Y$1440,21,FALSE)</f>
        <v>79708292</v>
      </c>
      <c r="J311" s="31">
        <f>'PR 2025'!E309</f>
        <v>1</v>
      </c>
      <c r="K311" s="33" t="str">
        <f>'PR 2025'!F309</f>
        <v>UNT</v>
      </c>
      <c r="L311" s="34">
        <f>'PR 2025'!T309</f>
        <v>45895</v>
      </c>
      <c r="M311" s="31" t="str">
        <f>'PR 2025'!AG309</f>
        <v>R</v>
      </c>
      <c r="N311" s="34">
        <f>VLOOKUP(C311,'GRS 2025'!$A$2:$AH$1992,4,FALSE)</f>
        <v>45902</v>
      </c>
      <c r="O311" s="69" t="str">
        <f>'PR 2025'!AJ309</f>
        <v>U/ BAGIAN BEA CUKAI (HS CODE : 8528.52.00). DESSY</v>
      </c>
    </row>
    <row r="312" spans="1:15" x14ac:dyDescent="0.25">
      <c r="A312" s="22" t="str">
        <f t="shared" si="192"/>
        <v>5000014291108039336</v>
      </c>
      <c r="B312" s="22" t="str">
        <f t="shared" si="193"/>
        <v>5000014291797082916</v>
      </c>
      <c r="C312" s="22" t="str">
        <f t="shared" si="194"/>
        <v>500001429179708291</v>
      </c>
      <c r="D312" s="31">
        <v>309</v>
      </c>
      <c r="E312" s="31">
        <f>'PR 2025'!A310</f>
        <v>6</v>
      </c>
      <c r="F312" s="31">
        <f>'PR 2025'!B310</f>
        <v>5000014291</v>
      </c>
      <c r="G312" s="32" t="str">
        <f>'PR 2025'!C310</f>
        <v>KABEL HDMI</v>
      </c>
      <c r="H312" s="31">
        <f>'PR 2025'!D310</f>
        <v>10803933</v>
      </c>
      <c r="I312" s="31">
        <f>VLOOKUP(A312,'PO 2025'!$A$2:$Y$1440,21,FALSE)</f>
        <v>79708291</v>
      </c>
      <c r="J312" s="31">
        <f>'PR 2025'!E310</f>
        <v>1</v>
      </c>
      <c r="K312" s="33" t="str">
        <f>'PR 2025'!F310</f>
        <v>PCS</v>
      </c>
      <c r="L312" s="34">
        <f>'PR 2025'!T310</f>
        <v>45895</v>
      </c>
      <c r="M312" s="31" t="str">
        <f>'PR 2025'!AG310</f>
        <v>R</v>
      </c>
      <c r="N312" s="34">
        <f>VLOOKUP(C312,'GRS 2025'!$A$2:$AH$1992,4,FALSE)</f>
        <v>45911</v>
      </c>
      <c r="O312" s="69" t="str">
        <f>'PR 2025'!AJ310</f>
        <v>UKURAN 5 METER, U/ SHOWROOM 1 (HS CODE : 8544.20.31). GODAM</v>
      </c>
    </row>
    <row r="313" spans="1:15" x14ac:dyDescent="0.25">
      <c r="A313" s="22" t="str">
        <f t="shared" si="192"/>
        <v>5000011960108039335</v>
      </c>
      <c r="B313" s="22" t="str">
        <f t="shared" si="193"/>
        <v>5000011960797082905</v>
      </c>
      <c r="C313" s="22" t="str">
        <f t="shared" si="194"/>
        <v>500001196079708290</v>
      </c>
      <c r="D313" s="31">
        <v>310</v>
      </c>
      <c r="E313" s="31">
        <f>'PR 2025'!A311</f>
        <v>5</v>
      </c>
      <c r="F313" s="31">
        <f>'PR 2025'!B311</f>
        <v>5000011960</v>
      </c>
      <c r="G313" s="32" t="str">
        <f>'PR 2025'!C311</f>
        <v>BRACKET TV</v>
      </c>
      <c r="H313" s="31">
        <f>'PR 2025'!D311</f>
        <v>10803933</v>
      </c>
      <c r="I313" s="31">
        <f>VLOOKUP(A313,'PO 2025'!$A$2:$Y$1440,21,FALSE)</f>
        <v>79708290</v>
      </c>
      <c r="J313" s="31">
        <f>'PR 2025'!E311</f>
        <v>1</v>
      </c>
      <c r="K313" s="33" t="str">
        <f>'PR 2025'!F311</f>
        <v>BH</v>
      </c>
      <c r="L313" s="34">
        <f>'PR 2025'!T311</f>
        <v>45895</v>
      </c>
      <c r="M313" s="31" t="str">
        <f>'PR 2025'!AG311</f>
        <v>R</v>
      </c>
      <c r="N313" s="34">
        <f>VLOOKUP(C313,'GRS 2025'!$A$2:$AH$1992,4,FALSE)</f>
        <v>45902</v>
      </c>
      <c r="O313" s="69" t="str">
        <f>'PR 2025'!AJ311</f>
        <v>U/ SHOWROOM 1 (HS CODE : 8714.99.91). GODAM</v>
      </c>
    </row>
    <row r="314" spans="1:15" x14ac:dyDescent="0.25">
      <c r="A314" s="22" t="str">
        <f t="shared" si="192"/>
        <v>5000017856108039334</v>
      </c>
      <c r="B314" s="22" t="str">
        <f t="shared" si="193"/>
        <v>5000017856797082904</v>
      </c>
      <c r="C314" s="22" t="str">
        <f t="shared" si="194"/>
        <v>500001785679708290</v>
      </c>
      <c r="D314" s="31">
        <v>311</v>
      </c>
      <c r="E314" s="31">
        <f>'PR 2025'!A312</f>
        <v>4</v>
      </c>
      <c r="F314" s="31">
        <f>'PR 2025'!B312</f>
        <v>5000017856</v>
      </c>
      <c r="G314" s="32" t="str">
        <f>'PR 2025'!C312</f>
        <v>MONITOR 75 INCH</v>
      </c>
      <c r="H314" s="31">
        <f>'PR 2025'!D312</f>
        <v>10803933</v>
      </c>
      <c r="I314" s="31">
        <f>VLOOKUP(A314,'PO 2025'!$A$2:$Y$1440,21,FALSE)</f>
        <v>79708290</v>
      </c>
      <c r="J314" s="31">
        <f>'PR 2025'!E312</f>
        <v>1</v>
      </c>
      <c r="K314" s="33" t="str">
        <f>'PR 2025'!F312</f>
        <v>UNT</v>
      </c>
      <c r="L314" s="34">
        <f>'PR 2025'!T312</f>
        <v>45895</v>
      </c>
      <c r="M314" s="31" t="str">
        <f>'PR 2025'!AG312</f>
        <v>R</v>
      </c>
      <c r="N314" s="34">
        <f>VLOOKUP(C314,'GRS 2025'!$A$2:$AH$1992,4,FALSE)</f>
        <v>45902</v>
      </c>
      <c r="O314" s="69" t="str">
        <f>'PR 2025'!AJ312</f>
        <v>U/ SHOWROOM 1 (HS CODE : 8528.52.00). GODAM</v>
      </c>
    </row>
    <row r="315" spans="1:15" x14ac:dyDescent="0.25">
      <c r="A315" s="22" t="str">
        <f t="shared" si="192"/>
        <v>5000012021108039333</v>
      </c>
      <c r="B315" s="22" t="str">
        <f t="shared" si="193"/>
        <v>5000012021797095413</v>
      </c>
      <c r="C315" s="22" t="str">
        <f t="shared" si="194"/>
        <v>500001202179709541</v>
      </c>
      <c r="D315" s="31">
        <v>312</v>
      </c>
      <c r="E315" s="31">
        <f>'PR 2025'!A313</f>
        <v>3</v>
      </c>
      <c r="F315" s="31">
        <f>'PR 2025'!B313</f>
        <v>5000012021</v>
      </c>
      <c r="G315" s="32" t="str">
        <f>'PR 2025'!C313</f>
        <v>KABEL VGA</v>
      </c>
      <c r="H315" s="31">
        <f>'PR 2025'!D313</f>
        <v>10803933</v>
      </c>
      <c r="I315" s="31">
        <f>VLOOKUP(A315,'PO 2025'!$A$2:$Y$1440,21,FALSE)</f>
        <v>79709541</v>
      </c>
      <c r="J315" s="31">
        <f>'PR 2025'!E313</f>
        <v>1</v>
      </c>
      <c r="K315" s="33" t="str">
        <f>'PR 2025'!F313</f>
        <v>BH</v>
      </c>
      <c r="L315" s="34">
        <f>'PR 2025'!T313</f>
        <v>45895</v>
      </c>
      <c r="M315" s="31" t="str">
        <f>'PR 2025'!AG313</f>
        <v>R</v>
      </c>
      <c r="N315" s="34">
        <f>VLOOKUP(C315,'GRS 2025'!$A$2:$AH$1992,4,FALSE)</f>
        <v>45937</v>
      </c>
      <c r="O315" s="69" t="str">
        <f>'PR 2025'!AJ313</f>
        <v>UKURAN 5 METER, U/ BAGIAN BEA CUKAI (HS CODE : 8528.52.00). DESSY</v>
      </c>
    </row>
    <row r="316" spans="1:15" x14ac:dyDescent="0.25">
      <c r="A316" s="22" t="str">
        <f t="shared" si="192"/>
        <v>5000005340108039731</v>
      </c>
      <c r="B316" s="22" t="str">
        <f t="shared" si="193"/>
        <v>5000005340797082921</v>
      </c>
      <c r="C316" s="22" t="str">
        <f t="shared" si="194"/>
        <v>500000534079708292</v>
      </c>
      <c r="D316" s="31">
        <v>313</v>
      </c>
      <c r="E316" s="31">
        <f>'PR 2025'!A314</f>
        <v>1</v>
      </c>
      <c r="F316" s="31">
        <f>'PR 2025'!B314</f>
        <v>5000005340</v>
      </c>
      <c r="G316" s="32" t="str">
        <f>'PR 2025'!C314</f>
        <v>POWER SUPLY ATX 450 WATT</v>
      </c>
      <c r="H316" s="31">
        <f>'PR 2025'!D314</f>
        <v>10803973</v>
      </c>
      <c r="I316" s="31">
        <f>VLOOKUP(A316,'PO 2025'!$A$2:$Y$1440,21,FALSE)</f>
        <v>79708292</v>
      </c>
      <c r="J316" s="31">
        <f>'PR 2025'!E314</f>
        <v>1</v>
      </c>
      <c r="K316" s="33" t="str">
        <f>'PR 2025'!F314</f>
        <v>UNT</v>
      </c>
      <c r="L316" s="34">
        <f>'PR 2025'!T314</f>
        <v>45896</v>
      </c>
      <c r="M316" s="31" t="str">
        <f>'PR 2025'!AG314</f>
        <v>R</v>
      </c>
      <c r="N316" s="34">
        <f>VLOOKUP(C316,'GRS 2025'!$A$2:$AH$1992,4,FALSE)</f>
        <v>45902</v>
      </c>
      <c r="O316" s="69" t="str">
        <f>'PR 2025'!AJ314</f>
        <v>U/ MENGGANTI YG RUSAK BAGIAN PERSIAPAN LJ1 (HS CODE : 8414.59.10). RICKY</v>
      </c>
    </row>
    <row r="317" spans="1:15" x14ac:dyDescent="0.25">
      <c r="A317" s="22" t="str">
        <f t="shared" si="192"/>
        <v>5000016728108040121</v>
      </c>
      <c r="B317" s="22" t="str">
        <f t="shared" si="193"/>
        <v>5000016728797084001</v>
      </c>
      <c r="C317" s="22" t="str">
        <f t="shared" si="194"/>
        <v>500001672879708400</v>
      </c>
      <c r="D317" s="31">
        <v>314</v>
      </c>
      <c r="E317" s="31">
        <f>'PR 2025'!A315</f>
        <v>1</v>
      </c>
      <c r="F317" s="31">
        <f>'PR 2025'!B315</f>
        <v>5000016728</v>
      </c>
      <c r="G317" s="32" t="str">
        <f>'PR 2025'!C315</f>
        <v>SWITCH D-LINK 8 PORT</v>
      </c>
      <c r="H317" s="31">
        <f>'PR 2025'!D315</f>
        <v>10804012</v>
      </c>
      <c r="I317" s="31">
        <f>VLOOKUP(A317,'PO 2025'!$A$2:$Y$1440,21,FALSE)</f>
        <v>79708400</v>
      </c>
      <c r="J317" s="31">
        <f>'PR 2025'!E315</f>
        <v>1</v>
      </c>
      <c r="K317" s="33" t="str">
        <f>'PR 2025'!F315</f>
        <v>UNT</v>
      </c>
      <c r="L317" s="34">
        <f>'PR 2025'!T315</f>
        <v>45898</v>
      </c>
      <c r="M317" s="31" t="str">
        <f>'PR 2025'!AG315</f>
        <v>R</v>
      </c>
      <c r="N317" s="34">
        <f>VLOOKUP(C317,'GRS 2025'!$A$2:$AH$1992,4,FALSE)</f>
        <v>45909</v>
      </c>
      <c r="O317" s="69" t="str">
        <f>'PR 2025'!AJ315</f>
        <v>URGENT : U/ AREA INPOWER UTILITY (HS CODE : 8517.79.10). RICKY</v>
      </c>
    </row>
    <row r="318" spans="1:15" x14ac:dyDescent="0.25">
      <c r="A318" s="22" t="str">
        <f t="shared" ref="A318:A323" si="195">F318&amp;H318&amp;E318</f>
        <v>5000017927108040122</v>
      </c>
      <c r="B318" s="22" t="str">
        <f t="shared" ref="B318:B323" si="196">F318&amp;I318&amp;E318</f>
        <v>5000017927797083762</v>
      </c>
      <c r="C318" s="22" t="str">
        <f t="shared" ref="C318:C323" si="197">F318&amp;I318</f>
        <v>500001792779708376</v>
      </c>
      <c r="D318" s="31">
        <v>315</v>
      </c>
      <c r="E318" s="31">
        <f>'PR 2025'!A316</f>
        <v>2</v>
      </c>
      <c r="F318" s="31">
        <f>'PR 2025'!B316</f>
        <v>5000017927</v>
      </c>
      <c r="G318" s="32" t="str">
        <f>'PR 2025'!C316</f>
        <v>ANTENA TV DIGITAL</v>
      </c>
      <c r="H318" s="31">
        <f>'PR 2025'!D316</f>
        <v>10804012</v>
      </c>
      <c r="I318" s="31">
        <f>VLOOKUP(A318,'PO 2025'!$A$2:$Y$1440,21,FALSE)</f>
        <v>79708376</v>
      </c>
      <c r="J318" s="31">
        <f>'PR 2025'!E316</f>
        <v>1</v>
      </c>
      <c r="K318" s="33" t="str">
        <f>'PR 2025'!F316</f>
        <v>BH</v>
      </c>
      <c r="L318" s="34">
        <f>'PR 2025'!T316</f>
        <v>45898</v>
      </c>
      <c r="M318" s="31" t="str">
        <f>'PR 2025'!AG316</f>
        <v>R</v>
      </c>
      <c r="N318" s="34">
        <f>VLOOKUP(C318,'GRS 2025'!$A$2:$AH$1992,4,FALSE)</f>
        <v>45911</v>
      </c>
      <c r="O318" s="69" t="str">
        <f>'PR 2025'!AJ316</f>
        <v>URGENT : U/ PJS FACTORY MANAGER. IDRUS</v>
      </c>
    </row>
    <row r="319" spans="1:15" x14ac:dyDescent="0.25">
      <c r="A319" s="22" t="str">
        <f t="shared" si="195"/>
        <v>5000017216108040123</v>
      </c>
      <c r="B319" s="22" t="str">
        <f t="shared" si="196"/>
        <v>5000017216797083733</v>
      </c>
      <c r="C319" s="22" t="str">
        <f t="shared" si="197"/>
        <v>500001721679708373</v>
      </c>
      <c r="D319" s="31">
        <v>316</v>
      </c>
      <c r="E319" s="31">
        <f>'PR 2025'!A317</f>
        <v>3</v>
      </c>
      <c r="F319" s="31">
        <f>'PR 2025'!B317</f>
        <v>5000017216</v>
      </c>
      <c r="G319" s="32" t="str">
        <f>'PR 2025'!C317</f>
        <v>MONITOR LCD 22 INCH</v>
      </c>
      <c r="H319" s="31">
        <f>'PR 2025'!D317</f>
        <v>10804012</v>
      </c>
      <c r="I319" s="31">
        <f>VLOOKUP(A319,'PO 2025'!$A$2:$Y$1440,21,FALSE)</f>
        <v>79708373</v>
      </c>
      <c r="J319" s="31">
        <f>'PR 2025'!E317</f>
        <v>1</v>
      </c>
      <c r="K319" s="33" t="str">
        <f>'PR 2025'!F317</f>
        <v>UNT</v>
      </c>
      <c r="L319" s="34">
        <f>'PR 2025'!T317</f>
        <v>45898</v>
      </c>
      <c r="M319" s="31" t="str">
        <f>'PR 2025'!AG317</f>
        <v>R</v>
      </c>
      <c r="N319" s="34">
        <f>VLOOKUP(C319,'GRS 2025'!$A$2:$AH$1992,4,FALSE)</f>
        <v>45910</v>
      </c>
      <c r="O319" s="69" t="str">
        <f>'PR 2025'!AJ317</f>
        <v>URGENT : U/ WAKABAG YANG BARU BAGIAN DF LJ1 (HS CODE : 8528.52.00). PURKONANDI</v>
      </c>
    </row>
    <row r="320" spans="1:15" x14ac:dyDescent="0.25">
      <c r="A320" s="22" t="str">
        <f t="shared" si="195"/>
        <v>5000016308108040124</v>
      </c>
      <c r="B320" s="22" t="str">
        <f t="shared" si="196"/>
        <v>5000016308797083784</v>
      </c>
      <c r="C320" s="22" t="str">
        <f t="shared" si="197"/>
        <v>500001630879708378</v>
      </c>
      <c r="D320" s="31">
        <v>317</v>
      </c>
      <c r="E320" s="31">
        <f>'PR 2025'!A318</f>
        <v>4</v>
      </c>
      <c r="F320" s="31">
        <f>'PR 2025'!B318</f>
        <v>5000016308</v>
      </c>
      <c r="G320" s="32" t="str">
        <f>'PR 2025'!C318</f>
        <v>CPU BUILDUP</v>
      </c>
      <c r="H320" s="31">
        <f>'PR 2025'!D318</f>
        <v>10804012</v>
      </c>
      <c r="I320" s="31">
        <f>VLOOKUP(A320,'PO 2025'!$A$2:$Y$1440,21,FALSE)</f>
        <v>79708378</v>
      </c>
      <c r="J320" s="31">
        <f>'PR 2025'!E318</f>
        <v>1</v>
      </c>
      <c r="K320" s="33" t="str">
        <f>'PR 2025'!F318</f>
        <v>UNT</v>
      </c>
      <c r="L320" s="34">
        <f>'PR 2025'!T318</f>
        <v>45898</v>
      </c>
      <c r="M320" s="31" t="str">
        <f>'PR 2025'!AG318</f>
        <v>R</v>
      </c>
      <c r="N320" s="34">
        <f>VLOOKUP(C320,'GRS 2025'!$A$2:$AH$1992,4,FALSE)</f>
        <v>45911</v>
      </c>
      <c r="O320" s="69" t="str">
        <f>'PR 2025'!AJ318</f>
        <v>URGENT : U/ WAKABAG YANG BARU BAGIAN DF LJ1 (HS CODE : 8479.89.50). PURKONANDI</v>
      </c>
    </row>
    <row r="321" spans="1:15" x14ac:dyDescent="0.25">
      <c r="A321" s="22" t="str">
        <f t="shared" si="195"/>
        <v>5000005059108040125</v>
      </c>
      <c r="B321" s="22" t="str">
        <f t="shared" si="196"/>
        <v>5000005059797083735</v>
      </c>
      <c r="C321" s="22" t="str">
        <f t="shared" si="197"/>
        <v>500000505979708373</v>
      </c>
      <c r="D321" s="31">
        <v>318</v>
      </c>
      <c r="E321" s="31">
        <f>'PR 2025'!A319</f>
        <v>5</v>
      </c>
      <c r="F321" s="31">
        <f>'PR 2025'!B319</f>
        <v>5000005059</v>
      </c>
      <c r="G321" s="32" t="str">
        <f>'PR 2025'!C319</f>
        <v>KEYBOARD USB</v>
      </c>
      <c r="H321" s="31">
        <f>'PR 2025'!D319</f>
        <v>10804012</v>
      </c>
      <c r="I321" s="31">
        <f>VLOOKUP(A321,'PO 2025'!$A$2:$Y$1440,21,FALSE)</f>
        <v>79708373</v>
      </c>
      <c r="J321" s="31">
        <f>'PR 2025'!E319</f>
        <v>1</v>
      </c>
      <c r="K321" s="33" t="str">
        <f>'PR 2025'!F319</f>
        <v>BH</v>
      </c>
      <c r="L321" s="34">
        <f>'PR 2025'!T319</f>
        <v>45898</v>
      </c>
      <c r="M321" s="31" t="str">
        <f>'PR 2025'!AG319</f>
        <v>R</v>
      </c>
      <c r="N321" s="34">
        <f>VLOOKUP(C321,'GRS 2025'!$A$2:$AH$1992,4,FALSE)</f>
        <v>45910</v>
      </c>
      <c r="O321" s="69" t="str">
        <f>'PR 2025'!AJ319</f>
        <v>URGENT : U/ WAKABAG YANG BARU BAGIAN DF LJ1 (HS CODE : 8471.60.30). PURKONANDI</v>
      </c>
    </row>
    <row r="322" spans="1:15" x14ac:dyDescent="0.25">
      <c r="A322" s="22" t="str">
        <f t="shared" si="195"/>
        <v>5000004248108040126</v>
      </c>
      <c r="B322" s="22" t="str">
        <f t="shared" si="196"/>
        <v>5000004248797083736</v>
      </c>
      <c r="C322" s="22" t="str">
        <f t="shared" si="197"/>
        <v>500000424879708373</v>
      </c>
      <c r="D322" s="31">
        <v>319</v>
      </c>
      <c r="E322" s="31">
        <f>'PR 2025'!A320</f>
        <v>6</v>
      </c>
      <c r="F322" s="31">
        <f>'PR 2025'!B320</f>
        <v>5000004248</v>
      </c>
      <c r="G322" s="32" t="str">
        <f>'PR 2025'!C320</f>
        <v>MOUSE USB</v>
      </c>
      <c r="H322" s="31">
        <f>'PR 2025'!D320</f>
        <v>10804012</v>
      </c>
      <c r="I322" s="31">
        <f>VLOOKUP(A322,'PO 2025'!$A$2:$Y$1440,21,FALSE)</f>
        <v>79708373</v>
      </c>
      <c r="J322" s="31">
        <f>'PR 2025'!E320</f>
        <v>1</v>
      </c>
      <c r="K322" s="33" t="str">
        <f>'PR 2025'!F320</f>
        <v>BH</v>
      </c>
      <c r="L322" s="34">
        <f>'PR 2025'!T320</f>
        <v>45898</v>
      </c>
      <c r="M322" s="31" t="str">
        <f>'PR 2025'!AG320</f>
        <v>R</v>
      </c>
      <c r="N322" s="34">
        <f>VLOOKUP(C322,'GRS 2025'!$A$2:$AH$1992,4,FALSE)</f>
        <v>45910</v>
      </c>
      <c r="O322" s="69" t="str">
        <f>'PR 2025'!AJ320</f>
        <v>URGENT : U/ WAKABAG YANG BARU BAGIAN DF LJ1 (HS CODE : 8471.60.40). PURKONANDI</v>
      </c>
    </row>
    <row r="323" spans="1:15" x14ac:dyDescent="0.25">
      <c r="A323" s="22" t="str">
        <f t="shared" si="195"/>
        <v>5000012021108040127</v>
      </c>
      <c r="B323" s="22" t="str">
        <f t="shared" si="196"/>
        <v>5000012021797083737</v>
      </c>
      <c r="C323" s="22" t="str">
        <f t="shared" si="197"/>
        <v>500001202179708373</v>
      </c>
      <c r="D323" s="31">
        <v>320</v>
      </c>
      <c r="E323" s="31">
        <f>'PR 2025'!A321</f>
        <v>7</v>
      </c>
      <c r="F323" s="31">
        <f>'PR 2025'!B321</f>
        <v>5000012021</v>
      </c>
      <c r="G323" s="32" t="str">
        <f>'PR 2025'!C321</f>
        <v>KABEL VGA</v>
      </c>
      <c r="H323" s="31">
        <f>'PR 2025'!D321</f>
        <v>10804012</v>
      </c>
      <c r="I323" s="31">
        <f>VLOOKUP(A323,'PO 2025'!$A$2:$Y$1440,21,FALSE)</f>
        <v>79708373</v>
      </c>
      <c r="J323" s="31">
        <f>'PR 2025'!E321</f>
        <v>1</v>
      </c>
      <c r="K323" s="33" t="str">
        <f>'PR 2025'!F321</f>
        <v>BH</v>
      </c>
      <c r="L323" s="34">
        <f>'PR 2025'!T321</f>
        <v>45898</v>
      </c>
      <c r="M323" s="31" t="str">
        <f>'PR 2025'!AG321</f>
        <v>R</v>
      </c>
      <c r="N323" s="34">
        <f>VLOOKUP(C323,'GRS 2025'!$A$2:$AH$1992,4,FALSE)</f>
        <v>45910</v>
      </c>
      <c r="O323" s="69" t="str">
        <f>'PR 2025'!AJ321</f>
        <v>URGENT : U/ WAKABAG YANG BARU BAGIAN DF LJ1 (HS CODE : 8544.20.31). PURKONANDI</v>
      </c>
    </row>
    <row r="324" spans="1:15" x14ac:dyDescent="0.25">
      <c r="A324" s="22" t="str">
        <f t="shared" ref="A324:A331" si="198">F324&amp;H324&amp;E324</f>
        <v>5000005340108040361</v>
      </c>
      <c r="B324" s="22" t="str">
        <f t="shared" ref="B324:B331" si="199">F324&amp;I324&amp;E324</f>
        <v>5000005340797085011</v>
      </c>
      <c r="C324" s="22" t="str">
        <f t="shared" ref="C324:C331" si="200">F324&amp;I324</f>
        <v>500000534079708501</v>
      </c>
      <c r="D324" s="31">
        <v>321</v>
      </c>
      <c r="E324" s="31">
        <f>'PR 2025'!A322</f>
        <v>1</v>
      </c>
      <c r="F324" s="31">
        <f>'PR 2025'!B322</f>
        <v>5000005340</v>
      </c>
      <c r="G324" s="32" t="str">
        <f>'PR 2025'!C322</f>
        <v>POWER SUPLY ATX 450 WATT</v>
      </c>
      <c r="H324" s="31">
        <f>'PR 2025'!D322</f>
        <v>10804036</v>
      </c>
      <c r="I324" s="31">
        <f>VLOOKUP(A324,'PO 2025'!$A$2:$Y$1440,21,FALSE)</f>
        <v>79708501</v>
      </c>
      <c r="J324" s="31">
        <f>'PR 2025'!E322</f>
        <v>2</v>
      </c>
      <c r="K324" s="33" t="str">
        <f>'PR 2025'!F322</f>
        <v>UNT</v>
      </c>
      <c r="L324" s="34">
        <f>'PR 2025'!T322</f>
        <v>45901</v>
      </c>
      <c r="M324" s="31" t="str">
        <f>'PR 2025'!AG322</f>
        <v>R</v>
      </c>
      <c r="N324" s="34">
        <f>VLOOKUP(C324,'GRS 2025'!$A$2:$AH$1992,4,FALSE)</f>
        <v>45909</v>
      </c>
      <c r="O324" s="69" t="str">
        <f>'PR 2025'!AJ322</f>
        <v>U/ BAGIAN MARKETING DAN BEA CUKAI (HS CODE : 8414.59.10). ERDI</v>
      </c>
    </row>
    <row r="325" spans="1:15" x14ac:dyDescent="0.25">
      <c r="A325" s="22" t="str">
        <f t="shared" si="198"/>
        <v>5000016308108040362</v>
      </c>
      <c r="B325" s="22" t="str">
        <f t="shared" si="199"/>
        <v>5000016308797083782</v>
      </c>
      <c r="C325" s="22" t="str">
        <f t="shared" si="200"/>
        <v>500001630879708378</v>
      </c>
      <c r="D325" s="31">
        <v>322</v>
      </c>
      <c r="E325" s="31">
        <f>'PR 2025'!A323</f>
        <v>2</v>
      </c>
      <c r="F325" s="31">
        <f>'PR 2025'!B323</f>
        <v>5000016308</v>
      </c>
      <c r="G325" s="32" t="str">
        <f>'PR 2025'!C323</f>
        <v>CPU BUILDUP</v>
      </c>
      <c r="H325" s="31">
        <f>'PR 2025'!D323</f>
        <v>10804036</v>
      </c>
      <c r="I325" s="31">
        <f>VLOOKUP(A325,'PO 2025'!$A$2:$Y$1440,21,FALSE)</f>
        <v>79708378</v>
      </c>
      <c r="J325" s="31">
        <f>'PR 2025'!E323</f>
        <v>1</v>
      </c>
      <c r="K325" s="33" t="str">
        <f>'PR 2025'!F323</f>
        <v>UNT</v>
      </c>
      <c r="L325" s="34">
        <f>'PR 2025'!T323</f>
        <v>45901</v>
      </c>
      <c r="M325" s="31" t="str">
        <f>'PR 2025'!AG323</f>
        <v>R</v>
      </c>
      <c r="N325" s="34">
        <f>VLOOKUP(C325,'GRS 2025'!$A$2:$AH$1992,4,FALSE)</f>
        <v>45911</v>
      </c>
      <c r="O325" s="69" t="str">
        <f>'PR 2025'!AJ323</f>
        <v>U/ SURAPATI (HS CODE : 8479.89.50). IDRUS</v>
      </c>
    </row>
    <row r="326" spans="1:15" x14ac:dyDescent="0.25">
      <c r="A326" s="22" t="str">
        <f t="shared" si="198"/>
        <v>5000016308108040731</v>
      </c>
      <c r="B326" s="22" t="str">
        <f t="shared" si="199"/>
        <v>5000016308797087581</v>
      </c>
      <c r="C326" s="22" t="str">
        <f t="shared" si="200"/>
        <v>500001630879708758</v>
      </c>
      <c r="D326" s="31">
        <v>323</v>
      </c>
      <c r="E326" s="31">
        <f>'PR 2025'!A324</f>
        <v>1</v>
      </c>
      <c r="F326" s="31">
        <f>'PR 2025'!B324</f>
        <v>5000016308</v>
      </c>
      <c r="G326" s="32" t="str">
        <f>'PR 2025'!C324</f>
        <v>CPU BUILDUP</v>
      </c>
      <c r="H326" s="31">
        <f>'PR 2025'!D324</f>
        <v>10804073</v>
      </c>
      <c r="I326" s="31">
        <f>VLOOKUP(A326,'PO 2025'!$A$2:$Y$1440,21,FALSE)</f>
        <v>79708758</v>
      </c>
      <c r="J326" s="31">
        <f>'PR 2025'!E324</f>
        <v>2</v>
      </c>
      <c r="K326" s="33" t="str">
        <f>'PR 2025'!F324</f>
        <v>UNT</v>
      </c>
      <c r="L326" s="34">
        <f>'PR 2025'!T324</f>
        <v>45903</v>
      </c>
      <c r="M326" s="31" t="str">
        <f>'PR 2025'!AG324</f>
        <v>R</v>
      </c>
      <c r="N326" s="34">
        <f>VLOOKUP(C326,'GRS 2025'!$A$2:$AH$1992,4,FALSE)</f>
        <v>45917</v>
      </c>
      <c r="O326" s="69" t="str">
        <f>'PR 2025'!AJ324</f>
        <v>U/ MENGGANTI YG RUSAK BAGIAN ACCOUNTING DAN R&amp;D (HS CODE : 8479.89.50). LENNY &amp; SANDY</v>
      </c>
    </row>
    <row r="327" spans="1:15" x14ac:dyDescent="0.25">
      <c r="A327" s="22" t="str">
        <f t="shared" si="198"/>
        <v>5000017216108040732</v>
      </c>
      <c r="B327" s="22" t="str">
        <f t="shared" si="199"/>
        <v>5000017216797087552</v>
      </c>
      <c r="C327" s="22" t="str">
        <f t="shared" si="200"/>
        <v>500001721679708755</v>
      </c>
      <c r="D327" s="31">
        <v>324</v>
      </c>
      <c r="E327" s="31">
        <f>'PR 2025'!A325</f>
        <v>2</v>
      </c>
      <c r="F327" s="31">
        <f>'PR 2025'!B325</f>
        <v>5000017216</v>
      </c>
      <c r="G327" s="32" t="str">
        <f>'PR 2025'!C325</f>
        <v>MONITOR LCD 22 INCH</v>
      </c>
      <c r="H327" s="31">
        <f>'PR 2025'!D325</f>
        <v>10804073</v>
      </c>
      <c r="I327" s="31">
        <f>VLOOKUP(A327,'PO 2025'!$A$2:$Y$1440,21,FALSE)</f>
        <v>79708755</v>
      </c>
      <c r="J327" s="31">
        <f>'PR 2025'!E325</f>
        <v>1</v>
      </c>
      <c r="K327" s="33" t="str">
        <f>'PR 2025'!F325</f>
        <v>UNT</v>
      </c>
      <c r="L327" s="34">
        <f>'PR 2025'!T325</f>
        <v>45903</v>
      </c>
      <c r="M327" s="31" t="str">
        <f>'PR 2025'!AG325</f>
        <v>R</v>
      </c>
      <c r="N327" s="34">
        <f>VLOOKUP(C327,'GRS 2025'!$A$2:$AH$1992,4,FALSE)</f>
        <v>45915</v>
      </c>
      <c r="O327" s="69" t="str">
        <f>'PR 2025'!AJ325</f>
        <v>U/ BAGIAN R&amp;D (HS CODE : 8528.52.00). SANDY</v>
      </c>
    </row>
    <row r="328" spans="1:15" x14ac:dyDescent="0.25">
      <c r="A328" s="22" t="str">
        <f t="shared" si="198"/>
        <v>5000005059108040733</v>
      </c>
      <c r="B328" s="22" t="str">
        <f t="shared" si="199"/>
        <v>5000005059797087553</v>
      </c>
      <c r="C328" s="22" t="str">
        <f t="shared" si="200"/>
        <v>500000505979708755</v>
      </c>
      <c r="D328" s="31">
        <v>325</v>
      </c>
      <c r="E328" s="31">
        <f>'PR 2025'!A326</f>
        <v>3</v>
      </c>
      <c r="F328" s="31">
        <f>'PR 2025'!B326</f>
        <v>5000005059</v>
      </c>
      <c r="G328" s="32" t="str">
        <f>'PR 2025'!C326</f>
        <v>KEYBOARD USB</v>
      </c>
      <c r="H328" s="31">
        <f>'PR 2025'!D326</f>
        <v>10804073</v>
      </c>
      <c r="I328" s="31">
        <f>VLOOKUP(A328,'PO 2025'!$A$2:$Y$1440,21,FALSE)</f>
        <v>79708755</v>
      </c>
      <c r="J328" s="31">
        <f>'PR 2025'!E326</f>
        <v>1</v>
      </c>
      <c r="K328" s="33" t="str">
        <f>'PR 2025'!F326</f>
        <v>BH</v>
      </c>
      <c r="L328" s="34">
        <f>'PR 2025'!T326</f>
        <v>45903</v>
      </c>
      <c r="M328" s="31" t="str">
        <f>'PR 2025'!AG326</f>
        <v>R</v>
      </c>
      <c r="N328" s="34">
        <f>VLOOKUP(C328,'GRS 2025'!$A$2:$AH$1992,4,FALSE)</f>
        <v>45915</v>
      </c>
      <c r="O328" s="69" t="str">
        <f>'PR 2025'!AJ326</f>
        <v>U/ BAGIAN R&amp;D (HS CODE : 8471.60.30). SANDY</v>
      </c>
    </row>
    <row r="329" spans="1:15" x14ac:dyDescent="0.25">
      <c r="A329" s="22" t="str">
        <f t="shared" si="198"/>
        <v>5000004248108040734</v>
      </c>
      <c r="B329" s="22" t="str">
        <f t="shared" si="199"/>
        <v>5000004248797087554</v>
      </c>
      <c r="C329" s="22" t="str">
        <f t="shared" si="200"/>
        <v>500000424879708755</v>
      </c>
      <c r="D329" s="31">
        <v>326</v>
      </c>
      <c r="E329" s="31">
        <f>'PR 2025'!A327</f>
        <v>4</v>
      </c>
      <c r="F329" s="31">
        <f>'PR 2025'!B327</f>
        <v>5000004248</v>
      </c>
      <c r="G329" s="32" t="str">
        <f>'PR 2025'!C327</f>
        <v>MOUSE USB</v>
      </c>
      <c r="H329" s="31">
        <f>'PR 2025'!D327</f>
        <v>10804073</v>
      </c>
      <c r="I329" s="31">
        <f>VLOOKUP(A329,'PO 2025'!$A$2:$Y$1440,21,FALSE)</f>
        <v>79708755</v>
      </c>
      <c r="J329" s="31">
        <f>'PR 2025'!E327</f>
        <v>1</v>
      </c>
      <c r="K329" s="33" t="str">
        <f>'PR 2025'!F327</f>
        <v>BH</v>
      </c>
      <c r="L329" s="34">
        <f>'PR 2025'!T327</f>
        <v>45903</v>
      </c>
      <c r="M329" s="31" t="str">
        <f>'PR 2025'!AG327</f>
        <v>R</v>
      </c>
      <c r="N329" s="34">
        <f>VLOOKUP(C329,'GRS 2025'!$A$2:$AH$1992,4,FALSE)</f>
        <v>45915</v>
      </c>
      <c r="O329" s="69" t="str">
        <f>'PR 2025'!AJ327</f>
        <v>U/ BAGIAN R&amp;D (HS CODE : 8471.60.40). SANDY</v>
      </c>
    </row>
    <row r="330" spans="1:15" x14ac:dyDescent="0.25">
      <c r="A330" s="22" t="str">
        <f t="shared" si="198"/>
        <v>5000012021108040735</v>
      </c>
      <c r="B330" s="22" t="str">
        <f t="shared" si="199"/>
        <v>5000012021797087555</v>
      </c>
      <c r="C330" s="22" t="str">
        <f t="shared" si="200"/>
        <v>500001202179708755</v>
      </c>
      <c r="D330" s="31">
        <v>327</v>
      </c>
      <c r="E330" s="31">
        <f>'PR 2025'!A328</f>
        <v>5</v>
      </c>
      <c r="F330" s="31">
        <f>'PR 2025'!B328</f>
        <v>5000012021</v>
      </c>
      <c r="G330" s="32" t="str">
        <f>'PR 2025'!C328</f>
        <v>KABEL VGA</v>
      </c>
      <c r="H330" s="31">
        <f>'PR 2025'!D328</f>
        <v>10804073</v>
      </c>
      <c r="I330" s="31">
        <f>VLOOKUP(A330,'PO 2025'!$A$2:$Y$1440,21,FALSE)</f>
        <v>79708755</v>
      </c>
      <c r="J330" s="31">
        <f>'PR 2025'!E328</f>
        <v>1</v>
      </c>
      <c r="K330" s="33" t="str">
        <f>'PR 2025'!F328</f>
        <v>BH</v>
      </c>
      <c r="L330" s="34">
        <f>'PR 2025'!T328</f>
        <v>45903</v>
      </c>
      <c r="M330" s="31" t="str">
        <f>'PR 2025'!AG328</f>
        <v>R</v>
      </c>
      <c r="N330" s="34">
        <f>VLOOKUP(C330,'GRS 2025'!$A$2:$AH$1992,4,FALSE)</f>
        <v>45915</v>
      </c>
      <c r="O330" s="69" t="str">
        <f>'PR 2025'!AJ328</f>
        <v>U/ BAGIAN R&amp;D (HS CODE : 8544.20.31). SANDY</v>
      </c>
    </row>
    <row r="331" spans="1:15" x14ac:dyDescent="0.25">
      <c r="A331" s="22" t="str">
        <f t="shared" si="198"/>
        <v>5000008242108040911</v>
      </c>
      <c r="B331" s="22" t="str">
        <f t="shared" si="199"/>
        <v>5000008242797087551</v>
      </c>
      <c r="C331" s="22" t="str">
        <f t="shared" si="200"/>
        <v>500000824279708755</v>
      </c>
      <c r="D331" s="31">
        <v>328</v>
      </c>
      <c r="E331" s="31">
        <f>'PR 2025'!A329</f>
        <v>1</v>
      </c>
      <c r="F331" s="31">
        <f>'PR 2025'!B329</f>
        <v>5000008242</v>
      </c>
      <c r="G331" s="32" t="str">
        <f>'PR 2025'!C329</f>
        <v>USB LAN</v>
      </c>
      <c r="H331" s="31">
        <f>'PR 2025'!D329</f>
        <v>10804091</v>
      </c>
      <c r="I331" s="31">
        <f>VLOOKUP(A331,'PO 2025'!$A$2:$Y$1440,21,FALSE)</f>
        <v>79708755</v>
      </c>
      <c r="J331" s="31">
        <f>'PR 2025'!E329</f>
        <v>1</v>
      </c>
      <c r="K331" s="33" t="str">
        <f>'PR 2025'!F329</f>
        <v>PCS</v>
      </c>
      <c r="L331" s="34">
        <f>'PR 2025'!T329</f>
        <v>45904</v>
      </c>
      <c r="M331" s="31" t="str">
        <f>'PR 2025'!AG329</f>
        <v>R</v>
      </c>
      <c r="N331" s="34">
        <f>VLOOKUP(C331,'GRS 2025'!$A$2:$AH$1992,4,FALSE)</f>
        <v>45915</v>
      </c>
      <c r="O331" s="69" t="str">
        <f>'PR 2025'!AJ329</f>
        <v>U/ BAGIAN IT (HS CODE : 8454.10.00). RICKY</v>
      </c>
    </row>
    <row r="332" spans="1:15" x14ac:dyDescent="0.25">
      <c r="A332" s="22" t="str">
        <f t="shared" ref="A332:A336" si="201">F332&amp;H332&amp;E332</f>
        <v>5000017216108040912</v>
      </c>
      <c r="B332" s="22" t="str">
        <f t="shared" ref="B332:B336" si="202">F332&amp;I332&amp;E332</f>
        <v>5000017216797087552</v>
      </c>
      <c r="C332" s="22" t="str">
        <f t="shared" ref="C332:C336" si="203">F332&amp;I332</f>
        <v>500001721679708755</v>
      </c>
      <c r="D332" s="31">
        <v>329</v>
      </c>
      <c r="E332" s="31">
        <f>'PR 2025'!A330</f>
        <v>2</v>
      </c>
      <c r="F332" s="31">
        <f>'PR 2025'!B330</f>
        <v>5000017216</v>
      </c>
      <c r="G332" s="32" t="str">
        <f>'PR 2025'!C330</f>
        <v>MONITOR LCD 22 INCH</v>
      </c>
      <c r="H332" s="31">
        <f>'PR 2025'!D330</f>
        <v>10804091</v>
      </c>
      <c r="I332" s="31">
        <f>VLOOKUP(A332,'PO 2025'!$A$2:$Y$1440,21,FALSE)</f>
        <v>79708755</v>
      </c>
      <c r="J332" s="31">
        <f>'PR 2025'!E330</f>
        <v>1</v>
      </c>
      <c r="K332" s="33" t="str">
        <f>'PR 2025'!F330</f>
        <v>UNT</v>
      </c>
      <c r="L332" s="34">
        <f>'PR 2025'!T330</f>
        <v>45904</v>
      </c>
      <c r="M332" s="31" t="str">
        <f>'PR 2025'!AG330</f>
        <v>R</v>
      </c>
      <c r="N332" s="34">
        <f>VLOOKUP(C332,'GRS 2025'!$A$2:$AH$1992,4,FALSE)</f>
        <v>45915</v>
      </c>
      <c r="O332" s="69" t="str">
        <f>'PR 2025'!AJ330</f>
        <v>U/ BAGIAN AUDIT (HS CODE : 8528.52.00). WANDI</v>
      </c>
    </row>
    <row r="333" spans="1:15" x14ac:dyDescent="0.25">
      <c r="A333" s="22" t="str">
        <f t="shared" si="201"/>
        <v>5000016308108040913</v>
      </c>
      <c r="B333" s="22" t="str">
        <f t="shared" si="202"/>
        <v>5000016308797087583</v>
      </c>
      <c r="C333" s="22" t="str">
        <f t="shared" si="203"/>
        <v>500001630879708758</v>
      </c>
      <c r="D333" s="31">
        <v>330</v>
      </c>
      <c r="E333" s="31">
        <f>'PR 2025'!A331</f>
        <v>3</v>
      </c>
      <c r="F333" s="31">
        <f>'PR 2025'!B331</f>
        <v>5000016308</v>
      </c>
      <c r="G333" s="32" t="str">
        <f>'PR 2025'!C331</f>
        <v>CPU BUILDUP</v>
      </c>
      <c r="H333" s="31">
        <f>'PR 2025'!D331</f>
        <v>10804091</v>
      </c>
      <c r="I333" s="31">
        <f>VLOOKUP(A333,'PO 2025'!$A$2:$Y$1440,21,FALSE)</f>
        <v>79708758</v>
      </c>
      <c r="J333" s="31">
        <f>'PR 2025'!E331</f>
        <v>1</v>
      </c>
      <c r="K333" s="33" t="str">
        <f>'PR 2025'!F331</f>
        <v>UNT</v>
      </c>
      <c r="L333" s="34">
        <f>'PR 2025'!T331</f>
        <v>45904</v>
      </c>
      <c r="M333" s="31" t="str">
        <f>'PR 2025'!AG331</f>
        <v>R</v>
      </c>
      <c r="N333" s="34">
        <f>VLOOKUP(C333,'GRS 2025'!$A$2:$AH$1992,4,FALSE)</f>
        <v>45917</v>
      </c>
      <c r="O333" s="69" t="str">
        <f>'PR 2025'!AJ331</f>
        <v>U/ BAGIAN AUDIT (HS CODE : 8479.89.50). WANDI</v>
      </c>
    </row>
    <row r="334" spans="1:15" x14ac:dyDescent="0.25">
      <c r="A334" s="22" t="str">
        <f t="shared" si="201"/>
        <v>5000005059108040914</v>
      </c>
      <c r="B334" s="22" t="str">
        <f t="shared" si="202"/>
        <v>5000005059797087554</v>
      </c>
      <c r="C334" s="22" t="str">
        <f t="shared" si="203"/>
        <v>500000505979708755</v>
      </c>
      <c r="D334" s="31">
        <v>331</v>
      </c>
      <c r="E334" s="31">
        <f>'PR 2025'!A332</f>
        <v>4</v>
      </c>
      <c r="F334" s="31">
        <f>'PR 2025'!B332</f>
        <v>5000005059</v>
      </c>
      <c r="G334" s="32" t="str">
        <f>'PR 2025'!C332</f>
        <v>KEYBOARD USB</v>
      </c>
      <c r="H334" s="31">
        <f>'PR 2025'!D332</f>
        <v>10804091</v>
      </c>
      <c r="I334" s="31">
        <f>VLOOKUP(A334,'PO 2025'!$A$2:$Y$1440,21,FALSE)</f>
        <v>79708755</v>
      </c>
      <c r="J334" s="31">
        <f>'PR 2025'!E332</f>
        <v>1</v>
      </c>
      <c r="K334" s="33" t="str">
        <f>'PR 2025'!F332</f>
        <v>BH</v>
      </c>
      <c r="L334" s="34">
        <f>'PR 2025'!T332</f>
        <v>45904</v>
      </c>
      <c r="M334" s="31" t="str">
        <f>'PR 2025'!AG332</f>
        <v>R</v>
      </c>
      <c r="N334" s="34">
        <f>VLOOKUP(C334,'GRS 2025'!$A$2:$AH$1992,4,FALSE)</f>
        <v>45915</v>
      </c>
      <c r="O334" s="69" t="str">
        <f>'PR 2025'!AJ332</f>
        <v>U/ BAGIAN AUDIT (HS CODE : 8471.60.30). WANDI</v>
      </c>
    </row>
    <row r="335" spans="1:15" x14ac:dyDescent="0.25">
      <c r="A335" s="22" t="str">
        <f t="shared" si="201"/>
        <v>5000004248108040915</v>
      </c>
      <c r="B335" s="22" t="str">
        <f t="shared" si="202"/>
        <v>5000004248797087555</v>
      </c>
      <c r="C335" s="22" t="str">
        <f t="shared" si="203"/>
        <v>500000424879708755</v>
      </c>
      <c r="D335" s="31">
        <v>332</v>
      </c>
      <c r="E335" s="31">
        <f>'PR 2025'!A333</f>
        <v>5</v>
      </c>
      <c r="F335" s="31">
        <f>'PR 2025'!B333</f>
        <v>5000004248</v>
      </c>
      <c r="G335" s="32" t="str">
        <f>'PR 2025'!C333</f>
        <v>MOUSE USB</v>
      </c>
      <c r="H335" s="31">
        <f>'PR 2025'!D333</f>
        <v>10804091</v>
      </c>
      <c r="I335" s="31">
        <f>VLOOKUP(A335,'PO 2025'!$A$2:$Y$1440,21,FALSE)</f>
        <v>79708755</v>
      </c>
      <c r="J335" s="31">
        <f>'PR 2025'!E333</f>
        <v>1</v>
      </c>
      <c r="K335" s="33" t="str">
        <f>'PR 2025'!F333</f>
        <v>BH</v>
      </c>
      <c r="L335" s="34">
        <f>'PR 2025'!T333</f>
        <v>45904</v>
      </c>
      <c r="M335" s="31" t="str">
        <f>'PR 2025'!AG333</f>
        <v>R</v>
      </c>
      <c r="N335" s="34">
        <f>VLOOKUP(C335,'GRS 2025'!$A$2:$AH$1992,4,FALSE)</f>
        <v>45915</v>
      </c>
      <c r="O335" s="69" t="str">
        <f>'PR 2025'!AJ333</f>
        <v>U/ BAGIAN AUDIT (HS CODE : 8471.60.40). WANDI</v>
      </c>
    </row>
    <row r="336" spans="1:15" x14ac:dyDescent="0.25">
      <c r="A336" s="22" t="str">
        <f t="shared" si="201"/>
        <v>5000012021108040916</v>
      </c>
      <c r="B336" s="22" t="str">
        <f t="shared" si="202"/>
        <v>5000012021797087556</v>
      </c>
      <c r="C336" s="22" t="str">
        <f t="shared" si="203"/>
        <v>500001202179708755</v>
      </c>
      <c r="D336" s="31">
        <v>333</v>
      </c>
      <c r="E336" s="31">
        <f>'PR 2025'!A334</f>
        <v>6</v>
      </c>
      <c r="F336" s="31">
        <f>'PR 2025'!B334</f>
        <v>5000012021</v>
      </c>
      <c r="G336" s="32" t="str">
        <f>'PR 2025'!C334</f>
        <v>KABEL VGA</v>
      </c>
      <c r="H336" s="31">
        <f>'PR 2025'!D334</f>
        <v>10804091</v>
      </c>
      <c r="I336" s="31">
        <f>VLOOKUP(A336,'PO 2025'!$A$2:$Y$1440,21,FALSE)</f>
        <v>79708755</v>
      </c>
      <c r="J336" s="31">
        <f>'PR 2025'!E334</f>
        <v>1</v>
      </c>
      <c r="K336" s="33" t="str">
        <f>'PR 2025'!F334</f>
        <v>BH</v>
      </c>
      <c r="L336" s="34">
        <f>'PR 2025'!T334</f>
        <v>45904</v>
      </c>
      <c r="M336" s="31" t="str">
        <f>'PR 2025'!AG334</f>
        <v>R</v>
      </c>
      <c r="N336" s="34">
        <f>VLOOKUP(C336,'GRS 2025'!$A$2:$AH$1992,4,FALSE)</f>
        <v>45915</v>
      </c>
      <c r="O336" s="69" t="str">
        <f>'PR 2025'!AJ334</f>
        <v>U/ BAGIAN AUDIT (HS CODE : 8544.20.31). WANDI</v>
      </c>
    </row>
    <row r="337" spans="1:15" ht="30" x14ac:dyDescent="0.25">
      <c r="A337" s="22" t="str">
        <f t="shared" ref="A337:A339" si="204">F337&amp;H337&amp;E337</f>
        <v>5000004248108041521</v>
      </c>
      <c r="B337" s="22" t="str">
        <f t="shared" ref="B337:B339" si="205">F337&amp;I337&amp;E337</f>
        <v>5000004248797087551</v>
      </c>
      <c r="C337" s="22" t="str">
        <f t="shared" ref="C337:C339" si="206">F337&amp;I337</f>
        <v>500000424879708755</v>
      </c>
      <c r="D337" s="31">
        <v>334</v>
      </c>
      <c r="E337" s="31">
        <f>'PR 2025'!A335</f>
        <v>1</v>
      </c>
      <c r="F337" s="31">
        <f>'PR 2025'!B335</f>
        <v>5000004248</v>
      </c>
      <c r="G337" s="32" t="str">
        <f>'PR 2025'!C335</f>
        <v>MOUSE USB</v>
      </c>
      <c r="H337" s="31">
        <f>'PR 2025'!D335</f>
        <v>10804152</v>
      </c>
      <c r="I337" s="31">
        <f>VLOOKUP(A337,'PO 2025'!$A$2:$Y$1440,21,FALSE)</f>
        <v>79708755</v>
      </c>
      <c r="J337" s="31">
        <f>'PR 2025'!E335</f>
        <v>12</v>
      </c>
      <c r="K337" s="33" t="str">
        <f>'PR 2025'!F335</f>
        <v>BH</v>
      </c>
      <c r="L337" s="34">
        <f>'PR 2025'!T335</f>
        <v>45908</v>
      </c>
      <c r="M337" s="31" t="str">
        <f>'PR 2025'!AG335</f>
        <v>R</v>
      </c>
      <c r="N337" s="34">
        <f>VLOOKUP(C337,'GRS 2025'!$A$2:$AH$1992,4,FALSE)</f>
        <v>45915</v>
      </c>
      <c r="O337" s="69" t="str">
        <f>'PR 2025'!AJ335</f>
        <v>U/ BAGIAN QA (2), BI (1), FINAL (2), MARKETING (2), PPC PROCCESSING (1), GUDANG GREY (1), GUDANG BENANG (1) DAN RND PROCCESSING (2) (HS CODE : 8471.60.40). ALI</v>
      </c>
    </row>
    <row r="338" spans="1:15" x14ac:dyDescent="0.25">
      <c r="A338" s="22" t="str">
        <f t="shared" si="204"/>
        <v>5000013080108041522</v>
      </c>
      <c r="B338" s="22" t="str">
        <f t="shared" si="205"/>
        <v>5000013080797088472</v>
      </c>
      <c r="C338" s="22" t="str">
        <f t="shared" si="206"/>
        <v>500001308079708847</v>
      </c>
      <c r="D338" s="31">
        <v>335</v>
      </c>
      <c r="E338" s="31">
        <f>'PR 2025'!A336</f>
        <v>2</v>
      </c>
      <c r="F338" s="31">
        <f>'PR 2025'!B336</f>
        <v>5000013080</v>
      </c>
      <c r="G338" s="32" t="str">
        <f>'PR 2025'!C336</f>
        <v>ADAPTOR 12V</v>
      </c>
      <c r="H338" s="31">
        <f>'PR 2025'!D336</f>
        <v>10804152</v>
      </c>
      <c r="I338" s="31">
        <f>VLOOKUP(A338,'PO 2025'!$A$2:$Y$1440,21,FALSE)</f>
        <v>79708847</v>
      </c>
      <c r="J338" s="31">
        <f>'PR 2025'!E336</f>
        <v>1</v>
      </c>
      <c r="K338" s="33" t="str">
        <f>'PR 2025'!F336</f>
        <v>UNT</v>
      </c>
      <c r="L338" s="34">
        <f>'PR 2025'!T336</f>
        <v>45908</v>
      </c>
      <c r="M338" s="31" t="str">
        <f>'PR 2025'!AG336</f>
        <v>R</v>
      </c>
      <c r="N338" s="34">
        <f>VLOOKUP(C338,'GRS 2025'!$A$2:$AH$1992,4,FALSE)</f>
        <v>45917</v>
      </c>
      <c r="O338" s="69" t="str">
        <f>'PR 2025'!AJ336</f>
        <v>U/ SECURITY POS DEPAN (HS CODE : 8517.79.10). RICKY</v>
      </c>
    </row>
    <row r="339" spans="1:15" x14ac:dyDescent="0.25">
      <c r="A339" s="22" t="str">
        <f t="shared" si="204"/>
        <v>5000016255108041523</v>
      </c>
      <c r="B339" s="22" t="str">
        <f t="shared" si="205"/>
        <v>5000016255797087583</v>
      </c>
      <c r="C339" s="22" t="str">
        <f t="shared" si="206"/>
        <v>500001625579708758</v>
      </c>
      <c r="D339" s="31">
        <v>336</v>
      </c>
      <c r="E339" s="31">
        <f>'PR 2025'!A337</f>
        <v>3</v>
      </c>
      <c r="F339" s="31">
        <f>'PR 2025'!B337</f>
        <v>5000016255</v>
      </c>
      <c r="G339" s="32" t="str">
        <f>'PR 2025'!C337</f>
        <v>SSD SATA 256GB</v>
      </c>
      <c r="H339" s="31">
        <f>'PR 2025'!D337</f>
        <v>10804152</v>
      </c>
      <c r="I339" s="31">
        <f>VLOOKUP(A339,'PO 2025'!$A$2:$Y$1440,21,FALSE)</f>
        <v>79708758</v>
      </c>
      <c r="J339" s="31">
        <f>'PR 2025'!E337</f>
        <v>1</v>
      </c>
      <c r="K339" s="33" t="str">
        <f>'PR 2025'!F337</f>
        <v>BH</v>
      </c>
      <c r="L339" s="34">
        <f>'PR 2025'!T337</f>
        <v>45908</v>
      </c>
      <c r="M339" s="31" t="str">
        <f>'PR 2025'!AG337</f>
        <v>R</v>
      </c>
      <c r="N339" s="34">
        <f>VLOOKUP(C339,'GRS 2025'!$A$2:$AH$1992,4,FALSE)</f>
        <v>45917</v>
      </c>
      <c r="O339" s="69" t="str">
        <f>'PR 2025'!AJ337</f>
        <v>U/ BAGIAN FINAL LJ1 (HS CODE : 8471.50.90). RICKY</v>
      </c>
    </row>
    <row r="340" spans="1:15" x14ac:dyDescent="0.25">
      <c r="A340" s="22" t="str">
        <f t="shared" ref="A340" si="207">F340&amp;H340&amp;E340</f>
        <v>5000017216108041801</v>
      </c>
      <c r="B340" s="22" t="str">
        <f t="shared" ref="B340" si="208">F340&amp;I340&amp;E340</f>
        <v>5000017216797098961</v>
      </c>
      <c r="C340" s="22" t="str">
        <f t="shared" ref="C340" si="209">F340&amp;I340</f>
        <v>500001721679709896</v>
      </c>
      <c r="D340" s="31">
        <v>337</v>
      </c>
      <c r="E340" s="31">
        <f>'PR 2025'!A338</f>
        <v>1</v>
      </c>
      <c r="F340" s="31">
        <f>'PR 2025'!B338</f>
        <v>5000017216</v>
      </c>
      <c r="G340" s="32" t="str">
        <f>'PR 2025'!C338</f>
        <v>MONITOR LCD 22 INCH</v>
      </c>
      <c r="H340" s="31">
        <f>'PR 2025'!D338</f>
        <v>10804180</v>
      </c>
      <c r="I340" s="31">
        <f>VLOOKUP(A340,'PO 2025'!$A$2:$Y$1440,21,FALSE)</f>
        <v>79709896</v>
      </c>
      <c r="J340" s="31">
        <f>'PR 2025'!E338</f>
        <v>1</v>
      </c>
      <c r="K340" s="33" t="str">
        <f>'PR 2025'!F338</f>
        <v>UNT</v>
      </c>
      <c r="L340" s="34">
        <f>'PR 2025'!T338</f>
        <v>45910</v>
      </c>
      <c r="M340" s="31" t="str">
        <f>'PR 2025'!AG338</f>
        <v>R</v>
      </c>
      <c r="N340" s="34">
        <f>VLOOKUP(C340,'GRS 2025'!$A$2:$AH$1992,4,FALSE)</f>
        <v>45944</v>
      </c>
      <c r="O340" s="69" t="str">
        <f>'PR 2025'!AJ338</f>
        <v>U/ BAGIAN GD UMUM (HS CODE : 8528.52.00). MIRZA</v>
      </c>
    </row>
    <row r="341" spans="1:15" x14ac:dyDescent="0.25">
      <c r="A341" s="22" t="str">
        <f t="shared" ref="A341:A342" si="210">F341&amp;H341&amp;E341</f>
        <v>5000014291108042201</v>
      </c>
      <c r="B341" s="22" t="str">
        <f t="shared" ref="B341:B342" si="211">F341&amp;I341&amp;E341</f>
        <v>5000014291797098971</v>
      </c>
      <c r="C341" s="22" t="str">
        <f t="shared" ref="C341:C342" si="212">F341&amp;I341</f>
        <v>500001429179709897</v>
      </c>
      <c r="D341" s="31">
        <v>338</v>
      </c>
      <c r="E341" s="31">
        <f>'PR 2025'!A339</f>
        <v>1</v>
      </c>
      <c r="F341" s="31">
        <f>'PR 2025'!B339</f>
        <v>5000014291</v>
      </c>
      <c r="G341" s="32" t="str">
        <f>'PR 2025'!C339</f>
        <v>KABEL HDMI</v>
      </c>
      <c r="H341" s="31">
        <f>'PR 2025'!D339</f>
        <v>10804220</v>
      </c>
      <c r="I341" s="31">
        <f>VLOOKUP(A341,'PO 2025'!$A$2:$Y$1440,21,FALSE)</f>
        <v>79709897</v>
      </c>
      <c r="J341" s="31">
        <f>'PR 2025'!E339</f>
        <v>1</v>
      </c>
      <c r="K341" s="33" t="str">
        <f>'PR 2025'!F339</f>
        <v>PCS</v>
      </c>
      <c r="L341" s="34">
        <f>'PR 2025'!T339</f>
        <v>45911</v>
      </c>
      <c r="M341" s="31" t="str">
        <f>'PR 2025'!AG339</f>
        <v>R</v>
      </c>
      <c r="N341" s="34">
        <f>VLOOKUP(C341,'GRS 2025'!$A$2:$AH$1992,4,FALSE)</f>
        <v>45946</v>
      </c>
      <c r="O341" s="69" t="str">
        <f>'PR 2025'!AJ339</f>
        <v>UKURAN 3 METER, U/ MONITORING CCTV DI SECURITY (HS CODE : 8544.20.31). RISWADI</v>
      </c>
    </row>
    <row r="342" spans="1:15" x14ac:dyDescent="0.25">
      <c r="A342" s="22" t="str">
        <f t="shared" si="210"/>
        <v>5000013080108042202</v>
      </c>
      <c r="B342" s="22" t="str">
        <f t="shared" si="211"/>
        <v>5000013080797098902</v>
      </c>
      <c r="C342" s="22" t="str">
        <f t="shared" si="212"/>
        <v>500001308079709890</v>
      </c>
      <c r="D342" s="31">
        <v>339</v>
      </c>
      <c r="E342" s="31">
        <f>'PR 2025'!A340</f>
        <v>2</v>
      </c>
      <c r="F342" s="31">
        <f>'PR 2025'!B340</f>
        <v>5000013080</v>
      </c>
      <c r="G342" s="32" t="str">
        <f>'PR 2025'!C340</f>
        <v>ADAPTOR 12V</v>
      </c>
      <c r="H342" s="31">
        <f>'PR 2025'!D340</f>
        <v>10804220</v>
      </c>
      <c r="I342" s="31">
        <f>VLOOKUP(A342,'PO 2025'!$A$2:$Y$1440,21,FALSE)</f>
        <v>79709890</v>
      </c>
      <c r="J342" s="31">
        <f>'PR 2025'!E340</f>
        <v>3</v>
      </c>
      <c r="K342" s="33" t="str">
        <f>'PR 2025'!F340</f>
        <v>UNT</v>
      </c>
      <c r="L342" s="34">
        <f>'PR 2025'!T340</f>
        <v>45911</v>
      </c>
      <c r="M342" s="31" t="str">
        <f>'PR 2025'!AG340</f>
        <v>R</v>
      </c>
      <c r="N342" s="34">
        <f>VLOOKUP(C342,'GRS 2025'!$A$2:$AH$1992,4,FALSE)</f>
        <v>45944</v>
      </c>
      <c r="O342" s="69" t="str">
        <f>'PR 2025'!AJ340</f>
        <v>U/ MENGGANTI YG RUSAK DI MESIN SCAN KANTIN LJ2 (HS CODE : 8517.79.10). RISWADI</v>
      </c>
    </row>
    <row r="343" spans="1:15" x14ac:dyDescent="0.25">
      <c r="A343" s="22" t="str">
        <f t="shared" ref="A343" si="213">F343&amp;H343&amp;E343</f>
        <v>5000016931108043231</v>
      </c>
      <c r="B343" s="22" t="str">
        <f t="shared" ref="B343" si="214">F343&amp;I343&amp;E343</f>
        <v>5000016931797092371</v>
      </c>
      <c r="C343" s="22" t="str">
        <f t="shared" ref="C343" si="215">F343&amp;I343</f>
        <v>500001693179709237</v>
      </c>
      <c r="D343" s="31">
        <v>340</v>
      </c>
      <c r="E343" s="31">
        <f>'PR 2025'!A341</f>
        <v>1</v>
      </c>
      <c r="F343" s="31">
        <f>'PR 2025'!B341</f>
        <v>5000016931</v>
      </c>
      <c r="G343" s="32" t="str">
        <f>'PR 2025'!C341</f>
        <v>FLASHDISK 64GB</v>
      </c>
      <c r="H343" s="31">
        <f>'PR 2025'!D341</f>
        <v>10804323</v>
      </c>
      <c r="I343" s="31">
        <f>VLOOKUP(A343,'PO 2025'!$A$2:$Y$1440,21,FALSE)</f>
        <v>79709237</v>
      </c>
      <c r="J343" s="31">
        <f>'PR 2025'!E341</f>
        <v>1</v>
      </c>
      <c r="K343" s="33" t="str">
        <f>'PR 2025'!F341</f>
        <v>BH</v>
      </c>
      <c r="L343" s="34">
        <f>'PR 2025'!T341</f>
        <v>45917</v>
      </c>
      <c r="M343" s="31" t="str">
        <f>'PR 2025'!AG341</f>
        <v>R</v>
      </c>
      <c r="N343" s="34">
        <f>VLOOKUP(C343,'GRS 2025'!$A$2:$AH$1992,4,FALSE)</f>
        <v>45932</v>
      </c>
      <c r="O343" s="69" t="str">
        <f>'PR 2025'!AJ341</f>
        <v>ORDER YG TYPE C U/ BI : KEBUTUHAN PROYEK KONTRUKSI LEUWITEX (PAK ZENZEN) (HS CODE : 8523.29.71). REYZA</v>
      </c>
    </row>
    <row r="344" spans="1:15" x14ac:dyDescent="0.25">
      <c r="A344" s="22" t="str">
        <f t="shared" ref="A344:A357" si="216">F344&amp;H344&amp;E344</f>
        <v>5000017216108043341</v>
      </c>
      <c r="B344" s="22" t="str">
        <f t="shared" ref="B344:B357" si="217">F344&amp;I344&amp;E344</f>
        <v>5000017216797092541</v>
      </c>
      <c r="C344" s="22" t="str">
        <f t="shared" ref="C344:C357" si="218">F344&amp;I344</f>
        <v>500001721679709254</v>
      </c>
      <c r="D344" s="31">
        <v>341</v>
      </c>
      <c r="E344" s="31">
        <f>'PR 2025'!A342</f>
        <v>1</v>
      </c>
      <c r="F344" s="31">
        <f>'PR 2025'!B342</f>
        <v>5000017216</v>
      </c>
      <c r="G344" s="32" t="str">
        <f>'PR 2025'!C342</f>
        <v>MONITOR LCD 22 INCH</v>
      </c>
      <c r="H344" s="31">
        <f>'PR 2025'!D342</f>
        <v>10804334</v>
      </c>
      <c r="I344" s="31">
        <f>VLOOKUP(A344,'PO 2025'!$A$2:$Y$1440,21,FALSE)</f>
        <v>79709254</v>
      </c>
      <c r="J344" s="31">
        <f>'PR 2025'!E342</f>
        <v>2</v>
      </c>
      <c r="K344" s="33" t="str">
        <f>'PR 2025'!F342</f>
        <v>UNT</v>
      </c>
      <c r="L344" s="34">
        <f>'PR 2025'!T342</f>
        <v>45918</v>
      </c>
      <c r="M344" s="31" t="str">
        <f>'PR 2025'!AG342</f>
        <v>R</v>
      </c>
      <c r="N344" s="34">
        <f>VLOOKUP(C344,'GRS 2025'!$A$2:$AH$1992,4,FALSE)</f>
        <v>45932</v>
      </c>
      <c r="O344" s="69" t="str">
        <f>'PR 2025'!AJ342</f>
        <v>URGENT : U/ PENAMBAHAN KARYAWAN BARU BAGIAN OD&amp;TM (HS CODE : 8528.52.00). HENDRA</v>
      </c>
    </row>
    <row r="345" spans="1:15" x14ac:dyDescent="0.25">
      <c r="A345" s="22" t="str">
        <f t="shared" si="216"/>
        <v>5000016308108043342</v>
      </c>
      <c r="B345" s="22" t="str">
        <f t="shared" si="217"/>
        <v>5000016308797092372</v>
      </c>
      <c r="C345" s="22" t="str">
        <f t="shared" si="218"/>
        <v>500001630879709237</v>
      </c>
      <c r="D345" s="31">
        <v>342</v>
      </c>
      <c r="E345" s="31">
        <f>'PR 2025'!A343</f>
        <v>2</v>
      </c>
      <c r="F345" s="31">
        <f>'PR 2025'!B343</f>
        <v>5000016308</v>
      </c>
      <c r="G345" s="32" t="str">
        <f>'PR 2025'!C343</f>
        <v>CPU BUILDUP</v>
      </c>
      <c r="H345" s="31">
        <f>'PR 2025'!D343</f>
        <v>10804334</v>
      </c>
      <c r="I345" s="31">
        <f>VLOOKUP(A345,'PO 2025'!$A$2:$Y$1440,21,FALSE)</f>
        <v>79709237</v>
      </c>
      <c r="J345" s="31">
        <f>'PR 2025'!E343</f>
        <v>2</v>
      </c>
      <c r="K345" s="33" t="str">
        <f>'PR 2025'!F343</f>
        <v>UNT</v>
      </c>
      <c r="L345" s="34">
        <f>'PR 2025'!T343</f>
        <v>45918</v>
      </c>
      <c r="M345" s="31" t="str">
        <f>'PR 2025'!AG343</f>
        <v>R</v>
      </c>
      <c r="N345" s="34">
        <f>VLOOKUP(C345,'GRS 2025'!$A$2:$AH$1992,4,FALSE)</f>
        <v>45932</v>
      </c>
      <c r="O345" s="69" t="str">
        <f>'PR 2025'!AJ343</f>
        <v>URGENT : U/ PENAMBAHAN KARYAWAN BARU BAGIAN OD&amp;TM (HS CODE : 8479.89.50). HENDRA</v>
      </c>
    </row>
    <row r="346" spans="1:15" x14ac:dyDescent="0.25">
      <c r="A346" s="22" t="str">
        <f t="shared" si="216"/>
        <v>5000005059108043343</v>
      </c>
      <c r="B346" s="22" t="str">
        <f t="shared" si="217"/>
        <v>5000005059797092543</v>
      </c>
      <c r="C346" s="22" t="str">
        <f t="shared" si="218"/>
        <v>500000505979709254</v>
      </c>
      <c r="D346" s="31">
        <v>343</v>
      </c>
      <c r="E346" s="31">
        <f>'PR 2025'!A344</f>
        <v>3</v>
      </c>
      <c r="F346" s="31">
        <f>'PR 2025'!B344</f>
        <v>5000005059</v>
      </c>
      <c r="G346" s="32" t="str">
        <f>'PR 2025'!C344</f>
        <v>KEYBOARD USB</v>
      </c>
      <c r="H346" s="31">
        <f>'PR 2025'!D344</f>
        <v>10804334</v>
      </c>
      <c r="I346" s="31">
        <f>VLOOKUP(A346,'PO 2025'!$A$2:$Y$1440,21,FALSE)</f>
        <v>79709254</v>
      </c>
      <c r="J346" s="31">
        <f>'PR 2025'!E344</f>
        <v>2</v>
      </c>
      <c r="K346" s="33" t="str">
        <f>'PR 2025'!F344</f>
        <v>BH</v>
      </c>
      <c r="L346" s="34">
        <f>'PR 2025'!T344</f>
        <v>45918</v>
      </c>
      <c r="M346" s="31" t="str">
        <f>'PR 2025'!AG344</f>
        <v>R</v>
      </c>
      <c r="N346" s="34">
        <f>VLOOKUP(C346,'GRS 2025'!$A$2:$AH$1992,4,FALSE)</f>
        <v>45932</v>
      </c>
      <c r="O346" s="69" t="str">
        <f>'PR 2025'!AJ344</f>
        <v>URGENT : U/ PENAMBAHAN KARYAWAN BARU BAGIAN OD&amp;TM (HS CODE : 8471.60.30). HENDRA</v>
      </c>
    </row>
    <row r="347" spans="1:15" x14ac:dyDescent="0.25">
      <c r="A347" s="22" t="str">
        <f t="shared" si="216"/>
        <v>5000004248108043344</v>
      </c>
      <c r="B347" s="22" t="str">
        <f t="shared" si="217"/>
        <v>5000004248797092544</v>
      </c>
      <c r="C347" s="22" t="str">
        <f t="shared" si="218"/>
        <v>500000424879709254</v>
      </c>
      <c r="D347" s="31">
        <v>344</v>
      </c>
      <c r="E347" s="31">
        <f>'PR 2025'!A345</f>
        <v>4</v>
      </c>
      <c r="F347" s="31">
        <f>'PR 2025'!B345</f>
        <v>5000004248</v>
      </c>
      <c r="G347" s="32" t="str">
        <f>'PR 2025'!C345</f>
        <v>MOUSE USB</v>
      </c>
      <c r="H347" s="31">
        <f>'PR 2025'!D345</f>
        <v>10804334</v>
      </c>
      <c r="I347" s="31">
        <f>VLOOKUP(A347,'PO 2025'!$A$2:$Y$1440,21,FALSE)</f>
        <v>79709254</v>
      </c>
      <c r="J347" s="31">
        <f>'PR 2025'!E345</f>
        <v>2</v>
      </c>
      <c r="K347" s="33" t="str">
        <f>'PR 2025'!F345</f>
        <v>BH</v>
      </c>
      <c r="L347" s="34">
        <f>'PR 2025'!T345</f>
        <v>45918</v>
      </c>
      <c r="M347" s="31" t="str">
        <f>'PR 2025'!AG345</f>
        <v>R</v>
      </c>
      <c r="N347" s="34">
        <f>VLOOKUP(C347,'GRS 2025'!$A$2:$AH$1992,4,FALSE)</f>
        <v>45932</v>
      </c>
      <c r="O347" s="69" t="str">
        <f>'PR 2025'!AJ345</f>
        <v>URGENT : U/ PENAMBAHAN KARYAWAN BARU BAGIAN OD&amp;TM (HS CODE : 8471.60.40). HENDRA</v>
      </c>
    </row>
    <row r="348" spans="1:15" x14ac:dyDescent="0.25">
      <c r="A348" s="22" t="str">
        <f t="shared" si="216"/>
        <v>5000012021108043345</v>
      </c>
      <c r="B348" s="22" t="str">
        <f t="shared" si="217"/>
        <v>5000012021797092545</v>
      </c>
      <c r="C348" s="22" t="str">
        <f t="shared" si="218"/>
        <v>500001202179709254</v>
      </c>
      <c r="D348" s="31">
        <v>345</v>
      </c>
      <c r="E348" s="31">
        <f>'PR 2025'!A346</f>
        <v>5</v>
      </c>
      <c r="F348" s="31">
        <f>'PR 2025'!B346</f>
        <v>5000012021</v>
      </c>
      <c r="G348" s="32" t="str">
        <f>'PR 2025'!C346</f>
        <v>KABEL VGA</v>
      </c>
      <c r="H348" s="31">
        <f>'PR 2025'!D346</f>
        <v>10804334</v>
      </c>
      <c r="I348" s="31">
        <f>VLOOKUP(A348,'PO 2025'!$A$2:$Y$1440,21,FALSE)</f>
        <v>79709254</v>
      </c>
      <c r="J348" s="31">
        <f>'PR 2025'!E346</f>
        <v>2</v>
      </c>
      <c r="K348" s="33" t="str">
        <f>'PR 2025'!F346</f>
        <v>BH</v>
      </c>
      <c r="L348" s="34">
        <f>'PR 2025'!T346</f>
        <v>45918</v>
      </c>
      <c r="M348" s="31" t="str">
        <f>'PR 2025'!AG346</f>
        <v>R</v>
      </c>
      <c r="N348" s="34">
        <f>VLOOKUP(C348,'GRS 2025'!$A$2:$AH$1992,4,FALSE)</f>
        <v>45932</v>
      </c>
      <c r="O348" s="69" t="str">
        <f>'PR 2025'!AJ346</f>
        <v>URGENT : U/ PENAMBAHAN KARYAWAN BARU BAGIAN OD&amp;TM (HS CODE : 8544.20.31). HENDRA</v>
      </c>
    </row>
    <row r="349" spans="1:15" x14ac:dyDescent="0.25">
      <c r="A349" s="22" t="str">
        <f t="shared" si="216"/>
        <v>5000015861108043346</v>
      </c>
      <c r="B349" s="22" t="str">
        <f t="shared" si="217"/>
        <v>5000015861797092336</v>
      </c>
      <c r="C349" s="22" t="str">
        <f t="shared" si="218"/>
        <v>500001586179709233</v>
      </c>
      <c r="D349" s="31">
        <v>346</v>
      </c>
      <c r="E349" s="31">
        <f>'PR 2025'!A347</f>
        <v>6</v>
      </c>
      <c r="F349" s="31">
        <f>'PR 2025'!B347</f>
        <v>5000015861</v>
      </c>
      <c r="G349" s="32" t="str">
        <f>'PR 2025'!C347</f>
        <v>KAMERA WATERPROOF IP 4MP DAHUA POE</v>
      </c>
      <c r="H349" s="31">
        <f>'PR 2025'!D347</f>
        <v>10804334</v>
      </c>
      <c r="I349" s="31">
        <f>VLOOKUP(A349,'PO 2025'!$A$2:$Y$1440,21,FALSE)</f>
        <v>79709233</v>
      </c>
      <c r="J349" s="31">
        <f>'PR 2025'!E347</f>
        <v>2</v>
      </c>
      <c r="K349" s="33" t="str">
        <f>'PR 2025'!F347</f>
        <v>UNT</v>
      </c>
      <c r="L349" s="34">
        <f>'PR 2025'!T347</f>
        <v>45919</v>
      </c>
      <c r="M349" s="31" t="str">
        <f>'PR 2025'!AG347</f>
        <v>R</v>
      </c>
      <c r="N349" s="34">
        <f>VLOOKUP(C349,'GRS 2025'!$A$2:$AH$1992,4,FALSE)</f>
        <v>45932</v>
      </c>
      <c r="O349" s="69" t="str">
        <f>'PR 2025'!AJ347</f>
        <v>U/ AREA GERBANG UTAMA (HS CODE : 8525.81.10). TIO</v>
      </c>
    </row>
    <row r="350" spans="1:15" x14ac:dyDescent="0.25">
      <c r="A350" s="22" t="str">
        <f t="shared" si="216"/>
        <v>5000015000108043347</v>
      </c>
      <c r="B350" s="22" t="str">
        <f t="shared" si="217"/>
        <v>5000015000797092337</v>
      </c>
      <c r="C350" s="22" t="str">
        <f t="shared" si="218"/>
        <v>500001500079709233</v>
      </c>
      <c r="D350" s="31">
        <v>347</v>
      </c>
      <c r="E350" s="31">
        <f>'PR 2025'!A348</f>
        <v>7</v>
      </c>
      <c r="F350" s="31">
        <f>'PR 2025'!B348</f>
        <v>5000015000</v>
      </c>
      <c r="G350" s="32" t="str">
        <f>'PR 2025'!C348</f>
        <v>POE INJECTOR</v>
      </c>
      <c r="H350" s="31">
        <f>'PR 2025'!D348</f>
        <v>10804334</v>
      </c>
      <c r="I350" s="31">
        <f>VLOOKUP(A350,'PO 2025'!$A$2:$Y$1440,21,FALSE)</f>
        <v>79709233</v>
      </c>
      <c r="J350" s="31">
        <f>'PR 2025'!E348</f>
        <v>2</v>
      </c>
      <c r="K350" s="33" t="str">
        <f>'PR 2025'!F348</f>
        <v>UNT</v>
      </c>
      <c r="L350" s="34">
        <f>'PR 2025'!T348</f>
        <v>45919</v>
      </c>
      <c r="M350" s="31" t="str">
        <f>'PR 2025'!AG348</f>
        <v>R</v>
      </c>
      <c r="N350" s="34">
        <f>VLOOKUP(C350,'GRS 2025'!$A$2:$AH$1992,4,FALSE)</f>
        <v>45932</v>
      </c>
      <c r="O350" s="69" t="str">
        <f>'PR 2025'!AJ348</f>
        <v>U/ AREA GERBANG UTAMA (HS CODE : 8517.79.10). TIO</v>
      </c>
    </row>
    <row r="351" spans="1:15" x14ac:dyDescent="0.25">
      <c r="A351" s="22" t="str">
        <f t="shared" si="216"/>
        <v>5000000739108043581</v>
      </c>
      <c r="B351" s="22" t="str">
        <f t="shared" si="217"/>
        <v>5000000739797092341</v>
      </c>
      <c r="C351" s="22" t="str">
        <f t="shared" si="218"/>
        <v>500000073979709234</v>
      </c>
      <c r="D351" s="31">
        <v>348</v>
      </c>
      <c r="E351" s="31">
        <f>'PR 2025'!A349</f>
        <v>1</v>
      </c>
      <c r="F351" s="31">
        <f>'PR 2025'!B349</f>
        <v>5000000739</v>
      </c>
      <c r="G351" s="32" t="str">
        <f>'PR 2025'!C349</f>
        <v>KABEL UTP BELDEN</v>
      </c>
      <c r="H351" s="31">
        <f>'PR 2025'!D349</f>
        <v>10804358</v>
      </c>
      <c r="I351" s="31">
        <f>VLOOKUP(A351,'PO 2025'!$A$2:$Y$1440,21,FALSE)</f>
        <v>79709234</v>
      </c>
      <c r="J351" s="31">
        <f>'PR 2025'!E349</f>
        <v>2</v>
      </c>
      <c r="K351" s="33" t="str">
        <f>'PR 2025'!F349</f>
        <v>ROL</v>
      </c>
      <c r="L351" s="34">
        <f>'PR 2025'!T349</f>
        <v>45919</v>
      </c>
      <c r="M351" s="31" t="str">
        <f>'PR 2025'!AG349</f>
        <v>R</v>
      </c>
      <c r="N351" s="34">
        <f>VLOOKUP(C351,'GRS 2025'!$A$2:$AH$1992,4,FALSE)</f>
        <v>45927</v>
      </c>
      <c r="O351" s="69" t="str">
        <f>'PR 2025'!AJ349</f>
        <v>URGENT : U/ AREA IPAL, FINAL LJ1, FINAL LJ2, MKA, DF LJ1, PERSIAPAN LJ1 (HS CODE : 8517.14.00). TIO</v>
      </c>
    </row>
    <row r="352" spans="1:15" x14ac:dyDescent="0.25">
      <c r="A352" s="22" t="str">
        <f t="shared" si="216"/>
        <v>5000017216108043951</v>
      </c>
      <c r="B352" s="22" t="str">
        <f t="shared" si="217"/>
        <v>5000017216797093041</v>
      </c>
      <c r="C352" s="22" t="str">
        <f t="shared" si="218"/>
        <v>500001721679709304</v>
      </c>
      <c r="D352" s="31">
        <v>349</v>
      </c>
      <c r="E352" s="31">
        <f>'PR 2025'!A350</f>
        <v>1</v>
      </c>
      <c r="F352" s="31">
        <f>'PR 2025'!B350</f>
        <v>5000017216</v>
      </c>
      <c r="G352" s="32" t="str">
        <f>'PR 2025'!C350</f>
        <v>MONITOR LCD 22 INCH</v>
      </c>
      <c r="H352" s="31">
        <f>'PR 2025'!D350</f>
        <v>10804395</v>
      </c>
      <c r="I352" s="31">
        <f>VLOOKUP(A352,'PO 2025'!$A$2:$Y$1440,21,FALSE)</f>
        <v>79709304</v>
      </c>
      <c r="J352" s="31">
        <f>'PR 2025'!E350</f>
        <v>2</v>
      </c>
      <c r="K352" s="33" t="str">
        <f>'PR 2025'!F350</f>
        <v>UNT</v>
      </c>
      <c r="L352" s="34">
        <f>'PR 2025'!T350</f>
        <v>45922</v>
      </c>
      <c r="M352" s="31" t="str">
        <f>'PR 2025'!AG350</f>
        <v>R</v>
      </c>
      <c r="N352" s="34">
        <f>VLOOKUP(C352,'GRS 2025'!$A$2:$AH$1992,4,FALSE)</f>
        <v>45932</v>
      </c>
      <c r="O352" s="69" t="str">
        <f>'PR 2025'!AJ350</f>
        <v>U/ BAGIAN KEUANGAN (HS CODE : 8528.52.00). WINNE</v>
      </c>
    </row>
    <row r="353" spans="1:15" x14ac:dyDescent="0.25">
      <c r="A353" s="22" t="str">
        <f t="shared" si="216"/>
        <v>5000016308108043952</v>
      </c>
      <c r="B353" s="22" t="str">
        <f t="shared" si="217"/>
        <v>5000016308797093052</v>
      </c>
      <c r="C353" s="22" t="str">
        <f t="shared" si="218"/>
        <v>500001630879709305</v>
      </c>
      <c r="D353" s="31">
        <v>350</v>
      </c>
      <c r="E353" s="31">
        <f>'PR 2025'!A351</f>
        <v>2</v>
      </c>
      <c r="F353" s="31">
        <f>'PR 2025'!B351</f>
        <v>5000016308</v>
      </c>
      <c r="G353" s="32" t="str">
        <f>'PR 2025'!C351</f>
        <v>CPU BUILDUP</v>
      </c>
      <c r="H353" s="31">
        <f>'PR 2025'!D351</f>
        <v>10804395</v>
      </c>
      <c r="I353" s="31">
        <f>VLOOKUP(A353,'PO 2025'!$A$2:$Y$1440,21,FALSE)</f>
        <v>79709305</v>
      </c>
      <c r="J353" s="31">
        <f>'PR 2025'!E351</f>
        <v>1</v>
      </c>
      <c r="K353" s="33" t="str">
        <f>'PR 2025'!F351</f>
        <v>UNT</v>
      </c>
      <c r="L353" s="34">
        <f>'PR 2025'!T351</f>
        <v>45922</v>
      </c>
      <c r="M353" s="31" t="str">
        <f>'PR 2025'!AG351</f>
        <v>R</v>
      </c>
      <c r="N353" s="34">
        <f>VLOOKUP(C353,'GRS 2025'!$A$2:$AH$1992,4,FALSE)</f>
        <v>45932</v>
      </c>
      <c r="O353" s="69" t="str">
        <f>'PR 2025'!AJ351</f>
        <v>U/ BAGIAN KEUANGAN (HS CODE : 8479.89.50). WINNE</v>
      </c>
    </row>
    <row r="354" spans="1:15" x14ac:dyDescent="0.25">
      <c r="A354" s="22" t="str">
        <f t="shared" si="216"/>
        <v>5000005059108043953</v>
      </c>
      <c r="B354" s="22" t="str">
        <f t="shared" si="217"/>
        <v>5000005059797093043</v>
      </c>
      <c r="C354" s="22" t="str">
        <f t="shared" si="218"/>
        <v>500000505979709304</v>
      </c>
      <c r="D354" s="31">
        <v>351</v>
      </c>
      <c r="E354" s="31">
        <f>'PR 2025'!A352</f>
        <v>3</v>
      </c>
      <c r="F354" s="31">
        <f>'PR 2025'!B352</f>
        <v>5000005059</v>
      </c>
      <c r="G354" s="32" t="str">
        <f>'PR 2025'!C352</f>
        <v>KEYBOARD USB</v>
      </c>
      <c r="H354" s="31">
        <f>'PR 2025'!D352</f>
        <v>10804395</v>
      </c>
      <c r="I354" s="31">
        <f>VLOOKUP(A354,'PO 2025'!$A$2:$Y$1440,21,FALSE)</f>
        <v>79709304</v>
      </c>
      <c r="J354" s="31">
        <f>'PR 2025'!E352</f>
        <v>4</v>
      </c>
      <c r="K354" s="33" t="str">
        <f>'PR 2025'!F352</f>
        <v>BH</v>
      </c>
      <c r="L354" s="34">
        <f>'PR 2025'!T352</f>
        <v>45922</v>
      </c>
      <c r="M354" s="31" t="str">
        <f>'PR 2025'!AG352</f>
        <v>R</v>
      </c>
      <c r="N354" s="34">
        <f>VLOOKUP(C354,'GRS 2025'!$A$2:$AH$1992,4,FALSE)</f>
        <v>45932</v>
      </c>
      <c r="O354" s="69" t="str">
        <f>'PR 2025'!AJ352</f>
        <v>U/ BAGIAN KEUANGAN (HS CODE : 8471.60.30). WINNE</v>
      </c>
    </row>
    <row r="355" spans="1:15" x14ac:dyDescent="0.25">
      <c r="A355" s="22" t="str">
        <f t="shared" si="216"/>
        <v>5000004248108043954</v>
      </c>
      <c r="B355" s="22" t="str">
        <f t="shared" si="217"/>
        <v>5000004248797093044</v>
      </c>
      <c r="C355" s="22" t="str">
        <f t="shared" si="218"/>
        <v>500000424879709304</v>
      </c>
      <c r="D355" s="31">
        <v>352</v>
      </c>
      <c r="E355" s="31">
        <f>'PR 2025'!A353</f>
        <v>4</v>
      </c>
      <c r="F355" s="31">
        <f>'PR 2025'!B353</f>
        <v>5000004248</v>
      </c>
      <c r="G355" s="32" t="str">
        <f>'PR 2025'!C353</f>
        <v>MOUSE USB</v>
      </c>
      <c r="H355" s="31">
        <f>'PR 2025'!D353</f>
        <v>10804395</v>
      </c>
      <c r="I355" s="31">
        <f>VLOOKUP(A355,'PO 2025'!$A$2:$Y$1440,21,FALSE)</f>
        <v>79709304</v>
      </c>
      <c r="J355" s="31">
        <f>'PR 2025'!E353</f>
        <v>4</v>
      </c>
      <c r="K355" s="33" t="str">
        <f>'PR 2025'!F353</f>
        <v>BH</v>
      </c>
      <c r="L355" s="34">
        <f>'PR 2025'!T353</f>
        <v>45922</v>
      </c>
      <c r="M355" s="31" t="str">
        <f>'PR 2025'!AG353</f>
        <v>R</v>
      </c>
      <c r="N355" s="34">
        <f>VLOOKUP(C355,'GRS 2025'!$A$2:$AH$1992,4,FALSE)</f>
        <v>45932</v>
      </c>
      <c r="O355" s="69" t="str">
        <f>'PR 2025'!AJ353</f>
        <v>U/ BAGIAN KEUANGAN (HS CODE : 8471.60.40). WINNE</v>
      </c>
    </row>
    <row r="356" spans="1:15" x14ac:dyDescent="0.25">
      <c r="A356" s="22" t="str">
        <f t="shared" si="216"/>
        <v>5000012021108043955</v>
      </c>
      <c r="B356" s="22" t="str">
        <f t="shared" si="217"/>
        <v>5000012021797093045</v>
      </c>
      <c r="C356" s="22" t="str">
        <f t="shared" si="218"/>
        <v>500001202179709304</v>
      </c>
      <c r="D356" s="31">
        <v>353</v>
      </c>
      <c r="E356" s="31">
        <f>'PR 2025'!A354</f>
        <v>5</v>
      </c>
      <c r="F356" s="31">
        <f>'PR 2025'!B354</f>
        <v>5000012021</v>
      </c>
      <c r="G356" s="32" t="str">
        <f>'PR 2025'!C354</f>
        <v>KABEL VGA</v>
      </c>
      <c r="H356" s="31">
        <f>'PR 2025'!D354</f>
        <v>10804395</v>
      </c>
      <c r="I356" s="31">
        <f>VLOOKUP(A356,'PO 2025'!$A$2:$Y$1440,21,FALSE)</f>
        <v>79709304</v>
      </c>
      <c r="J356" s="31">
        <f>'PR 2025'!E354</f>
        <v>1</v>
      </c>
      <c r="K356" s="33" t="str">
        <f>'PR 2025'!F354</f>
        <v>BH</v>
      </c>
      <c r="L356" s="34">
        <f>'PR 2025'!T354</f>
        <v>45922</v>
      </c>
      <c r="M356" s="31" t="str">
        <f>'PR 2025'!AG354</f>
        <v>R</v>
      </c>
      <c r="N356" s="34">
        <f>VLOOKUP(C356,'GRS 2025'!$A$2:$AH$1992,4,FALSE)</f>
        <v>45932</v>
      </c>
      <c r="O356" s="69" t="str">
        <f>'PR 2025'!AJ354</f>
        <v>U/ BAGIAN KEUANGAN (HS CODE : 8544.20.31). WINNE</v>
      </c>
    </row>
    <row r="357" spans="1:15" x14ac:dyDescent="0.25">
      <c r="A357" s="22" t="str">
        <f t="shared" si="216"/>
        <v>5000005512108043956</v>
      </c>
      <c r="B357" s="22" t="str">
        <f t="shared" si="217"/>
        <v>5000005512797093046</v>
      </c>
      <c r="C357" s="22" t="str">
        <f t="shared" si="218"/>
        <v>500000551279709304</v>
      </c>
      <c r="D357" s="31">
        <v>354</v>
      </c>
      <c r="E357" s="31">
        <f>'PR 2025'!A355</f>
        <v>6</v>
      </c>
      <c r="F357" s="31">
        <f>'PR 2025'!B355</f>
        <v>5000005512</v>
      </c>
      <c r="G357" s="32" t="str">
        <f>'PR 2025'!C355</f>
        <v>KABEL HARDDISK SATA</v>
      </c>
      <c r="H357" s="31">
        <f>'PR 2025'!D355</f>
        <v>10804395</v>
      </c>
      <c r="I357" s="31">
        <f>VLOOKUP(A357,'PO 2025'!$A$2:$Y$1440,21,FALSE)</f>
        <v>79709304</v>
      </c>
      <c r="J357" s="31">
        <f>'PR 2025'!E355</f>
        <v>5</v>
      </c>
      <c r="K357" s="33" t="str">
        <f>'PR 2025'!F355</f>
        <v>UNT</v>
      </c>
      <c r="L357" s="34">
        <f>'PR 2025'!T355</f>
        <v>45922</v>
      </c>
      <c r="M357" s="31" t="str">
        <f>'PR 2025'!AG355</f>
        <v>R</v>
      </c>
      <c r="N357" s="34">
        <f>VLOOKUP(C357,'GRS 2025'!$A$2:$AH$1992,4,FALSE)</f>
        <v>45932</v>
      </c>
      <c r="O357" s="69" t="str">
        <f>'PR 2025'!AJ355</f>
        <v>U/ BAGIAN IT (HS CODE : 8544.20.31). RICKY</v>
      </c>
    </row>
    <row r="358" spans="1:15" x14ac:dyDescent="0.25">
      <c r="A358" s="22" t="str">
        <f t="shared" ref="A358:A368" si="219">F358&amp;H358&amp;E358</f>
        <v>5000017857108044411</v>
      </c>
      <c r="B358" s="22" t="str">
        <f t="shared" ref="B358:B368" si="220">F358&amp;I358&amp;E358</f>
        <v>5000017857797094681</v>
      </c>
      <c r="C358" s="22" t="str">
        <f t="shared" ref="C358:C368" si="221">F358&amp;I358</f>
        <v>500001785779709468</v>
      </c>
      <c r="D358" s="31">
        <v>355</v>
      </c>
      <c r="E358" s="31">
        <f>'PR 2025'!A356</f>
        <v>1</v>
      </c>
      <c r="F358" s="31">
        <f>'PR 2025'!B356</f>
        <v>5000017857</v>
      </c>
      <c r="G358" s="32" t="str">
        <f>'PR 2025'!C356</f>
        <v>MONITOR 85 INCH</v>
      </c>
      <c r="H358" s="31">
        <f>'PR 2025'!D356</f>
        <v>10804441</v>
      </c>
      <c r="I358" s="31">
        <f>VLOOKUP(A358,'PO 2025'!$A$2:$Y$1440,21,FALSE)</f>
        <v>79709468</v>
      </c>
      <c r="J358" s="31">
        <f>'PR 2025'!E356</f>
        <v>1</v>
      </c>
      <c r="K358" s="33" t="str">
        <f>'PR 2025'!F356</f>
        <v>UNT</v>
      </c>
      <c r="L358" s="34">
        <f>'PR 2025'!T356</f>
        <v>45924</v>
      </c>
      <c r="M358" s="31" t="str">
        <f>'PR 2025'!AG356</f>
        <v>R</v>
      </c>
      <c r="N358" s="34">
        <f>VLOOKUP(C358,'GRS 2025'!$A$2:$AH$1992,4,FALSE)</f>
        <v>45932</v>
      </c>
      <c r="O358" s="69" t="str">
        <f>'PR 2025'!AJ356</f>
        <v>U/ MEETING BAGIAN MARKETING (HS CODE : 8528.52.00). GODAM</v>
      </c>
    </row>
    <row r="359" spans="1:15" x14ac:dyDescent="0.25">
      <c r="A359" s="22" t="str">
        <f t="shared" si="219"/>
        <v>5000011960108044412</v>
      </c>
      <c r="B359" s="22" t="str">
        <f t="shared" si="220"/>
        <v>5000011960797094682</v>
      </c>
      <c r="C359" s="22" t="str">
        <f t="shared" si="221"/>
        <v>500001196079709468</v>
      </c>
      <c r="D359" s="31">
        <v>356</v>
      </c>
      <c r="E359" s="31">
        <f>'PR 2025'!A357</f>
        <v>2</v>
      </c>
      <c r="F359" s="31">
        <f>'PR 2025'!B357</f>
        <v>5000011960</v>
      </c>
      <c r="G359" s="32" t="str">
        <f>'PR 2025'!C357</f>
        <v>BRACKET TV</v>
      </c>
      <c r="H359" s="31">
        <f>'PR 2025'!D357</f>
        <v>10804441</v>
      </c>
      <c r="I359" s="31">
        <f>VLOOKUP(A359,'PO 2025'!$A$2:$Y$1440,21,FALSE)</f>
        <v>79709468</v>
      </c>
      <c r="J359" s="31">
        <f>'PR 2025'!E357</f>
        <v>1</v>
      </c>
      <c r="K359" s="33" t="str">
        <f>'PR 2025'!F357</f>
        <v>BH</v>
      </c>
      <c r="L359" s="34">
        <f>'PR 2025'!T357</f>
        <v>45924</v>
      </c>
      <c r="M359" s="31" t="str">
        <f>'PR 2025'!AG357</f>
        <v>R</v>
      </c>
      <c r="N359" s="34">
        <f>VLOOKUP(C359,'GRS 2025'!$A$2:$AH$1992,4,FALSE)</f>
        <v>45932</v>
      </c>
      <c r="O359" s="69" t="str">
        <f>'PR 2025'!AJ357</f>
        <v>U/ MEETING BAGIAN MARKETING (HS CODE : 8714.99.91). GODAM</v>
      </c>
    </row>
    <row r="360" spans="1:15" x14ac:dyDescent="0.25">
      <c r="A360" s="22" t="str">
        <f t="shared" si="219"/>
        <v>5000014291108044413</v>
      </c>
      <c r="B360" s="22" t="str">
        <f t="shared" si="220"/>
        <v>5000014291797094693</v>
      </c>
      <c r="C360" s="22" t="str">
        <f t="shared" si="221"/>
        <v>500001429179709469</v>
      </c>
      <c r="D360" s="31">
        <v>357</v>
      </c>
      <c r="E360" s="31">
        <f>'PR 2025'!A358</f>
        <v>3</v>
      </c>
      <c r="F360" s="31">
        <f>'PR 2025'!B358</f>
        <v>5000014291</v>
      </c>
      <c r="G360" s="32" t="str">
        <f>'PR 2025'!C358</f>
        <v>KABEL HDMI</v>
      </c>
      <c r="H360" s="31">
        <f>'PR 2025'!D358</f>
        <v>10804441</v>
      </c>
      <c r="I360" s="31">
        <f>VLOOKUP(A360,'PO 2025'!$A$2:$Y$1440,21,FALSE)</f>
        <v>79709469</v>
      </c>
      <c r="J360" s="31">
        <f>'PR 2025'!E358</f>
        <v>1</v>
      </c>
      <c r="K360" s="33" t="str">
        <f>'PR 2025'!F358</f>
        <v>PCS</v>
      </c>
      <c r="L360" s="34">
        <f>'PR 2025'!T358</f>
        <v>45924</v>
      </c>
      <c r="M360" s="31" t="str">
        <f>'PR 2025'!AG358</f>
        <v>R</v>
      </c>
      <c r="N360" s="34">
        <f>VLOOKUP(C360,'GRS 2025'!$A$2:$AH$1992,4,FALSE)</f>
        <v>45945</v>
      </c>
      <c r="O360" s="69" t="str">
        <f>'PR 2025'!AJ358</f>
        <v>UKURAN 10 MTR U/ MEETING BAGIAN MARKETING (HS CODE : 8544.20.31). GODAM</v>
      </c>
    </row>
    <row r="361" spans="1:15" x14ac:dyDescent="0.25">
      <c r="A361" s="22" t="str">
        <f t="shared" si="219"/>
        <v>5000015861108044831</v>
      </c>
      <c r="B361" s="22" t="str">
        <f t="shared" si="220"/>
        <v>5000015861797094671</v>
      </c>
      <c r="C361" s="22" t="str">
        <f t="shared" si="221"/>
        <v>500001586179709467</v>
      </c>
      <c r="D361" s="31">
        <v>358</v>
      </c>
      <c r="E361" s="31">
        <f>'PR 2025'!A359</f>
        <v>1</v>
      </c>
      <c r="F361" s="31">
        <f>'PR 2025'!B359</f>
        <v>5000015861</v>
      </c>
      <c r="G361" s="32" t="str">
        <f>'PR 2025'!C359</f>
        <v>KAMERA WATERPROOF IP 4MP DAHUA POE</v>
      </c>
      <c r="H361" s="31">
        <f>'PR 2025'!D359</f>
        <v>10804483</v>
      </c>
      <c r="I361" s="31">
        <f>VLOOKUP(A361,'PO 2025'!$A$2:$Y$1440,21,FALSE)</f>
        <v>79709467</v>
      </c>
      <c r="J361" s="31">
        <f>'PR 2025'!E359</f>
        <v>1</v>
      </c>
      <c r="K361" s="33" t="str">
        <f>'PR 2025'!F359</f>
        <v>UNT</v>
      </c>
      <c r="L361" s="34">
        <f>'PR 2025'!T359</f>
        <v>45926</v>
      </c>
      <c r="M361" s="31" t="str">
        <f>'PR 2025'!AG359</f>
        <v>R</v>
      </c>
      <c r="N361" s="34">
        <f>VLOOKUP(C361,'GRS 2025'!$A$2:$AH$1992,4,FALSE)</f>
        <v>45938</v>
      </c>
      <c r="O361" s="69" t="str">
        <f>'PR 2025'!AJ359</f>
        <v>U/ AREA MKA (HS CODE : 8525.81.10). TIO</v>
      </c>
    </row>
    <row r="362" spans="1:15" x14ac:dyDescent="0.25">
      <c r="A362" s="22" t="str">
        <f t="shared" si="219"/>
        <v>5000015000108044832</v>
      </c>
      <c r="B362" s="22" t="str">
        <f t="shared" si="220"/>
        <v>5000015000797094672</v>
      </c>
      <c r="C362" s="22" t="str">
        <f t="shared" si="221"/>
        <v>500001500079709467</v>
      </c>
      <c r="D362" s="31">
        <v>359</v>
      </c>
      <c r="E362" s="31">
        <f>'PR 2025'!A360</f>
        <v>2</v>
      </c>
      <c r="F362" s="31">
        <f>'PR 2025'!B360</f>
        <v>5000015000</v>
      </c>
      <c r="G362" s="32" t="str">
        <f>'PR 2025'!C360</f>
        <v>POE INJECTOR</v>
      </c>
      <c r="H362" s="31">
        <f>'PR 2025'!D360</f>
        <v>10804483</v>
      </c>
      <c r="I362" s="31">
        <f>VLOOKUP(A362,'PO 2025'!$A$2:$Y$1440,21,FALSE)</f>
        <v>79709467</v>
      </c>
      <c r="J362" s="31">
        <f>'PR 2025'!E360</f>
        <v>1</v>
      </c>
      <c r="K362" s="33" t="str">
        <f>'PR 2025'!F360</f>
        <v>UNT</v>
      </c>
      <c r="L362" s="34">
        <f>'PR 2025'!T360</f>
        <v>45926</v>
      </c>
      <c r="M362" s="31" t="str">
        <f>'PR 2025'!AG360</f>
        <v>R</v>
      </c>
      <c r="N362" s="34">
        <f>VLOOKUP(C362,'GRS 2025'!$A$2:$AH$1992,4,FALSE)</f>
        <v>45938</v>
      </c>
      <c r="O362" s="69" t="str">
        <f>'PR 2025'!AJ360</f>
        <v>U/ AREA MKA (HS CODE : 8517.79.10). TIO</v>
      </c>
    </row>
    <row r="363" spans="1:15" x14ac:dyDescent="0.25">
      <c r="A363" s="22" t="str">
        <f t="shared" si="219"/>
        <v>5000017216108044833</v>
      </c>
      <c r="B363" s="22" t="str">
        <f t="shared" si="220"/>
        <v>5000017216797095173</v>
      </c>
      <c r="C363" s="22" t="str">
        <f t="shared" si="221"/>
        <v>500001721679709517</v>
      </c>
      <c r="D363" s="31">
        <v>360</v>
      </c>
      <c r="E363" s="31">
        <f>'PR 2025'!A361</f>
        <v>3</v>
      </c>
      <c r="F363" s="31">
        <f>'PR 2025'!B361</f>
        <v>5000017216</v>
      </c>
      <c r="G363" s="32" t="str">
        <f>'PR 2025'!C361</f>
        <v>MONITOR LCD 22 INCH</v>
      </c>
      <c r="H363" s="31">
        <f>'PR 2025'!D361</f>
        <v>10804483</v>
      </c>
      <c r="I363" s="31">
        <f>VLOOKUP(A363,'PO 2025'!$A$2:$Y$1440,21,FALSE)</f>
        <v>79709517</v>
      </c>
      <c r="J363" s="31">
        <f>'PR 2025'!E361</f>
        <v>1</v>
      </c>
      <c r="K363" s="33" t="str">
        <f>'PR 2025'!F361</f>
        <v>UNT</v>
      </c>
      <c r="L363" s="34">
        <f>'PR 2025'!T361</f>
        <v>45926</v>
      </c>
      <c r="M363" s="31" t="str">
        <f>'PR 2025'!AG361</f>
        <v>R</v>
      </c>
      <c r="N363" s="34">
        <f>VLOOKUP(C363,'GRS 2025'!$A$2:$AH$1992,4,FALSE)</f>
        <v>45937</v>
      </c>
      <c r="O363" s="69" t="str">
        <f>'PR 2025'!AJ361</f>
        <v>U/ WAKABAG BARU BAGIAN WEAVING LJ2 (HS CODE : 8528.52.00). SHENNY</v>
      </c>
    </row>
    <row r="364" spans="1:15" x14ac:dyDescent="0.25">
      <c r="A364" s="22" t="str">
        <f t="shared" si="219"/>
        <v>5000016308108044834</v>
      </c>
      <c r="B364" s="22" t="str">
        <f t="shared" si="220"/>
        <v>5000016308797094704</v>
      </c>
      <c r="C364" s="22" t="str">
        <f t="shared" si="221"/>
        <v>500001630879709470</v>
      </c>
      <c r="D364" s="31">
        <v>361</v>
      </c>
      <c r="E364" s="31">
        <f>'PR 2025'!A362</f>
        <v>4</v>
      </c>
      <c r="F364" s="31">
        <f>'PR 2025'!B362</f>
        <v>5000016308</v>
      </c>
      <c r="G364" s="32" t="str">
        <f>'PR 2025'!C362</f>
        <v>CPU BUILDUP</v>
      </c>
      <c r="H364" s="31">
        <f>'PR 2025'!D362</f>
        <v>10804483</v>
      </c>
      <c r="I364" s="31">
        <f>VLOOKUP(A364,'PO 2025'!$A$2:$Y$1440,21,FALSE)</f>
        <v>79709470</v>
      </c>
      <c r="J364" s="31">
        <f>'PR 2025'!E362</f>
        <v>1</v>
      </c>
      <c r="K364" s="33" t="str">
        <f>'PR 2025'!F362</f>
        <v>UNT</v>
      </c>
      <c r="L364" s="34">
        <f>'PR 2025'!T362</f>
        <v>45926</v>
      </c>
      <c r="M364" s="31" t="str">
        <f>'PR 2025'!AG362</f>
        <v>R</v>
      </c>
      <c r="N364" s="34">
        <f>VLOOKUP(C364,'GRS 2025'!$A$2:$AH$1992,4,FALSE)</f>
        <v>45945</v>
      </c>
      <c r="O364" s="69" t="str">
        <f>'PR 2025'!AJ362</f>
        <v>U/ WAKABAG BARU BAGIAN WEAVING LJ2 (HS CODE : 8479.89.50). SHENNY</v>
      </c>
    </row>
    <row r="365" spans="1:15" x14ac:dyDescent="0.25">
      <c r="A365" s="22" t="str">
        <f t="shared" si="219"/>
        <v>5000005059108044835</v>
      </c>
      <c r="B365" s="22" t="str">
        <f t="shared" si="220"/>
        <v>5000005059797095175</v>
      </c>
      <c r="C365" s="22" t="str">
        <f t="shared" si="221"/>
        <v>500000505979709517</v>
      </c>
      <c r="D365" s="31">
        <v>362</v>
      </c>
      <c r="E365" s="31">
        <f>'PR 2025'!A363</f>
        <v>5</v>
      </c>
      <c r="F365" s="31">
        <f>'PR 2025'!B363</f>
        <v>5000005059</v>
      </c>
      <c r="G365" s="32" t="str">
        <f>'PR 2025'!C363</f>
        <v>KEYBOARD USB</v>
      </c>
      <c r="H365" s="31">
        <f>'PR 2025'!D363</f>
        <v>10804483</v>
      </c>
      <c r="I365" s="31">
        <f>VLOOKUP(A365,'PO 2025'!$A$2:$Y$1440,21,FALSE)</f>
        <v>79709517</v>
      </c>
      <c r="J365" s="31">
        <f>'PR 2025'!E363</f>
        <v>1</v>
      </c>
      <c r="K365" s="33" t="str">
        <f>'PR 2025'!F363</f>
        <v>BH</v>
      </c>
      <c r="L365" s="34">
        <f>'PR 2025'!T363</f>
        <v>45926</v>
      </c>
      <c r="M365" s="31" t="str">
        <f>'PR 2025'!AG363</f>
        <v>R</v>
      </c>
      <c r="N365" s="34">
        <f>VLOOKUP(C365,'GRS 2025'!$A$2:$AH$1992,4,FALSE)</f>
        <v>45937</v>
      </c>
      <c r="O365" s="69" t="str">
        <f>'PR 2025'!AJ363</f>
        <v>U/ WAKABAG BARU BAGIAN WEAVING LJ2 (HS CODE : 8471.60.30). SHENNY</v>
      </c>
    </row>
    <row r="366" spans="1:15" x14ac:dyDescent="0.25">
      <c r="A366" s="22" t="str">
        <f t="shared" si="219"/>
        <v>5000004248108044836</v>
      </c>
      <c r="B366" s="22" t="str">
        <f t="shared" si="220"/>
        <v>5000004248797095176</v>
      </c>
      <c r="C366" s="22" t="str">
        <f t="shared" si="221"/>
        <v>500000424879709517</v>
      </c>
      <c r="D366" s="31">
        <v>363</v>
      </c>
      <c r="E366" s="31">
        <f>'PR 2025'!A364</f>
        <v>6</v>
      </c>
      <c r="F366" s="31">
        <f>'PR 2025'!B364</f>
        <v>5000004248</v>
      </c>
      <c r="G366" s="32" t="str">
        <f>'PR 2025'!C364</f>
        <v>MOUSE USB</v>
      </c>
      <c r="H366" s="31">
        <f>'PR 2025'!D364</f>
        <v>10804483</v>
      </c>
      <c r="I366" s="31">
        <f>VLOOKUP(A366,'PO 2025'!$A$2:$Y$1440,21,FALSE)</f>
        <v>79709517</v>
      </c>
      <c r="J366" s="31">
        <f>'PR 2025'!E364</f>
        <v>1</v>
      </c>
      <c r="K366" s="33" t="str">
        <f>'PR 2025'!F364</f>
        <v>BH</v>
      </c>
      <c r="L366" s="34">
        <f>'PR 2025'!T364</f>
        <v>45926</v>
      </c>
      <c r="M366" s="31" t="str">
        <f>'PR 2025'!AG364</f>
        <v>R</v>
      </c>
      <c r="N366" s="34">
        <f>VLOOKUP(C366,'GRS 2025'!$A$2:$AH$1992,4,FALSE)</f>
        <v>45937</v>
      </c>
      <c r="O366" s="69" t="str">
        <f>'PR 2025'!AJ364</f>
        <v>U/ WAKABAG BARU BAGIAN WEAVING LJ2 (HS CODE : 8471.60.40). SHENNY</v>
      </c>
    </row>
    <row r="367" spans="1:15" x14ac:dyDescent="0.25">
      <c r="A367" s="22" t="str">
        <f t="shared" si="219"/>
        <v>5000012021108044837</v>
      </c>
      <c r="B367" s="22" t="str">
        <f t="shared" si="220"/>
        <v>5000012021797095177</v>
      </c>
      <c r="C367" s="22" t="str">
        <f t="shared" si="221"/>
        <v>500001202179709517</v>
      </c>
      <c r="D367" s="31">
        <v>364</v>
      </c>
      <c r="E367" s="31">
        <f>'PR 2025'!A365</f>
        <v>7</v>
      </c>
      <c r="F367" s="31">
        <f>'PR 2025'!B365</f>
        <v>5000012021</v>
      </c>
      <c r="G367" s="32" t="str">
        <f>'PR 2025'!C365</f>
        <v>KABEL VGA</v>
      </c>
      <c r="H367" s="31">
        <f>'PR 2025'!D365</f>
        <v>10804483</v>
      </c>
      <c r="I367" s="31">
        <f>VLOOKUP(A367,'PO 2025'!$A$2:$Y$1440,21,FALSE)</f>
        <v>79709517</v>
      </c>
      <c r="J367" s="31">
        <f>'PR 2025'!E365</f>
        <v>1</v>
      </c>
      <c r="K367" s="33" t="str">
        <f>'PR 2025'!F365</f>
        <v>BH</v>
      </c>
      <c r="L367" s="34">
        <f>'PR 2025'!T365</f>
        <v>45926</v>
      </c>
      <c r="M367" s="31" t="str">
        <f>'PR 2025'!AG365</f>
        <v>R</v>
      </c>
      <c r="N367" s="34">
        <f>VLOOKUP(C367,'GRS 2025'!$A$2:$AH$1992,4,FALSE)</f>
        <v>45937</v>
      </c>
      <c r="O367" s="69" t="str">
        <f>'PR 2025'!AJ365</f>
        <v>U/ WAKABAG BARU BAGIAN WEAVING LJ2 (HS CODE : 8544.20.31). SHENNY</v>
      </c>
    </row>
    <row r="368" spans="1:15" x14ac:dyDescent="0.25">
      <c r="A368" s="22" t="str">
        <f t="shared" si="219"/>
        <v>5000016428108044838</v>
      </c>
      <c r="B368" s="22" t="str">
        <f t="shared" si="220"/>
        <v>5000016428797094908</v>
      </c>
      <c r="C368" s="22" t="str">
        <f t="shared" si="221"/>
        <v>500001642879709490</v>
      </c>
      <c r="D368" s="31">
        <v>365</v>
      </c>
      <c r="E368" s="31">
        <f>'PR 2025'!A366</f>
        <v>8</v>
      </c>
      <c r="F368" s="31">
        <f>'PR 2025'!B366</f>
        <v>5000016428</v>
      </c>
      <c r="G368" s="32" t="str">
        <f>'PR 2025'!C366</f>
        <v>PRINTER EPSON L-121</v>
      </c>
      <c r="H368" s="31">
        <f>'PR 2025'!D366</f>
        <v>10804483</v>
      </c>
      <c r="I368" s="31">
        <f>VLOOKUP(A368,'PO 2025'!$A$2:$Y$1440,21,FALSE)</f>
        <v>79709490</v>
      </c>
      <c r="J368" s="31">
        <f>'PR 2025'!E366</f>
        <v>1</v>
      </c>
      <c r="K368" s="33" t="str">
        <f>'PR 2025'!F366</f>
        <v>UNT</v>
      </c>
      <c r="L368" s="34">
        <f>'PR 2025'!T366</f>
        <v>45926</v>
      </c>
      <c r="M368" s="31" t="str">
        <f>'PR 2025'!AG366</f>
        <v>R</v>
      </c>
      <c r="N368" s="34">
        <f>VLOOKUP(C368,'GRS 2025'!$A$2:$AH$1992,4,FALSE)</f>
        <v>45932</v>
      </c>
      <c r="O368" s="69" t="str">
        <f>'PR 2025'!AJ366</f>
        <v>U/ WAKABAG BARU BAGIAN WEAVING LJ2 (HS CODE : 8443.31.11). SHENNY</v>
      </c>
    </row>
    <row r="369" spans="1:15" x14ac:dyDescent="0.25">
      <c r="A369" s="22" t="str">
        <f t="shared" ref="A369:A376" si="222">F369&amp;H369&amp;E369</f>
        <v>5000016671108045371</v>
      </c>
      <c r="B369" s="22" t="str">
        <f t="shared" ref="B369:B376" si="223">F369&amp;I369&amp;E369</f>
        <v>5000016671797096471</v>
      </c>
      <c r="C369" s="22" t="str">
        <f t="shared" ref="C369:C376" si="224">F369&amp;I369</f>
        <v>500001667179709647</v>
      </c>
      <c r="D369" s="31">
        <v>366</v>
      </c>
      <c r="E369" s="31">
        <f>'PR 2025'!A367</f>
        <v>1</v>
      </c>
      <c r="F369" s="31">
        <f>'PR 2025'!B367</f>
        <v>5000016671</v>
      </c>
      <c r="G369" s="32" t="str">
        <f>'PR 2025'!C367</f>
        <v>ADAPTER MONITOR 19V</v>
      </c>
      <c r="H369" s="31">
        <f>'PR 2025'!D367</f>
        <v>10804537</v>
      </c>
      <c r="I369" s="31">
        <f>VLOOKUP(A369,'PO 2025'!$A$2:$Y$1440,21,FALSE)</f>
        <v>79709647</v>
      </c>
      <c r="J369" s="31">
        <f>'PR 2025'!E367</f>
        <v>1</v>
      </c>
      <c r="K369" s="33" t="str">
        <f>'PR 2025'!F367</f>
        <v>BH</v>
      </c>
      <c r="L369" s="34">
        <f>'PR 2025'!T367</f>
        <v>45929</v>
      </c>
      <c r="M369" s="31" t="str">
        <f>'PR 2025'!AG367</f>
        <v>R</v>
      </c>
      <c r="N369" s="34">
        <f>VLOOKUP(C369,'GRS 2025'!$A$2:$AH$1992,4,FALSE)</f>
        <v>45937</v>
      </c>
      <c r="O369" s="69" t="str">
        <f>'PR 2025'!AJ367</f>
        <v>U/ BAGIAN BEACUKAI (HS CODE : 8517.79.10). RICKY</v>
      </c>
    </row>
    <row r="370" spans="1:15" x14ac:dyDescent="0.25">
      <c r="A370" s="22" t="str">
        <f t="shared" si="222"/>
        <v>5000013080108045372</v>
      </c>
      <c r="B370" s="22" t="str">
        <f t="shared" si="223"/>
        <v>5000013080797096382</v>
      </c>
      <c r="C370" s="22" t="str">
        <f t="shared" si="224"/>
        <v>500001308079709638</v>
      </c>
      <c r="D370" s="31">
        <v>367</v>
      </c>
      <c r="E370" s="31">
        <f>'PR 2025'!A368</f>
        <v>2</v>
      </c>
      <c r="F370" s="31">
        <f>'PR 2025'!B368</f>
        <v>5000013080</v>
      </c>
      <c r="G370" s="32" t="str">
        <f>'PR 2025'!C368</f>
        <v>ADAPTOR 12V</v>
      </c>
      <c r="H370" s="31">
        <f>'PR 2025'!D368</f>
        <v>10804537</v>
      </c>
      <c r="I370" s="31">
        <f>VLOOKUP(A370,'PO 2025'!$A$2:$Y$1440,21,FALSE)</f>
        <v>79709638</v>
      </c>
      <c r="J370" s="31">
        <f>'PR 2025'!E368</f>
        <v>1</v>
      </c>
      <c r="K370" s="33" t="str">
        <f>'PR 2025'!F368</f>
        <v>UNT</v>
      </c>
      <c r="L370" s="34">
        <f>'PR 2025'!T368</f>
        <v>45929</v>
      </c>
      <c r="M370" s="31" t="str">
        <f>'PR 2025'!AG368</f>
        <v>R</v>
      </c>
      <c r="N370" s="34">
        <f>VLOOKUP(C370,'GRS 2025'!$A$2:$AH$1992,4,FALSE)</f>
        <v>45938</v>
      </c>
      <c r="O370" s="69" t="str">
        <f>'PR 2025'!AJ368</f>
        <v>U/ BAGIAN OD &amp; TM (HS CODE : 8517.79.10). TIO</v>
      </c>
    </row>
    <row r="371" spans="1:15" x14ac:dyDescent="0.25">
      <c r="A371" s="22" t="str">
        <f t="shared" si="222"/>
        <v>5000016930108045373</v>
      </c>
      <c r="B371" s="22" t="str">
        <f t="shared" si="223"/>
        <v>5000016930797098873</v>
      </c>
      <c r="C371" s="22" t="str">
        <f t="shared" si="224"/>
        <v>500001693079709887</v>
      </c>
      <c r="D371" s="31">
        <v>368</v>
      </c>
      <c r="E371" s="31">
        <f>'PR 2025'!A369</f>
        <v>3</v>
      </c>
      <c r="F371" s="31">
        <f>'PR 2025'!B369</f>
        <v>5000016930</v>
      </c>
      <c r="G371" s="32" t="str">
        <f>'PR 2025'!C369</f>
        <v>PRINT SERVER</v>
      </c>
      <c r="H371" s="31">
        <f>'PR 2025'!D369</f>
        <v>10804537</v>
      </c>
      <c r="I371" s="31">
        <f>VLOOKUP(A371,'PO 2025'!$A$2:$Y$1440,21,FALSE)</f>
        <v>79709887</v>
      </c>
      <c r="J371" s="31">
        <f>'PR 2025'!E369</f>
        <v>1</v>
      </c>
      <c r="K371" s="33" t="str">
        <f>'PR 2025'!F369</f>
        <v>BH</v>
      </c>
      <c r="L371" s="34">
        <f>'PR 2025'!T369</f>
        <v>45929</v>
      </c>
      <c r="M371" s="31" t="str">
        <f>'PR 2025'!AG369</f>
        <v>R</v>
      </c>
      <c r="N371" s="34">
        <f>VLOOKUP(C371,'GRS 2025'!$A$2:$AH$1992,4,FALSE)</f>
        <v>45944</v>
      </c>
      <c r="O371" s="69" t="str">
        <f>'PR 2025'!AJ369</f>
        <v>U/ BAGIAN DF LJ1 (HS CODE : 8517.79.10). PURKONANDI</v>
      </c>
    </row>
    <row r="372" spans="1:15" x14ac:dyDescent="0.25">
      <c r="A372" s="22" t="str">
        <f t="shared" si="222"/>
        <v>5000013499108045531</v>
      </c>
      <c r="B372" s="22" t="str">
        <f t="shared" si="223"/>
        <v>5000013499797096421</v>
      </c>
      <c r="C372" s="22" t="str">
        <f t="shared" si="224"/>
        <v>500001349979709642</v>
      </c>
      <c r="D372" s="31">
        <v>369</v>
      </c>
      <c r="E372" s="31">
        <f>'PR 2025'!A370</f>
        <v>1</v>
      </c>
      <c r="F372" s="31">
        <f>'PR 2025'!B370</f>
        <v>5000013499</v>
      </c>
      <c r="G372" s="32" t="str">
        <f>'PR 2025'!C370</f>
        <v>KX-TS505SLT (PESAWAT TELEPHONE )</v>
      </c>
      <c r="H372" s="31">
        <f>'PR 2025'!D370</f>
        <v>10804553</v>
      </c>
      <c r="I372" s="31">
        <f>VLOOKUP(A372,'PO 2025'!$A$2:$Y$1440,21,FALSE)</f>
        <v>79709642</v>
      </c>
      <c r="J372" s="31">
        <f>'PR 2025'!E370</f>
        <v>1</v>
      </c>
      <c r="K372" s="33" t="str">
        <f>'PR 2025'!F370</f>
        <v>UNT</v>
      </c>
      <c r="L372" s="34">
        <f>'PR 2025'!T370</f>
        <v>45930</v>
      </c>
      <c r="M372" s="31" t="str">
        <f>'PR 2025'!AG370</f>
        <v>R</v>
      </c>
      <c r="N372" s="34">
        <f>VLOOKUP(C372,'GRS 2025'!$A$2:$AH$1992,4,FALSE)</f>
        <v>45946</v>
      </c>
      <c r="O372" s="69" t="str">
        <f>'PR 2025'!AJ370</f>
        <v>U/ BAGIAN GD BENANG (HS CODE : 8517.14.00). SALIK</v>
      </c>
    </row>
    <row r="373" spans="1:15" ht="30" x14ac:dyDescent="0.25">
      <c r="A373" s="22" t="str">
        <f t="shared" si="222"/>
        <v>5000004248108045532</v>
      </c>
      <c r="B373" s="22" t="str">
        <f t="shared" si="223"/>
        <v>5000004248797096472</v>
      </c>
      <c r="C373" s="22" t="str">
        <f t="shared" si="224"/>
        <v>500000424879709647</v>
      </c>
      <c r="D373" s="31">
        <v>370</v>
      </c>
      <c r="E373" s="31">
        <f>'PR 2025'!A371</f>
        <v>2</v>
      </c>
      <c r="F373" s="31">
        <f>'PR 2025'!B371</f>
        <v>5000004248</v>
      </c>
      <c r="G373" s="32" t="str">
        <f>'PR 2025'!C371</f>
        <v>MOUSE USB</v>
      </c>
      <c r="H373" s="31">
        <f>'PR 2025'!D371</f>
        <v>10804553</v>
      </c>
      <c r="I373" s="31">
        <f>VLOOKUP(A373,'PO 2025'!$A$2:$Y$1440,21,FALSE)</f>
        <v>79709647</v>
      </c>
      <c r="J373" s="31">
        <f>'PR 2025'!E371</f>
        <v>12</v>
      </c>
      <c r="K373" s="33" t="str">
        <f>'PR 2025'!F371</f>
        <v>BH</v>
      </c>
      <c r="L373" s="34">
        <f>'PR 2025'!T371</f>
        <v>45930</v>
      </c>
      <c r="M373" s="31" t="str">
        <f>'PR 2025'!AG371</f>
        <v>R</v>
      </c>
      <c r="N373" s="34">
        <f>VLOOKUP(C373,'GRS 2025'!$A$2:$AH$1992,4,FALSE)</f>
        <v>45937</v>
      </c>
      <c r="O373" s="69" t="str">
        <f>'PR 2025'!AJ371</f>
        <v>U/ BAGIAN QA (2), FINAL  (1), PPC GREY (1), MTC PERSIAPAN (1), RND (2), PERSIAPAN LUCKYTEX (1), PPC GREY (1),MARKETING (2) DAN LABORATORIUM (1) (HS CODE : 8471.60.40). ALI</v>
      </c>
    </row>
    <row r="374" spans="1:15" x14ac:dyDescent="0.25">
      <c r="A374" s="22" t="str">
        <f t="shared" si="222"/>
        <v>5000016255108045861</v>
      </c>
      <c r="B374" s="22" t="str">
        <f t="shared" si="223"/>
        <v>5000016255797098971</v>
      </c>
      <c r="C374" s="22" t="str">
        <f t="shared" si="224"/>
        <v>500001625579709897</v>
      </c>
      <c r="D374" s="31">
        <v>371</v>
      </c>
      <c r="E374" s="31">
        <f>'PR 2025'!A372</f>
        <v>1</v>
      </c>
      <c r="F374" s="31">
        <f>'PR 2025'!B372</f>
        <v>5000016255</v>
      </c>
      <c r="G374" s="32" t="str">
        <f>'PR 2025'!C372</f>
        <v>SSD SATA 256GB</v>
      </c>
      <c r="H374" s="31">
        <f>'PR 2025'!D372</f>
        <v>10804586</v>
      </c>
      <c r="I374" s="31">
        <f>VLOOKUP(A374,'PO 2025'!$A$2:$Y$1440,21,FALSE)</f>
        <v>79709897</v>
      </c>
      <c r="J374" s="31">
        <f>'PR 2025'!E372</f>
        <v>1</v>
      </c>
      <c r="K374" s="33" t="str">
        <f>'PR 2025'!F372</f>
        <v>BH</v>
      </c>
      <c r="L374" s="34">
        <f>'PR 2025'!T372</f>
        <v>45932</v>
      </c>
      <c r="M374" s="31" t="str">
        <f>'PR 2025'!AG372</f>
        <v>R</v>
      </c>
      <c r="N374" s="34">
        <f>VLOOKUP(C374,'GRS 2025'!$A$2:$AH$1992,4,FALSE)</f>
        <v>45946</v>
      </c>
      <c r="O374" s="69" t="str">
        <f>'PR 2025'!AJ372</f>
        <v>U/ MENGGANTI YANG RUSAK BAGIAN GA (HS CODE : 8471.50.90). RISWADI</v>
      </c>
    </row>
    <row r="375" spans="1:15" x14ac:dyDescent="0.25">
      <c r="A375" s="22" t="str">
        <f t="shared" si="222"/>
        <v>5000015919108045991</v>
      </c>
      <c r="B375" s="22" t="str">
        <f t="shared" si="223"/>
        <v>5000015919797098971</v>
      </c>
      <c r="C375" s="22" t="str">
        <f t="shared" si="224"/>
        <v>500001591979709897</v>
      </c>
      <c r="D375" s="31">
        <v>372</v>
      </c>
      <c r="E375" s="31">
        <f>'PR 2025'!A373</f>
        <v>1</v>
      </c>
      <c r="F375" s="31">
        <f>'PR 2025'!B373</f>
        <v>5000015919</v>
      </c>
      <c r="G375" s="32" t="str">
        <f>'PR 2025'!C373</f>
        <v>WEBCAM PORTABLE</v>
      </c>
      <c r="H375" s="31">
        <f>'PR 2025'!D373</f>
        <v>10804599</v>
      </c>
      <c r="I375" s="31">
        <f>VLOOKUP(A375,'PO 2025'!$A$2:$Y$1440,21,FALSE)</f>
        <v>79709897</v>
      </c>
      <c r="J375" s="31">
        <f>'PR 2025'!E373</f>
        <v>1</v>
      </c>
      <c r="K375" s="33" t="str">
        <f>'PR 2025'!F373</f>
        <v>UNT</v>
      </c>
      <c r="L375" s="34">
        <f>'PR 2025'!T373</f>
        <v>45933</v>
      </c>
      <c r="M375" s="31" t="str">
        <f>'PR 2025'!AG373</f>
        <v>R</v>
      </c>
      <c r="N375" s="34">
        <f>VLOOKUP(C375,'GRS 2025'!$A$2:$AH$1992,4,FALSE)</f>
        <v>45948</v>
      </c>
      <c r="O375" s="69" t="str">
        <f>'PR 2025'!AJ373</f>
        <v>U/ RUANG MEETING SHOWROOM 2 (HS CODE : 8525.81.10). IDRUS</v>
      </c>
    </row>
    <row r="376" spans="1:15" x14ac:dyDescent="0.25">
      <c r="A376" s="22" t="str">
        <f t="shared" si="222"/>
        <v>5000015970108045992</v>
      </c>
      <c r="B376" s="22" t="str">
        <f t="shared" si="223"/>
        <v>5000015970797098972</v>
      </c>
      <c r="C376" s="22" t="str">
        <f t="shared" si="224"/>
        <v>500001597079709897</v>
      </c>
      <c r="D376" s="31">
        <v>373</v>
      </c>
      <c r="E376" s="31">
        <f>'PR 2025'!A374</f>
        <v>2</v>
      </c>
      <c r="F376" s="31">
        <f>'PR 2025'!B374</f>
        <v>5000015970</v>
      </c>
      <c r="G376" s="32" t="str">
        <f>'PR 2025'!C374</f>
        <v>MICROPHONE CLIP ON + AUDIO SPLITTER</v>
      </c>
      <c r="H376" s="31">
        <f>'PR 2025'!D374</f>
        <v>10804599</v>
      </c>
      <c r="I376" s="31">
        <f>VLOOKUP(A376,'PO 2025'!$A$2:$Y$1440,21,FALSE)</f>
        <v>79709897</v>
      </c>
      <c r="J376" s="31">
        <f>'PR 2025'!E374</f>
        <v>1</v>
      </c>
      <c r="K376" s="33" t="str">
        <f>'PR 2025'!F374</f>
        <v>UNT</v>
      </c>
      <c r="L376" s="34">
        <f>'PR 2025'!T374</f>
        <v>45933</v>
      </c>
      <c r="M376" s="31" t="str">
        <f>'PR 2025'!AG374</f>
        <v>R</v>
      </c>
      <c r="N376" s="34">
        <f>VLOOKUP(C376,'GRS 2025'!$A$2:$AH$1992,4,FALSE)</f>
        <v>45946</v>
      </c>
      <c r="O376" s="69" t="str">
        <f>'PR 2025'!AJ374</f>
        <v>U/ RUANG MEETING SHOWROOM 2 (HS CODE : 8518.10.19). RICKY</v>
      </c>
    </row>
    <row r="377" spans="1:15" x14ac:dyDescent="0.25">
      <c r="A377" s="22" t="str">
        <f t="shared" ref="A377:A382" si="225">F377&amp;H377&amp;E377</f>
        <v>5000016185108045993</v>
      </c>
      <c r="B377" s="22" t="str">
        <f t="shared" ref="B377:B382" si="226">F377&amp;I377&amp;E377</f>
        <v>5000016185797098973</v>
      </c>
      <c r="C377" s="22" t="str">
        <f t="shared" ref="C377:C382" si="227">F377&amp;I377</f>
        <v>500001618579709897</v>
      </c>
      <c r="D377" s="31">
        <v>374</v>
      </c>
      <c r="E377" s="31">
        <f>'PR 2025'!A375</f>
        <v>3</v>
      </c>
      <c r="F377" s="31">
        <f>'PR 2025'!B375</f>
        <v>5000016185</v>
      </c>
      <c r="G377" s="32" t="str">
        <f>'PR 2025'!C375</f>
        <v>TELEPHONE DIGITAL</v>
      </c>
      <c r="H377" s="31">
        <f>'PR 2025'!D375</f>
        <v>10804599</v>
      </c>
      <c r="I377" s="31">
        <f>VLOOKUP(A377,'PO 2025'!$A$2:$Y$1440,21,FALSE)</f>
        <v>79709897</v>
      </c>
      <c r="J377" s="31">
        <f>'PR 2025'!E375</f>
        <v>1</v>
      </c>
      <c r="K377" s="33" t="str">
        <f>'PR 2025'!F375</f>
        <v>BH</v>
      </c>
      <c r="L377" s="34">
        <f>'PR 2025'!T375</f>
        <v>45933</v>
      </c>
      <c r="M377" s="31" t="str">
        <f>'PR 2025'!AG375</f>
        <v>R</v>
      </c>
      <c r="N377" s="34">
        <f>VLOOKUP(C377,'GRS 2025'!$A$2:$AH$1992,4,FALSE)</f>
        <v>45946</v>
      </c>
      <c r="O377" s="69" t="str">
        <f>'PR 2025'!AJ375</f>
        <v>U/ KADEPT BAGIAN OD&amp;TM (HS CODE : 8517.14.00). RENALDY</v>
      </c>
    </row>
    <row r="378" spans="1:15" x14ac:dyDescent="0.25">
      <c r="A378" s="22" t="str">
        <f t="shared" si="225"/>
        <v>5000013499108045994</v>
      </c>
      <c r="B378" s="22" t="str">
        <f t="shared" si="226"/>
        <v>5000013499797098974</v>
      </c>
      <c r="C378" s="22" t="str">
        <f t="shared" si="227"/>
        <v>500001349979709897</v>
      </c>
      <c r="D378" s="31">
        <v>375</v>
      </c>
      <c r="E378" s="31">
        <f>'PR 2025'!A376</f>
        <v>4</v>
      </c>
      <c r="F378" s="31">
        <f>'PR 2025'!B376</f>
        <v>5000013499</v>
      </c>
      <c r="G378" s="32" t="str">
        <f>'PR 2025'!C376</f>
        <v>KX-TS505SLT (PESAWAT TELEPHONE )</v>
      </c>
      <c r="H378" s="31">
        <f>'PR 2025'!D376</f>
        <v>10804599</v>
      </c>
      <c r="I378" s="31">
        <f>VLOOKUP(A378,'PO 2025'!$A$2:$Y$1440,21,FALSE)</f>
        <v>79709897</v>
      </c>
      <c r="J378" s="31">
        <f>'PR 2025'!E376</f>
        <v>1</v>
      </c>
      <c r="K378" s="33" t="str">
        <f>'PR 2025'!F376</f>
        <v>UNT</v>
      </c>
      <c r="L378" s="34">
        <f>'PR 2025'!T376</f>
        <v>45933</v>
      </c>
      <c r="M378" s="31" t="str">
        <f>'PR 2025'!AG376</f>
        <v>R</v>
      </c>
      <c r="N378" s="34">
        <f>VLOOKUP(C378,'GRS 2025'!$A$2:$AH$1992,4,FALSE)</f>
        <v>45946</v>
      </c>
      <c r="O378" s="69" t="str">
        <f>'PR 2025'!AJ376</f>
        <v>U/ BAGIAN OD&amp;TM (HS CODE : 8517.14.00). RENALDY</v>
      </c>
    </row>
    <row r="379" spans="1:15" x14ac:dyDescent="0.25">
      <c r="A379" s="22" t="str">
        <f t="shared" si="225"/>
        <v>5000017967108046251</v>
      </c>
      <c r="B379" s="22" t="str">
        <f t="shared" si="226"/>
        <v>5000017967797098971</v>
      </c>
      <c r="C379" s="22" t="str">
        <f t="shared" si="227"/>
        <v>500001796779709897</v>
      </c>
      <c r="D379" s="31">
        <v>376</v>
      </c>
      <c r="E379" s="31">
        <f>'PR 2025'!A377</f>
        <v>1</v>
      </c>
      <c r="F379" s="31">
        <f>'PR 2025'!B377</f>
        <v>5000017967</v>
      </c>
      <c r="G379" s="32" t="str">
        <f>'PR 2025'!C377</f>
        <v>ANTI SPY MONITOR</v>
      </c>
      <c r="H379" s="31">
        <f>'PR 2025'!D377</f>
        <v>10804625</v>
      </c>
      <c r="I379" s="31">
        <f>VLOOKUP(A379,'PO 2025'!$A$2:$Y$1440,21,FALSE)</f>
        <v>79709897</v>
      </c>
      <c r="J379" s="31">
        <f>'PR 2025'!E377</f>
        <v>1</v>
      </c>
      <c r="K379" s="33" t="str">
        <f>'PR 2025'!F377</f>
        <v>BH</v>
      </c>
      <c r="L379" s="34">
        <f>'PR 2025'!T377</f>
        <v>45934</v>
      </c>
      <c r="M379" s="31" t="str">
        <f>'PR 2025'!AG377</f>
        <v>R</v>
      </c>
      <c r="N379" s="34">
        <f>VLOOKUP(C379,'GRS 2025'!$A$2:$AH$1992,4,FALSE)</f>
        <v>45946</v>
      </c>
      <c r="O379" s="69" t="str">
        <f>'PR 2025'!AJ377</f>
        <v>UKURAN 19 INCH, U/ SAMPLE DEPT FAT. BILLY</v>
      </c>
    </row>
    <row r="380" spans="1:15" x14ac:dyDescent="0.25">
      <c r="A380" s="22" t="str">
        <f t="shared" si="225"/>
        <v>5000005340108046252</v>
      </c>
      <c r="B380" s="22" t="str">
        <f t="shared" si="226"/>
        <v>5000005340797098962</v>
      </c>
      <c r="C380" s="22" t="str">
        <f t="shared" si="227"/>
        <v>500000534079709896</v>
      </c>
      <c r="D380" s="31">
        <v>377</v>
      </c>
      <c r="E380" s="31">
        <f>'PR 2025'!A378</f>
        <v>2</v>
      </c>
      <c r="F380" s="31">
        <f>'PR 2025'!B378</f>
        <v>5000005340</v>
      </c>
      <c r="G380" s="32" t="str">
        <f>'PR 2025'!C378</f>
        <v>POWER SUPLY ATX 450 WATT</v>
      </c>
      <c r="H380" s="31">
        <f>'PR 2025'!D378</f>
        <v>10804625</v>
      </c>
      <c r="I380" s="31">
        <f>VLOOKUP(A380,'PO 2025'!$A$2:$Y$1440,21,FALSE)</f>
        <v>79709896</v>
      </c>
      <c r="J380" s="31">
        <f>'PR 2025'!E378</f>
        <v>1</v>
      </c>
      <c r="K380" s="33" t="str">
        <f>'PR 2025'!F378</f>
        <v>UNT</v>
      </c>
      <c r="L380" s="34">
        <f>'PR 2025'!T378</f>
        <v>45934</v>
      </c>
      <c r="M380" s="31" t="str">
        <f>'PR 2025'!AG378</f>
        <v>R</v>
      </c>
      <c r="N380" s="34">
        <f>VLOOKUP(C380,'GRS 2025'!$A$2:$AH$1992,4,FALSE)</f>
        <v>45944</v>
      </c>
      <c r="O380" s="69" t="str">
        <f>'PR 2025'!AJ378</f>
        <v>U/ BAGIAN COST ACCOUNTING (HS CODE : 8414.59.10). RICKY</v>
      </c>
    </row>
    <row r="381" spans="1:15" x14ac:dyDescent="0.25">
      <c r="A381" s="22" t="str">
        <f t="shared" si="225"/>
        <v>5000002171108046511</v>
      </c>
      <c r="B381" s="22" t="str">
        <f t="shared" si="226"/>
        <v>5000002171797100541</v>
      </c>
      <c r="C381" s="22" t="str">
        <f t="shared" si="227"/>
        <v>500000217179710054</v>
      </c>
      <c r="D381" s="31">
        <v>378</v>
      </c>
      <c r="E381" s="31">
        <f>'PR 2025'!A379</f>
        <v>1</v>
      </c>
      <c r="F381" s="31">
        <f>'PR 2025'!B379</f>
        <v>5000002171</v>
      </c>
      <c r="G381" s="32" t="str">
        <f>'PR 2025'!C379</f>
        <v>KABEL PRINTER</v>
      </c>
      <c r="H381" s="31">
        <f>'PR 2025'!D379</f>
        <v>10804651</v>
      </c>
      <c r="I381" s="31">
        <f>VLOOKUP(A381,'PO 2025'!$A$2:$Y$1440,21,FALSE)</f>
        <v>79710054</v>
      </c>
      <c r="J381" s="31">
        <f>'PR 2025'!E379</f>
        <v>6</v>
      </c>
      <c r="K381" s="33" t="str">
        <f>'PR 2025'!F379</f>
        <v>BH</v>
      </c>
      <c r="L381" s="34">
        <f>'PR 2025'!T379</f>
        <v>45936</v>
      </c>
      <c r="M381" s="31" t="str">
        <f>'PR 2025'!AG379</f>
        <v>R</v>
      </c>
      <c r="N381" s="34">
        <f>VLOOKUP(C381,'GRS 2025'!$A$2:$AH$1992,4,FALSE)</f>
        <v>45952</v>
      </c>
      <c r="O381" s="69" t="str">
        <f>'PR 2025'!AJ379</f>
        <v>U/ RUANG MARKETING YG BARU (HS CODE : 8544.20.31). GODAM</v>
      </c>
    </row>
    <row r="382" spans="1:15" x14ac:dyDescent="0.25">
      <c r="A382" s="22" t="str">
        <f t="shared" si="225"/>
        <v>5000006532108046512</v>
      </c>
      <c r="B382" s="22" t="str">
        <f t="shared" si="226"/>
        <v>5000006532797100542</v>
      </c>
      <c r="C382" s="22" t="str">
        <f t="shared" si="227"/>
        <v>500000653279710054</v>
      </c>
      <c r="D382" s="31">
        <v>379</v>
      </c>
      <c r="E382" s="31">
        <f>'PR 2025'!A380</f>
        <v>2</v>
      </c>
      <c r="F382" s="31">
        <f>'PR 2025'!B380</f>
        <v>5000006532</v>
      </c>
      <c r="G382" s="32" t="str">
        <f>'PR 2025'!C380</f>
        <v>KABEL USB</v>
      </c>
      <c r="H382" s="31">
        <f>'PR 2025'!D380</f>
        <v>10804651</v>
      </c>
      <c r="I382" s="31">
        <f>VLOOKUP(A382,'PO 2025'!$A$2:$Y$1440,21,FALSE)</f>
        <v>79710054</v>
      </c>
      <c r="J382" s="31">
        <f>'PR 2025'!E380</f>
        <v>2</v>
      </c>
      <c r="K382" s="33" t="str">
        <f>'PR 2025'!F380</f>
        <v>BH</v>
      </c>
      <c r="L382" s="34">
        <f>'PR 2025'!T380</f>
        <v>45936</v>
      </c>
      <c r="M382" s="31" t="str">
        <f>'PR 2025'!AG380</f>
        <v>R</v>
      </c>
      <c r="N382" s="34">
        <f>VLOOKUP(C382,'GRS 2025'!$A$2:$AH$1992,4,FALSE)</f>
        <v>45952</v>
      </c>
      <c r="O382" s="69" t="str">
        <f>'PR 2025'!AJ380</f>
        <v>U/ RUANG MARKETING YG BARU (HS CODE : 8544.20.31). GODAM</v>
      </c>
    </row>
    <row r="383" spans="1:15" x14ac:dyDescent="0.25">
      <c r="A383" s="22" t="str">
        <f t="shared" ref="A383:A390" si="228">F383&amp;H383&amp;E383</f>
        <v>5000017216108046961</v>
      </c>
      <c r="B383" s="22" t="str">
        <f t="shared" ref="B383:B390" si="229">F383&amp;I383&amp;E383</f>
        <v>5000017216797100581</v>
      </c>
      <c r="C383" s="22" t="str">
        <f t="shared" ref="C383:C390" si="230">F383&amp;I383</f>
        <v>500001721679710058</v>
      </c>
      <c r="D383" s="31">
        <v>380</v>
      </c>
      <c r="E383" s="31">
        <f>'PR 2025'!A381</f>
        <v>1</v>
      </c>
      <c r="F383" s="31">
        <f>'PR 2025'!B381</f>
        <v>5000017216</v>
      </c>
      <c r="G383" s="32" t="str">
        <f>'PR 2025'!C381</f>
        <v>MONITOR LCD 22 INCH</v>
      </c>
      <c r="H383" s="31">
        <f>'PR 2025'!D381</f>
        <v>10804696</v>
      </c>
      <c r="I383" s="31">
        <f>VLOOKUP(A383,'PO 2025'!$A$2:$Y$1440,21,FALSE)</f>
        <v>79710058</v>
      </c>
      <c r="J383" s="31">
        <f>'PR 2025'!E381</f>
        <v>1</v>
      </c>
      <c r="K383" s="33" t="str">
        <f>'PR 2025'!F381</f>
        <v>UNT</v>
      </c>
      <c r="L383" s="34">
        <f>'PR 2025'!T381</f>
        <v>45938</v>
      </c>
      <c r="M383" s="31" t="str">
        <f>'PR 2025'!AG381</f>
        <v>R</v>
      </c>
      <c r="N383" s="34">
        <f>VLOOKUP(C383,'GRS 2025'!$A$2:$AH$1992,4,FALSE)</f>
        <v>45961</v>
      </c>
      <c r="O383" s="69" t="str">
        <f>'PR 2025'!AJ381</f>
        <v>U/ BAGIAN PPC PROC LJ2 (HS CODE : 8528.52.00). EDI</v>
      </c>
    </row>
    <row r="384" spans="1:15" x14ac:dyDescent="0.25">
      <c r="A384" s="22" t="str">
        <f t="shared" si="228"/>
        <v>5000016308108046962</v>
      </c>
      <c r="B384" s="22" t="str">
        <f t="shared" si="229"/>
        <v>5000016308797100552</v>
      </c>
      <c r="C384" s="22" t="str">
        <f t="shared" si="230"/>
        <v>500001630879710055</v>
      </c>
      <c r="D384" s="31">
        <v>381</v>
      </c>
      <c r="E384" s="31">
        <f>'PR 2025'!A382</f>
        <v>2</v>
      </c>
      <c r="F384" s="31">
        <f>'PR 2025'!B382</f>
        <v>5000016308</v>
      </c>
      <c r="G384" s="32" t="str">
        <f>'PR 2025'!C382</f>
        <v>CPU BUILDUP</v>
      </c>
      <c r="H384" s="31">
        <f>'PR 2025'!D382</f>
        <v>10804696</v>
      </c>
      <c r="I384" s="31">
        <f>VLOOKUP(A384,'PO 2025'!$A$2:$Y$1440,21,FALSE)</f>
        <v>79710055</v>
      </c>
      <c r="J384" s="31">
        <f>'PR 2025'!E382</f>
        <v>1</v>
      </c>
      <c r="K384" s="33" t="str">
        <f>'PR 2025'!F382</f>
        <v>UNT</v>
      </c>
      <c r="L384" s="34">
        <f>'PR 2025'!T382</f>
        <v>45938</v>
      </c>
      <c r="M384" s="31" t="str">
        <f>'PR 2025'!AG382</f>
        <v>R</v>
      </c>
      <c r="N384" s="34">
        <f>VLOOKUP(C384,'GRS 2025'!$A$2:$AH$1992,4,FALSE)</f>
        <v>45952</v>
      </c>
      <c r="O384" s="69" t="str">
        <f>'PR 2025'!AJ382</f>
        <v>U/ BAGIAN PPC PROC LJ2 (HS CODE : 8479.89.50). EDI</v>
      </c>
    </row>
    <row r="385" spans="1:15" x14ac:dyDescent="0.25">
      <c r="A385" s="22" t="str">
        <f t="shared" si="228"/>
        <v>5000004248108046963</v>
      </c>
      <c r="B385" s="22" t="str">
        <f t="shared" si="229"/>
        <v>5000004248797100583</v>
      </c>
      <c r="C385" s="22" t="str">
        <f t="shared" si="230"/>
        <v>500000424879710058</v>
      </c>
      <c r="D385" s="31">
        <v>382</v>
      </c>
      <c r="E385" s="31">
        <f>'PR 2025'!A383</f>
        <v>3</v>
      </c>
      <c r="F385" s="31">
        <f>'PR 2025'!B383</f>
        <v>5000004248</v>
      </c>
      <c r="G385" s="32" t="str">
        <f>'PR 2025'!C383</f>
        <v>MOUSE USB</v>
      </c>
      <c r="H385" s="31">
        <f>'PR 2025'!D383</f>
        <v>10804696</v>
      </c>
      <c r="I385" s="31">
        <f>VLOOKUP(A385,'PO 2025'!$A$2:$Y$1440,21,FALSE)</f>
        <v>79710058</v>
      </c>
      <c r="J385" s="31">
        <f>'PR 2025'!E383</f>
        <v>1</v>
      </c>
      <c r="K385" s="33" t="str">
        <f>'PR 2025'!F383</f>
        <v>BH</v>
      </c>
      <c r="L385" s="34">
        <f>'PR 2025'!T383</f>
        <v>45938</v>
      </c>
      <c r="M385" s="31" t="str">
        <f>'PR 2025'!AG383</f>
        <v>R</v>
      </c>
      <c r="N385" s="34">
        <f>VLOOKUP(C385,'GRS 2025'!$A$2:$AH$1992,4,FALSE)</f>
        <v>45961</v>
      </c>
      <c r="O385" s="69" t="str">
        <f>'PR 2025'!AJ383</f>
        <v>U/ BAGIAN PPC PROC LJ2 (HS CODE :  8471.60.40). EDI</v>
      </c>
    </row>
    <row r="386" spans="1:15" x14ac:dyDescent="0.25">
      <c r="A386" s="22" t="str">
        <f t="shared" si="228"/>
        <v>5000005059108046964</v>
      </c>
      <c r="B386" s="22" t="str">
        <f t="shared" si="229"/>
        <v>5000005059797100584</v>
      </c>
      <c r="C386" s="22" t="str">
        <f t="shared" si="230"/>
        <v>500000505979710058</v>
      </c>
      <c r="D386" s="31">
        <v>383</v>
      </c>
      <c r="E386" s="31">
        <f>'PR 2025'!A384</f>
        <v>4</v>
      </c>
      <c r="F386" s="31">
        <f>'PR 2025'!B384</f>
        <v>5000005059</v>
      </c>
      <c r="G386" s="32" t="str">
        <f>'PR 2025'!C384</f>
        <v>KEYBOARD USB</v>
      </c>
      <c r="H386" s="31">
        <f>'PR 2025'!D384</f>
        <v>10804696</v>
      </c>
      <c r="I386" s="31">
        <f>VLOOKUP(A386,'PO 2025'!$A$2:$Y$1440,21,FALSE)</f>
        <v>79710058</v>
      </c>
      <c r="J386" s="31">
        <f>'PR 2025'!E384</f>
        <v>1</v>
      </c>
      <c r="K386" s="33" t="str">
        <f>'PR 2025'!F384</f>
        <v>BH</v>
      </c>
      <c r="L386" s="34">
        <f>'PR 2025'!T384</f>
        <v>45938</v>
      </c>
      <c r="M386" s="31" t="str">
        <f>'PR 2025'!AG384</f>
        <v>R</v>
      </c>
      <c r="N386" s="34">
        <f>VLOOKUP(C386,'GRS 2025'!$A$2:$AH$1992,4,FALSE)</f>
        <v>45961</v>
      </c>
      <c r="O386" s="69" t="str">
        <f>'PR 2025'!AJ384</f>
        <v>U/ BAGIAN PPC PROC LJ2 (HS CODE : 8471.60.30). EDI</v>
      </c>
    </row>
    <row r="387" spans="1:15" x14ac:dyDescent="0.25">
      <c r="A387" s="22" t="str">
        <f t="shared" si="228"/>
        <v>5000012021108046965</v>
      </c>
      <c r="B387" s="22" t="str">
        <f t="shared" si="229"/>
        <v>5000012021797100585</v>
      </c>
      <c r="C387" s="22" t="str">
        <f t="shared" si="230"/>
        <v>500001202179710058</v>
      </c>
      <c r="D387" s="31">
        <v>384</v>
      </c>
      <c r="E387" s="31">
        <f>'PR 2025'!A385</f>
        <v>5</v>
      </c>
      <c r="F387" s="31">
        <f>'PR 2025'!B385</f>
        <v>5000012021</v>
      </c>
      <c r="G387" s="32" t="str">
        <f>'PR 2025'!C385</f>
        <v>KABEL VGA</v>
      </c>
      <c r="H387" s="31">
        <f>'PR 2025'!D385</f>
        <v>10804696</v>
      </c>
      <c r="I387" s="31">
        <f>VLOOKUP(A387,'PO 2025'!$A$2:$Y$1440,21,FALSE)</f>
        <v>79710058</v>
      </c>
      <c r="J387" s="31">
        <f>'PR 2025'!E385</f>
        <v>1</v>
      </c>
      <c r="K387" s="33" t="str">
        <f>'PR 2025'!F385</f>
        <v>BH</v>
      </c>
      <c r="L387" s="34">
        <f>'PR 2025'!T385</f>
        <v>45938</v>
      </c>
      <c r="M387" s="31" t="str">
        <f>'PR 2025'!AG385</f>
        <v>R</v>
      </c>
      <c r="N387" s="34">
        <f>VLOOKUP(C387,'GRS 2025'!$A$2:$AH$1992,4,FALSE)</f>
        <v>45961</v>
      </c>
      <c r="O387" s="69" t="str">
        <f>'PR 2025'!AJ385</f>
        <v>U/ BAGIAN PPC PROC LJ2 (HS CODE : 8544.20.31). EDI</v>
      </c>
    </row>
    <row r="388" spans="1:15" x14ac:dyDescent="0.25">
      <c r="A388" s="22" t="str">
        <f t="shared" si="228"/>
        <v>5000011754108046966</v>
      </c>
      <c r="B388" s="22" t="str">
        <f t="shared" si="229"/>
        <v>5000011754797100586</v>
      </c>
      <c r="C388" s="22" t="str">
        <f t="shared" si="230"/>
        <v>500001175479710058</v>
      </c>
      <c r="D388" s="31">
        <v>385</v>
      </c>
      <c r="E388" s="31">
        <f>'PR 2025'!A386</f>
        <v>6</v>
      </c>
      <c r="F388" s="31">
        <f>'PR 2025'!B386</f>
        <v>5000011754</v>
      </c>
      <c r="G388" s="32" t="str">
        <f>'PR 2025'!C386</f>
        <v>MOUSE PAD</v>
      </c>
      <c r="H388" s="31">
        <f>'PR 2025'!D386</f>
        <v>10804696</v>
      </c>
      <c r="I388" s="31">
        <f>VLOOKUP(A388,'PO 2025'!$A$2:$Y$1440,21,FALSE)</f>
        <v>79710058</v>
      </c>
      <c r="J388" s="31">
        <f>'PR 2025'!E386</f>
        <v>1</v>
      </c>
      <c r="K388" s="33" t="str">
        <f>'PR 2025'!F386</f>
        <v>BH</v>
      </c>
      <c r="L388" s="34">
        <f>'PR 2025'!T386</f>
        <v>45938</v>
      </c>
      <c r="M388" s="31" t="str">
        <f>'PR 2025'!AG386</f>
        <v>R</v>
      </c>
      <c r="N388" s="34">
        <f>VLOOKUP(C388,'GRS 2025'!$A$2:$AH$1992,4,FALSE)</f>
        <v>45961</v>
      </c>
      <c r="O388" s="69" t="str">
        <f>'PR 2025'!AJ386</f>
        <v>U/ BAGIAN PPC PROC LJ2 (HS CODE : 8471.60.40). EDI</v>
      </c>
    </row>
    <row r="389" spans="1:15" x14ac:dyDescent="0.25">
      <c r="A389" s="22" t="str">
        <f t="shared" si="228"/>
        <v>5000014667108047191</v>
      </c>
      <c r="B389" s="22" t="str">
        <f t="shared" si="229"/>
        <v>5000014667797100541</v>
      </c>
      <c r="C389" s="22" t="str">
        <f t="shared" si="230"/>
        <v>500001466779710054</v>
      </c>
      <c r="D389" s="31">
        <v>386</v>
      </c>
      <c r="E389" s="31">
        <f>'PR 2025'!A387</f>
        <v>1</v>
      </c>
      <c r="F389" s="31">
        <f>'PR 2025'!B387</f>
        <v>5000014667</v>
      </c>
      <c r="G389" s="32" t="str">
        <f>'PR 2025'!C387</f>
        <v>ADAPTER 5V</v>
      </c>
      <c r="H389" s="31">
        <f>'PR 2025'!D387</f>
        <v>10804719</v>
      </c>
      <c r="I389" s="31">
        <f>VLOOKUP(A389,'PO 2025'!$A$2:$Y$1440,21,FALSE)</f>
        <v>79710054</v>
      </c>
      <c r="J389" s="31">
        <f>'PR 2025'!E387</f>
        <v>1</v>
      </c>
      <c r="K389" s="33" t="str">
        <f>'PR 2025'!F387</f>
        <v>UNT</v>
      </c>
      <c r="L389" s="34">
        <f>'PR 2025'!T387</f>
        <v>45939</v>
      </c>
      <c r="M389" s="31" t="str">
        <f>'PR 2025'!AG387</f>
        <v>R</v>
      </c>
      <c r="N389" s="34">
        <f>VLOOKUP(C389,'GRS 2025'!$A$2:$AH$1992,4,FALSE)</f>
        <v>45952</v>
      </c>
      <c r="O389" s="69" t="str">
        <f>'PR 2025'!AJ387</f>
        <v>U/ BAGIAN PPC PROCESSING LJ1 (HS CODE : 8517.79.10). RICKY</v>
      </c>
    </row>
    <row r="390" spans="1:15" x14ac:dyDescent="0.25">
      <c r="A390" s="22" t="str">
        <f t="shared" si="228"/>
        <v>5000005340108047421</v>
      </c>
      <c r="B390" s="22" t="str">
        <f t="shared" si="229"/>
        <v>5000005340797102031</v>
      </c>
      <c r="C390" s="22" t="str">
        <f t="shared" si="230"/>
        <v>500000534079710203</v>
      </c>
      <c r="D390" s="31">
        <v>387</v>
      </c>
      <c r="E390" s="31">
        <f>'PR 2025'!A388</f>
        <v>1</v>
      </c>
      <c r="F390" s="31">
        <f>'PR 2025'!B388</f>
        <v>5000005340</v>
      </c>
      <c r="G390" s="32" t="str">
        <f>'PR 2025'!C388</f>
        <v>POWER SUPLY ATX 450 WATT</v>
      </c>
      <c r="H390" s="31">
        <f>'PR 2025'!D388</f>
        <v>10804742</v>
      </c>
      <c r="I390" s="31">
        <f>VLOOKUP(A390,'PO 2025'!$A$2:$Y$1440,21,FALSE)</f>
        <v>79710203</v>
      </c>
      <c r="J390" s="31">
        <f>'PR 2025'!E388</f>
        <v>1</v>
      </c>
      <c r="K390" s="33" t="str">
        <f>'PR 2025'!F388</f>
        <v>UNT</v>
      </c>
      <c r="L390" s="34">
        <f>'PR 2025'!T388</f>
        <v>45940</v>
      </c>
      <c r="M390" s="31" t="str">
        <f>'PR 2025'!AG388</f>
        <v>R</v>
      </c>
      <c r="N390" s="34">
        <f>VLOOKUP(C390,'GRS 2025'!$A$2:$AH$1992,4,FALSE)</f>
        <v>45953</v>
      </c>
      <c r="O390" s="69" t="str">
        <f>'PR 2025'!AJ388</f>
        <v>U/ BAGIAN QA (HS CODE : 8414.59.10). RICKY</v>
      </c>
    </row>
    <row r="391" spans="1:15" x14ac:dyDescent="0.25">
      <c r="A391" s="22" t="str">
        <f t="shared" ref="A391:A398" si="231">F391&amp;H391&amp;E391</f>
        <v>5000017624108047441</v>
      </c>
      <c r="B391" s="22" t="str">
        <f t="shared" ref="B391:B398" si="232">F391&amp;I391&amp;E391</f>
        <v>5000017624797100531</v>
      </c>
      <c r="C391" s="22" t="str">
        <f t="shared" ref="C391:C398" si="233">F391&amp;I391</f>
        <v>500001762479710053</v>
      </c>
      <c r="D391" s="31">
        <v>388</v>
      </c>
      <c r="E391" s="31">
        <f>'PR 2025'!A389</f>
        <v>1</v>
      </c>
      <c r="F391" s="31">
        <f>'PR 2025'!B389</f>
        <v>5000017624</v>
      </c>
      <c r="G391" s="32" t="str">
        <f>'PR 2025'!C389</f>
        <v>MONITOR 32 INCH</v>
      </c>
      <c r="H391" s="31">
        <f>'PR 2025'!D389</f>
        <v>10804744</v>
      </c>
      <c r="I391" s="31">
        <f>VLOOKUP(A391,'PO 2025'!$A$2:$Y$1440,21,FALSE)</f>
        <v>79710053</v>
      </c>
      <c r="J391" s="31">
        <f>'PR 2025'!E389</f>
        <v>1</v>
      </c>
      <c r="K391" s="33" t="str">
        <f>'PR 2025'!F389</f>
        <v>UNT</v>
      </c>
      <c r="L391" s="34">
        <f>'PR 2025'!T389</f>
        <v>45941</v>
      </c>
      <c r="M391" s="31" t="str">
        <f>'PR 2025'!AG389</f>
        <v>R</v>
      </c>
      <c r="N391" s="34">
        <f>VLOOKUP(C391,'GRS 2025'!$A$2:$AH$1992,4,FALSE)</f>
        <v>45951</v>
      </c>
      <c r="O391" s="69" t="str">
        <f>'PR 2025'!AJ389</f>
        <v>U/ R. ASST. MGR. ENGINEERING (HS CODE : 8528.52.00). M IRFAN</v>
      </c>
    </row>
    <row r="392" spans="1:15" x14ac:dyDescent="0.25">
      <c r="A392" s="22" t="str">
        <f t="shared" si="231"/>
        <v>5000016308108047442</v>
      </c>
      <c r="B392" s="22" t="str">
        <f t="shared" si="232"/>
        <v>5000016308797100552</v>
      </c>
      <c r="C392" s="22" t="str">
        <f t="shared" si="233"/>
        <v>500001630879710055</v>
      </c>
      <c r="D392" s="31">
        <v>389</v>
      </c>
      <c r="E392" s="31">
        <f>'PR 2025'!A390</f>
        <v>2</v>
      </c>
      <c r="F392" s="31">
        <f>'PR 2025'!B390</f>
        <v>5000016308</v>
      </c>
      <c r="G392" s="32" t="str">
        <f>'PR 2025'!C390</f>
        <v>CPU BUILDUP</v>
      </c>
      <c r="H392" s="31">
        <f>'PR 2025'!D390</f>
        <v>10804744</v>
      </c>
      <c r="I392" s="31">
        <f>VLOOKUP(A392,'PO 2025'!$A$2:$Y$1440,21,FALSE)</f>
        <v>79710055</v>
      </c>
      <c r="J392" s="31">
        <f>'PR 2025'!E390</f>
        <v>1</v>
      </c>
      <c r="K392" s="33" t="str">
        <f>'PR 2025'!F390</f>
        <v>UNT</v>
      </c>
      <c r="L392" s="34">
        <f>'PR 2025'!T390</f>
        <v>45941</v>
      </c>
      <c r="M392" s="31" t="str">
        <f>'PR 2025'!AG390</f>
        <v>R</v>
      </c>
      <c r="N392" s="34">
        <f>VLOOKUP(C392,'GRS 2025'!$A$2:$AH$1992,4,FALSE)</f>
        <v>45952</v>
      </c>
      <c r="O392" s="69" t="str">
        <f>'PR 2025'!AJ390</f>
        <v>U/ MENGGANTI YG RUSAK BAGIAN PPC GREY LJ2 (HS CODE : 8479.89.50). IWAN</v>
      </c>
    </row>
    <row r="393" spans="1:15" x14ac:dyDescent="0.25">
      <c r="A393" s="22" t="str">
        <f t="shared" si="231"/>
        <v>5000017971108047591</v>
      </c>
      <c r="B393" s="22" t="str">
        <f t="shared" si="232"/>
        <v>5000017971797100791</v>
      </c>
      <c r="C393" s="22" t="str">
        <f t="shared" si="233"/>
        <v>500001797179710079</v>
      </c>
      <c r="D393" s="31">
        <v>390</v>
      </c>
      <c r="E393" s="31">
        <f>'PR 2025'!A391</f>
        <v>1</v>
      </c>
      <c r="F393" s="31">
        <f>'PR 2025'!B391</f>
        <v>5000017971</v>
      </c>
      <c r="G393" s="32" t="str">
        <f>'PR 2025'!C391</f>
        <v>BATERAI SCANNER BAT-SCN01</v>
      </c>
      <c r="H393" s="31">
        <f>'PR 2025'!D391</f>
        <v>10804759</v>
      </c>
      <c r="I393" s="31">
        <f>VLOOKUP(A393,'PO 2025'!$A$2:$Y$1440,21,FALSE)</f>
        <v>79710079</v>
      </c>
      <c r="J393" s="31">
        <f>'PR 2025'!E391</f>
        <v>1</v>
      </c>
      <c r="K393" s="33" t="str">
        <f>'PR 2025'!F391</f>
        <v>BH</v>
      </c>
      <c r="L393" s="34">
        <f>'PR 2025'!T391</f>
        <v>45943</v>
      </c>
      <c r="M393" s="31" t="str">
        <f>'PR 2025'!AG391</f>
        <v>R</v>
      </c>
      <c r="N393" s="34">
        <f>VLOOKUP(C393,'GRS 2025'!$A$2:$AH$1992,4,FALSE)</f>
        <v>45958</v>
      </c>
      <c r="O393" s="69" t="str">
        <f>'PR 2025'!AJ391</f>
        <v>U/ BAGIAN GD GREY (HS CODE : 8507.60.31). AGUS</v>
      </c>
    </row>
    <row r="394" spans="1:15" x14ac:dyDescent="0.25">
      <c r="A394" s="22" t="str">
        <f t="shared" si="231"/>
        <v>5000017216108047851</v>
      </c>
      <c r="B394" s="22" t="str">
        <f t="shared" si="232"/>
        <v>5000017216797102031</v>
      </c>
      <c r="C394" s="22" t="str">
        <f t="shared" si="233"/>
        <v>500001721679710203</v>
      </c>
      <c r="D394" s="31">
        <v>391</v>
      </c>
      <c r="E394" s="31">
        <f>'PR 2025'!A392</f>
        <v>1</v>
      </c>
      <c r="F394" s="31">
        <f>'PR 2025'!B392</f>
        <v>5000017216</v>
      </c>
      <c r="G394" s="32" t="str">
        <f>'PR 2025'!C392</f>
        <v>MONITOR LCD 22 INCH</v>
      </c>
      <c r="H394" s="31">
        <f>'PR 2025'!D392</f>
        <v>10804785</v>
      </c>
      <c r="I394" s="31">
        <f>VLOOKUP(A394,'PO 2025'!$A$2:$Y$1440,21,FALSE)</f>
        <v>79710203</v>
      </c>
      <c r="J394" s="31">
        <f>'PR 2025'!E392</f>
        <v>3</v>
      </c>
      <c r="K394" s="33" t="str">
        <f>'PR 2025'!F392</f>
        <v>UNT</v>
      </c>
      <c r="L394" s="34">
        <f>'PR 2025'!T392</f>
        <v>45944</v>
      </c>
      <c r="M394" s="31" t="str">
        <f>'PR 2025'!AG392</f>
        <v>R</v>
      </c>
      <c r="N394" s="34">
        <f>VLOOKUP(C394,'GRS 2025'!$A$2:$AH$1992,4,FALSE)</f>
        <v>45953</v>
      </c>
      <c r="O394" s="69" t="str">
        <f>'PR 2025'!AJ392</f>
        <v>U/ BAGIAN OD&amp;TM (HS CODE : 8528.52.00). M HARRY</v>
      </c>
    </row>
    <row r="395" spans="1:15" x14ac:dyDescent="0.25">
      <c r="A395" s="22" t="str">
        <f t="shared" si="231"/>
        <v>5000016308108047852</v>
      </c>
      <c r="B395" s="22" t="str">
        <f t="shared" si="232"/>
        <v>5000016308797101942</v>
      </c>
      <c r="C395" s="22" t="str">
        <f t="shared" si="233"/>
        <v>500001630879710194</v>
      </c>
      <c r="D395" s="31">
        <v>392</v>
      </c>
      <c r="E395" s="31">
        <f>'PR 2025'!A393</f>
        <v>2</v>
      </c>
      <c r="F395" s="31">
        <f>'PR 2025'!B393</f>
        <v>5000016308</v>
      </c>
      <c r="G395" s="32" t="str">
        <f>'PR 2025'!C393</f>
        <v>CPU BUILDUP</v>
      </c>
      <c r="H395" s="31">
        <f>'PR 2025'!D393</f>
        <v>10804785</v>
      </c>
      <c r="I395" s="31">
        <f>VLOOKUP(A395,'PO 2025'!$A$2:$Y$1440,21,FALSE)</f>
        <v>79710194</v>
      </c>
      <c r="J395" s="31">
        <f>'PR 2025'!E393</f>
        <v>4</v>
      </c>
      <c r="K395" s="33" t="str">
        <f>'PR 2025'!F393</f>
        <v>UNT</v>
      </c>
      <c r="L395" s="34">
        <f>'PR 2025'!T393</f>
        <v>45944</v>
      </c>
      <c r="M395" s="31" t="str">
        <f>'PR 2025'!AG393</f>
        <v>R</v>
      </c>
      <c r="N395" s="34">
        <f>VLOOKUP(C395,'GRS 2025'!$A$2:$AH$1992,4,FALSE)</f>
        <v>45965</v>
      </c>
      <c r="O395" s="69" t="str">
        <f>'PR 2025'!AJ393</f>
        <v>U/ BAGIAN OD&amp;TM (3) &amp; MENGGANTI YG RUSAK BAGIAN PERSIAPAN LJ1 (HS CODE : 8479.89.50). M HARRY &amp; DEDI</v>
      </c>
    </row>
    <row r="396" spans="1:15" x14ac:dyDescent="0.25">
      <c r="A396" s="22" t="str">
        <f t="shared" si="231"/>
        <v>5000004248108047853</v>
      </c>
      <c r="B396" s="22" t="str">
        <f t="shared" si="232"/>
        <v>5000004248797102033</v>
      </c>
      <c r="C396" s="22" t="str">
        <f t="shared" si="233"/>
        <v>500000424879710203</v>
      </c>
      <c r="D396" s="31">
        <v>393</v>
      </c>
      <c r="E396" s="31">
        <f>'PR 2025'!A394</f>
        <v>3</v>
      </c>
      <c r="F396" s="31">
        <f>'PR 2025'!B394</f>
        <v>5000004248</v>
      </c>
      <c r="G396" s="32" t="str">
        <f>'PR 2025'!C394</f>
        <v>MOUSE USB</v>
      </c>
      <c r="H396" s="31">
        <f>'PR 2025'!D394</f>
        <v>10804785</v>
      </c>
      <c r="I396" s="31">
        <f>VLOOKUP(A396,'PO 2025'!$A$2:$Y$1440,21,FALSE)</f>
        <v>79710203</v>
      </c>
      <c r="J396" s="31">
        <f>'PR 2025'!E394</f>
        <v>3</v>
      </c>
      <c r="K396" s="33" t="str">
        <f>'PR 2025'!F394</f>
        <v>BH</v>
      </c>
      <c r="L396" s="34">
        <f>'PR 2025'!T394</f>
        <v>45944</v>
      </c>
      <c r="M396" s="31" t="str">
        <f>'PR 2025'!AG394</f>
        <v>R</v>
      </c>
      <c r="N396" s="34">
        <f>VLOOKUP(C396,'GRS 2025'!$A$2:$AH$1992,4,FALSE)</f>
        <v>45953</v>
      </c>
      <c r="O396" s="69" t="str">
        <f>'PR 2025'!AJ394</f>
        <v>U/ BAGIAN OD&amp;TM (HS CODE : 8471.60.40). M HARRY</v>
      </c>
    </row>
    <row r="397" spans="1:15" x14ac:dyDescent="0.25">
      <c r="A397" s="22" t="str">
        <f t="shared" si="231"/>
        <v>5000005059108047854</v>
      </c>
      <c r="B397" s="22" t="str">
        <f t="shared" si="232"/>
        <v>5000005059797102034</v>
      </c>
      <c r="C397" s="22" t="str">
        <f t="shared" si="233"/>
        <v>500000505979710203</v>
      </c>
      <c r="D397" s="31">
        <v>394</v>
      </c>
      <c r="E397" s="31">
        <f>'PR 2025'!A395</f>
        <v>4</v>
      </c>
      <c r="F397" s="31">
        <f>'PR 2025'!B395</f>
        <v>5000005059</v>
      </c>
      <c r="G397" s="32" t="str">
        <f>'PR 2025'!C395</f>
        <v>KEYBOARD USB</v>
      </c>
      <c r="H397" s="31">
        <f>'PR 2025'!D395</f>
        <v>10804785</v>
      </c>
      <c r="I397" s="31">
        <f>VLOOKUP(A397,'PO 2025'!$A$2:$Y$1440,21,FALSE)</f>
        <v>79710203</v>
      </c>
      <c r="J397" s="31">
        <f>'PR 2025'!E395</f>
        <v>3</v>
      </c>
      <c r="K397" s="33" t="str">
        <f>'PR 2025'!F395</f>
        <v>BH</v>
      </c>
      <c r="L397" s="34">
        <f>'PR 2025'!T395</f>
        <v>45944</v>
      </c>
      <c r="M397" s="31" t="str">
        <f>'PR 2025'!AG395</f>
        <v>R</v>
      </c>
      <c r="N397" s="34">
        <f>VLOOKUP(C397,'GRS 2025'!$A$2:$AH$1992,4,FALSE)</f>
        <v>45953</v>
      </c>
      <c r="O397" s="69" t="str">
        <f>'PR 2025'!AJ395</f>
        <v>U/ BAGIAN OD&amp;TM (HS CODE : 8471.60.30). M HARRY</v>
      </c>
    </row>
    <row r="398" spans="1:15" x14ac:dyDescent="0.25">
      <c r="A398" s="22" t="str">
        <f t="shared" si="231"/>
        <v>5000012021108047855</v>
      </c>
      <c r="B398" s="22" t="str">
        <f t="shared" si="232"/>
        <v>5000012021797102035</v>
      </c>
      <c r="C398" s="22" t="str">
        <f t="shared" si="233"/>
        <v>500001202179710203</v>
      </c>
      <c r="D398" s="31">
        <v>395</v>
      </c>
      <c r="E398" s="31">
        <f>'PR 2025'!A396</f>
        <v>5</v>
      </c>
      <c r="F398" s="31">
        <f>'PR 2025'!B396</f>
        <v>5000012021</v>
      </c>
      <c r="G398" s="32" t="str">
        <f>'PR 2025'!C396</f>
        <v>KABEL VGA</v>
      </c>
      <c r="H398" s="31">
        <f>'PR 2025'!D396</f>
        <v>10804785</v>
      </c>
      <c r="I398" s="31">
        <f>VLOOKUP(A398,'PO 2025'!$A$2:$Y$1440,21,FALSE)</f>
        <v>79710203</v>
      </c>
      <c r="J398" s="31">
        <f>'PR 2025'!E396</f>
        <v>3</v>
      </c>
      <c r="K398" s="33" t="str">
        <f>'PR 2025'!F396</f>
        <v>BH</v>
      </c>
      <c r="L398" s="34">
        <f>'PR 2025'!T396</f>
        <v>45944</v>
      </c>
      <c r="M398" s="31" t="str">
        <f>'PR 2025'!AG396</f>
        <v>R</v>
      </c>
      <c r="N398" s="34">
        <f>VLOOKUP(C398,'GRS 2025'!$A$2:$AH$1992,4,FALSE)</f>
        <v>45953</v>
      </c>
      <c r="O398" s="69" t="str">
        <f>'PR 2025'!AJ396</f>
        <v>U/ BAGIAN OD&amp;TM (HS CODE : 8544.20.31). M HARRY</v>
      </c>
    </row>
    <row r="399" spans="1:15" x14ac:dyDescent="0.25">
      <c r="A399" s="22" t="str">
        <f t="shared" ref="A399:A407" si="234">F399&amp;H399&amp;E399</f>
        <v>5000000739108047856</v>
      </c>
      <c r="B399" s="22" t="str">
        <f t="shared" ref="B399:B407" si="235">F399&amp;I399&amp;E399</f>
        <v>5000000739797101876</v>
      </c>
      <c r="C399" s="22" t="str">
        <f t="shared" ref="C399:C407" si="236">F399&amp;I399</f>
        <v>500000073979710187</v>
      </c>
      <c r="D399" s="31">
        <v>396</v>
      </c>
      <c r="E399" s="31">
        <f>'PR 2025'!A397</f>
        <v>6</v>
      </c>
      <c r="F399" s="31">
        <f>'PR 2025'!B397</f>
        <v>5000000739</v>
      </c>
      <c r="G399" s="32" t="str">
        <f>'PR 2025'!C397</f>
        <v>KABEL UTP BELDEN</v>
      </c>
      <c r="H399" s="31">
        <f>'PR 2025'!D397</f>
        <v>10804785</v>
      </c>
      <c r="I399" s="31">
        <f>VLOOKUP(A399,'PO 2025'!$A$2:$Y$1440,21,FALSE)</f>
        <v>79710187</v>
      </c>
      <c r="J399" s="31">
        <f>'PR 2025'!E397</f>
        <v>1</v>
      </c>
      <c r="K399" s="33" t="str">
        <f>'PR 2025'!F397</f>
        <v>ROL</v>
      </c>
      <c r="L399" s="34">
        <f>'PR 2025'!T397</f>
        <v>45944</v>
      </c>
      <c r="M399" s="31" t="str">
        <f>'PR 2025'!AG397</f>
        <v>R</v>
      </c>
      <c r="N399" s="34">
        <f>VLOOKUP(C399,'GRS 2025'!$A$2:$AH$1992,4,FALSE)</f>
        <v>45955</v>
      </c>
      <c r="O399" s="69" t="str">
        <f>'PR 2025'!AJ397</f>
        <v>U/ BAGIAN UTILITY (UNTUK PANTAU AREA SUMUR LJ2) (HS CODE : 8517.14.00). M LEIGA</v>
      </c>
    </row>
    <row r="400" spans="1:15" x14ac:dyDescent="0.25">
      <c r="A400" s="22" t="str">
        <f t="shared" si="234"/>
        <v>5000016728108047857</v>
      </c>
      <c r="B400" s="22" t="str">
        <f t="shared" si="235"/>
        <v>5000016728797101877</v>
      </c>
      <c r="C400" s="22" t="str">
        <f t="shared" si="236"/>
        <v>500001672879710187</v>
      </c>
      <c r="D400" s="31">
        <v>397</v>
      </c>
      <c r="E400" s="31">
        <f>'PR 2025'!A398</f>
        <v>7</v>
      </c>
      <c r="F400" s="31">
        <f>'PR 2025'!B398</f>
        <v>5000016728</v>
      </c>
      <c r="G400" s="32" t="str">
        <f>'PR 2025'!C398</f>
        <v>SWITCH D-LINK 8 PORT</v>
      </c>
      <c r="H400" s="31">
        <f>'PR 2025'!D398</f>
        <v>10804785</v>
      </c>
      <c r="I400" s="31">
        <f>VLOOKUP(A400,'PO 2025'!$A$2:$Y$1440,21,FALSE)</f>
        <v>79710187</v>
      </c>
      <c r="J400" s="31">
        <f>'PR 2025'!E398</f>
        <v>1</v>
      </c>
      <c r="K400" s="33" t="str">
        <f>'PR 2025'!F398</f>
        <v>UNT</v>
      </c>
      <c r="L400" s="34">
        <f>'PR 2025'!T398</f>
        <v>45944</v>
      </c>
      <c r="M400" s="31" t="str">
        <f>'PR 2025'!AG398</f>
        <v>R</v>
      </c>
      <c r="N400" s="34">
        <f>VLOOKUP(C400,'GRS 2025'!$A$2:$AH$1992,4,FALSE)</f>
        <v>45955</v>
      </c>
      <c r="O400" s="69" t="str">
        <f>'PR 2025'!AJ398</f>
        <v>U/ BAGIAN UTILITY (UNTUK PANTAU AREA SUMUR LJ2) (HS CODE : 8517.79.10). M LEIGA</v>
      </c>
    </row>
    <row r="401" spans="1:15" x14ac:dyDescent="0.25">
      <c r="A401" s="22" t="str">
        <f t="shared" si="234"/>
        <v>5000017978108047858</v>
      </c>
      <c r="B401" s="22" t="str">
        <f t="shared" si="235"/>
        <v>5000017978797103768</v>
      </c>
      <c r="C401" s="22" t="str">
        <f t="shared" si="236"/>
        <v>500001797879710376</v>
      </c>
      <c r="D401" s="31">
        <v>398</v>
      </c>
      <c r="E401" s="31">
        <f>'PR 2025'!A399</f>
        <v>8</v>
      </c>
      <c r="F401" s="31">
        <f>'PR 2025'!B399</f>
        <v>5000017978</v>
      </c>
      <c r="G401" s="32" t="str">
        <f>'PR 2025'!C399</f>
        <v>WIFI OUTDOOR</v>
      </c>
      <c r="H401" s="31">
        <f>'PR 2025'!D399</f>
        <v>10804785</v>
      </c>
      <c r="I401" s="31">
        <f>VLOOKUP(A401,'PO 2025'!$A$2:$Y$1440,21,FALSE)</f>
        <v>79710376</v>
      </c>
      <c r="J401" s="31">
        <f>'PR 2025'!E399</f>
        <v>1</v>
      </c>
      <c r="K401" s="33" t="str">
        <f>'PR 2025'!F399</f>
        <v>BH</v>
      </c>
      <c r="L401" s="34">
        <f>'PR 2025'!T399</f>
        <v>45944</v>
      </c>
      <c r="M401" s="31" t="str">
        <f>'PR 2025'!AG399</f>
        <v>R</v>
      </c>
      <c r="N401" s="34">
        <f>VLOOKUP(C401,'GRS 2025'!$A$2:$AH$1992,4,FALSE)</f>
        <v>45955</v>
      </c>
      <c r="O401" s="69" t="str">
        <f>'PR 2025'!AJ399</f>
        <v>U/ BAGIAN UTILITY (UNTUK PANTAU AREA SUMUR LJ2) (HS CODE : 8517.79.10). M LEIGA</v>
      </c>
    </row>
    <row r="402" spans="1:15" x14ac:dyDescent="0.25">
      <c r="A402" s="22" t="str">
        <f t="shared" si="234"/>
        <v>5000016428108048051</v>
      </c>
      <c r="B402" s="22" t="str">
        <f t="shared" si="235"/>
        <v>5000016428797101881</v>
      </c>
      <c r="C402" s="22" t="str">
        <f t="shared" si="236"/>
        <v>500001642879710188</v>
      </c>
      <c r="D402" s="31">
        <v>399</v>
      </c>
      <c r="E402" s="31">
        <f>'PR 2025'!A400</f>
        <v>1</v>
      </c>
      <c r="F402" s="31">
        <f>'PR 2025'!B400</f>
        <v>5000016428</v>
      </c>
      <c r="G402" s="32" t="str">
        <f>'PR 2025'!C400</f>
        <v>PRINTER EPSON L-121</v>
      </c>
      <c r="H402" s="31">
        <f>'PR 2025'!D400</f>
        <v>10804805</v>
      </c>
      <c r="I402" s="31">
        <f>VLOOKUP(A402,'PO 2025'!$A$2:$Y$1440,21,FALSE)</f>
        <v>79710188</v>
      </c>
      <c r="J402" s="31">
        <f>'PR 2025'!E400</f>
        <v>1</v>
      </c>
      <c r="K402" s="33" t="str">
        <f>'PR 2025'!F400</f>
        <v>UNT</v>
      </c>
      <c r="L402" s="34">
        <f>'PR 2025'!T400</f>
        <v>45945</v>
      </c>
      <c r="M402" s="31" t="str">
        <f>'PR 2025'!AG400</f>
        <v>R</v>
      </c>
      <c r="N402" s="34">
        <f>VLOOKUP(C402,'GRS 2025'!$A$2:$AH$1992,4,FALSE)</f>
        <v>45953</v>
      </c>
      <c r="O402" s="69" t="str">
        <f>'PR 2025'!AJ400</f>
        <v>U/ BAGIAN QA GREY LJ1 (HS CODE : 8443.31.11). INDRA</v>
      </c>
    </row>
    <row r="403" spans="1:15" x14ac:dyDescent="0.25">
      <c r="A403" s="22" t="str">
        <f t="shared" si="234"/>
        <v>5000016308108048052</v>
      </c>
      <c r="B403" s="22" t="str">
        <f t="shared" si="235"/>
        <v>5000016308797101952</v>
      </c>
      <c r="C403" s="22" t="str">
        <f t="shared" si="236"/>
        <v>500001630879710195</v>
      </c>
      <c r="D403" s="31">
        <v>400</v>
      </c>
      <c r="E403" s="31">
        <f>'PR 2025'!A401</f>
        <v>2</v>
      </c>
      <c r="F403" s="31">
        <f>'PR 2025'!B401</f>
        <v>5000016308</v>
      </c>
      <c r="G403" s="32" t="str">
        <f>'PR 2025'!C401</f>
        <v>CPU BUILDUP</v>
      </c>
      <c r="H403" s="31">
        <f>'PR 2025'!D401</f>
        <v>10804805</v>
      </c>
      <c r="I403" s="31">
        <f>VLOOKUP(A403,'PO 2025'!$A$2:$Y$1440,21,FALSE)</f>
        <v>79710195</v>
      </c>
      <c r="J403" s="31">
        <f>'PR 2025'!E401</f>
        <v>1</v>
      </c>
      <c r="K403" s="33" t="str">
        <f>'PR 2025'!F401</f>
        <v>UNT</v>
      </c>
      <c r="L403" s="34">
        <f>'PR 2025'!T401</f>
        <v>45945</v>
      </c>
      <c r="M403" s="31" t="str">
        <f>'PR 2025'!AG401</f>
        <v>R</v>
      </c>
      <c r="N403" s="34">
        <f>VLOOKUP(C403,'GRS 2025'!$A$2:$AH$1992,4,FALSE)</f>
        <v>45965</v>
      </c>
      <c r="O403" s="69" t="str">
        <f>'PR 2025'!AJ401</f>
        <v>U/ BAGIAN MACHCRIMPER LJ3 (HS CODE : 8479.89.50). WAHDYAT</v>
      </c>
    </row>
    <row r="404" spans="1:15" x14ac:dyDescent="0.25">
      <c r="A404" s="22" t="str">
        <f t="shared" si="234"/>
        <v>5000017425108048401</v>
      </c>
      <c r="B404" s="22" t="str">
        <f t="shared" si="235"/>
        <v>5000017425797105121</v>
      </c>
      <c r="C404" s="22" t="str">
        <f t="shared" si="236"/>
        <v>500001742579710512</v>
      </c>
      <c r="D404" s="31">
        <v>401</v>
      </c>
      <c r="E404" s="31">
        <f>'PR 2025'!A402</f>
        <v>1</v>
      </c>
      <c r="F404" s="31">
        <f>'PR 2025'!B402</f>
        <v>5000017425</v>
      </c>
      <c r="G404" s="32" t="str">
        <f>'PR 2025'!C402</f>
        <v>KABEL DISPLAY PORT TO HDMI</v>
      </c>
      <c r="H404" s="31">
        <f>'PR 2025'!D402</f>
        <v>10804840</v>
      </c>
      <c r="I404" s="31">
        <f>VLOOKUP(A404,'PO 2025'!$A$2:$Y$1440,21,FALSE)</f>
        <v>79710512</v>
      </c>
      <c r="J404" s="31">
        <f>'PR 2025'!E402</f>
        <v>1</v>
      </c>
      <c r="K404" s="33" t="str">
        <f>'PR 2025'!F402</f>
        <v>BH</v>
      </c>
      <c r="L404" s="34">
        <f>'PR 2025'!T402</f>
        <v>45947</v>
      </c>
      <c r="M404" s="31" t="str">
        <f>'PR 2025'!AG402</f>
        <v>R</v>
      </c>
      <c r="N404" s="34">
        <f>VLOOKUP(C404,'GRS 2025'!$A$2:$AH$1992,4,FALSE)</f>
        <v>45965</v>
      </c>
      <c r="O404" s="69" t="str">
        <f>'PR 2025'!AJ402</f>
        <v>UKURAN 5 METER, UNTUK BAGIAN MARKETING (HS CODE : 8544.20.31). FIRMAN</v>
      </c>
    </row>
    <row r="405" spans="1:15" x14ac:dyDescent="0.25">
      <c r="A405" s="22" t="str">
        <f t="shared" si="234"/>
        <v>5000016930108048402</v>
      </c>
      <c r="B405" s="22" t="str">
        <f t="shared" si="235"/>
        <v>5000016930797109782</v>
      </c>
      <c r="C405" s="22" t="str">
        <f t="shared" si="236"/>
        <v>500001693079710978</v>
      </c>
      <c r="D405" s="31">
        <v>402</v>
      </c>
      <c r="E405" s="31">
        <f>'PR 2025'!A403</f>
        <v>2</v>
      </c>
      <c r="F405" s="31">
        <f>'PR 2025'!B403</f>
        <v>5000016930</v>
      </c>
      <c r="G405" s="32" t="str">
        <f>'PR 2025'!C403</f>
        <v>PRINT SERVER</v>
      </c>
      <c r="H405" s="31">
        <f>'PR 2025'!D403</f>
        <v>10804840</v>
      </c>
      <c r="I405" s="31">
        <f>VLOOKUP(A405,'PO 2025'!$A$2:$Y$1440,21,FALSE)</f>
        <v>79710978</v>
      </c>
      <c r="J405" s="31">
        <f>'PR 2025'!E403</f>
        <v>1</v>
      </c>
      <c r="K405" s="33" t="str">
        <f>'PR 2025'!F403</f>
        <v>BH</v>
      </c>
      <c r="L405" s="34">
        <f>'PR 2025'!T403</f>
        <v>45947</v>
      </c>
      <c r="M405" s="31" t="str">
        <f>'PR 2025'!AG403</f>
        <v>R</v>
      </c>
      <c r="N405" s="34">
        <f>VLOOKUP(C405,'GRS 2025'!$A$2:$AH$1992,4,FALSE)</f>
        <v>45974</v>
      </c>
      <c r="O405" s="69" t="str">
        <f>'PR 2025'!AJ403</f>
        <v>U/ BAGIAN PEMBELIAN (HS CODE : 8517.79.10). DETA</v>
      </c>
    </row>
    <row r="406" spans="1:15" x14ac:dyDescent="0.25">
      <c r="A406" s="22" t="str">
        <f t="shared" si="234"/>
        <v>5000017979108048403</v>
      </c>
      <c r="B406" s="22" t="str">
        <f t="shared" si="235"/>
        <v>5000017979797103773</v>
      </c>
      <c r="C406" s="22" t="str">
        <f t="shared" si="236"/>
        <v>500001797979710377</v>
      </c>
      <c r="D406" s="31">
        <v>403</v>
      </c>
      <c r="E406" s="31">
        <f>'PR 2025'!A404</f>
        <v>3</v>
      </c>
      <c r="F406" s="31">
        <f>'PR 2025'!B404</f>
        <v>5000017979</v>
      </c>
      <c r="G406" s="32" t="str">
        <f>'PR 2025'!C404</f>
        <v>THERMAL PAD</v>
      </c>
      <c r="H406" s="31">
        <f>'PR 2025'!D404</f>
        <v>10804840</v>
      </c>
      <c r="I406" s="31">
        <f>VLOOKUP(A406,'PO 2025'!$A$2:$Y$1440,21,FALSE)</f>
        <v>79710377</v>
      </c>
      <c r="J406" s="31">
        <f>'PR 2025'!E404</f>
        <v>2</v>
      </c>
      <c r="K406" s="33" t="str">
        <f>'PR 2025'!F404</f>
        <v>BH</v>
      </c>
      <c r="L406" s="34">
        <f>'PR 2025'!T404</f>
        <v>45947</v>
      </c>
      <c r="M406" s="31" t="str">
        <f>'PR 2025'!AG404</f>
        <v>R</v>
      </c>
      <c r="N406" s="34">
        <f>VLOOKUP(C406,'GRS 2025'!$A$2:$AH$1992,4,FALSE)</f>
        <v>45973</v>
      </c>
      <c r="O406" s="69" t="str">
        <f>'PR 2025'!AJ404</f>
        <v>U/ BAGIAN IT. ERDI</v>
      </c>
    </row>
    <row r="407" spans="1:15" ht="30" x14ac:dyDescent="0.25">
      <c r="A407" s="22" t="str">
        <f t="shared" si="234"/>
        <v>5000013640108048404</v>
      </c>
      <c r="B407" s="22" t="str">
        <f t="shared" si="235"/>
        <v>5000013640797103784</v>
      </c>
      <c r="C407" s="22" t="str">
        <f t="shared" si="236"/>
        <v>500001364079710378</v>
      </c>
      <c r="D407" s="31">
        <v>404</v>
      </c>
      <c r="E407" s="31">
        <f>'PR 2025'!A405</f>
        <v>4</v>
      </c>
      <c r="F407" s="31">
        <f>'PR 2025'!B405</f>
        <v>5000013640</v>
      </c>
      <c r="G407" s="32" t="str">
        <f>'PR 2025'!C405</f>
        <v>CONNECTOR TELEPHONE</v>
      </c>
      <c r="H407" s="31">
        <f>'PR 2025'!D405</f>
        <v>10804840</v>
      </c>
      <c r="I407" s="31">
        <f>VLOOKUP(A407,'PO 2025'!$A$2:$Y$1440,21,FALSE)</f>
        <v>79710378</v>
      </c>
      <c r="J407" s="31">
        <f>'PR 2025'!E405</f>
        <v>19</v>
      </c>
      <c r="K407" s="33" t="str">
        <f>'PR 2025'!F405</f>
        <v>BH</v>
      </c>
      <c r="L407" s="34">
        <f>'PR 2025'!T405</f>
        <v>45947</v>
      </c>
      <c r="M407" s="31" t="str">
        <f>'PR 2025'!AG405</f>
        <v>R</v>
      </c>
      <c r="N407" s="34">
        <f>VLOOKUP(C407,'GRS 2025'!$A$2:$AH$1992,4,FALSE)</f>
        <v>45961</v>
      </c>
      <c r="O407" s="69" t="str">
        <f>'PR 2025'!AJ405</f>
        <v>U/ BAGIAN MARKETING (2), UTILITY (2), PERSIAPAN LJ1 (1), MTC PERSIAPAN LJ1 (1), FINAL LJ1 (1), FINAL LJ2 (1), KEUANGAN (3), PAJAK (1), AUDIT (1), AUDIT (1), CA (2), MACHRIMPER (1), QA (1) DAN IT (1) (HS CODE : 8518.40.20). ERDI</v>
      </c>
    </row>
    <row r="408" spans="1:15" ht="30" x14ac:dyDescent="0.25">
      <c r="A408" s="22" t="str">
        <f t="shared" ref="A408" si="237">F408&amp;H408&amp;E408</f>
        <v>5000016322108048405</v>
      </c>
      <c r="B408" s="22" t="str">
        <f t="shared" ref="B408" si="238">F408&amp;I408&amp;E408</f>
        <v>5000016322797103785</v>
      </c>
      <c r="C408" s="22" t="str">
        <f t="shared" ref="C408" si="239">F408&amp;I408</f>
        <v>500001632279710378</v>
      </c>
      <c r="D408" s="31">
        <v>405</v>
      </c>
      <c r="E408" s="31">
        <f>'PR 2025'!A406</f>
        <v>5</v>
      </c>
      <c r="F408" s="31">
        <f>'PR 2025'!B406</f>
        <v>5000016322</v>
      </c>
      <c r="G408" s="32" t="str">
        <f>'PR 2025'!C406</f>
        <v>KABEL EXTENTION CORE</v>
      </c>
      <c r="H408" s="31">
        <f>'PR 2025'!D406</f>
        <v>10804840</v>
      </c>
      <c r="I408" s="31">
        <f>VLOOKUP(A408,'PO 2025'!$A$2:$Y$1440,21,FALSE)</f>
        <v>79710378</v>
      </c>
      <c r="J408" s="31">
        <f>'PR 2025'!E406</f>
        <v>19</v>
      </c>
      <c r="K408" s="33" t="str">
        <f>'PR 2025'!F406</f>
        <v>BH</v>
      </c>
      <c r="L408" s="34">
        <f>'PR 2025'!T406</f>
        <v>45947</v>
      </c>
      <c r="M408" s="31" t="str">
        <f>'PR 2025'!AG406</f>
        <v>R</v>
      </c>
      <c r="N408" s="34">
        <f>VLOOKUP(C408,'GRS 2025'!$A$2:$AH$1992,4,FALSE)</f>
        <v>45961</v>
      </c>
      <c r="O408" s="69" t="str">
        <f>'PR 2025'!AJ406</f>
        <v>U/ BAGIAN MARKETING (2), UTILITY (2), PERSIAPAN LJ1 (1), MTC PERSIAPAN LJ1 (1), FINAL LJ1 (1), FINAL LJ2 (1), KEUANGAN (3), PAJAK (1), AUDIT (1), AUDIT (1), CA (2), MACHRIMPER (1), QA (1) DAN IT (1) (HS CODE : 8544.42.91). ERDI</v>
      </c>
    </row>
    <row r="409" spans="1:15" x14ac:dyDescent="0.25">
      <c r="A409" s="22" t="str">
        <f t="shared" ref="A409" si="240">F409&amp;H409&amp;E409</f>
        <v>5000016323108048406</v>
      </c>
      <c r="B409" s="22" t="str">
        <f t="shared" ref="B409" si="241">F409&amp;I409&amp;E409</f>
        <v>5000016323797103776</v>
      </c>
      <c r="C409" s="22" t="str">
        <f t="shared" ref="C409" si="242">F409&amp;I409</f>
        <v>500001632379710377</v>
      </c>
      <c r="D409" s="31">
        <v>406</v>
      </c>
      <c r="E409" s="31">
        <f>'PR 2025'!A407</f>
        <v>6</v>
      </c>
      <c r="F409" s="31">
        <f>'PR 2025'!B407</f>
        <v>5000016323</v>
      </c>
      <c r="G409" s="32" t="str">
        <f>'PR 2025'!C407</f>
        <v>I CONNECTOR RJ 45</v>
      </c>
      <c r="H409" s="31">
        <f>'PR 2025'!D407</f>
        <v>10804840</v>
      </c>
      <c r="I409" s="31">
        <f>VLOOKUP(A409,'PO 2025'!$A$2:$Y$1440,21,FALSE)</f>
        <v>79710377</v>
      </c>
      <c r="J409" s="31">
        <f>'PR 2025'!E407</f>
        <v>10</v>
      </c>
      <c r="K409" s="33" t="str">
        <f>'PR 2025'!F407</f>
        <v>BH</v>
      </c>
      <c r="L409" s="34">
        <f>'PR 2025'!T407</f>
        <v>45947</v>
      </c>
      <c r="M409" s="31" t="str">
        <f>'PR 2025'!AG407</f>
        <v>R</v>
      </c>
      <c r="N409" s="34">
        <f>VLOOKUP(C409,'GRS 2025'!$A$2:$AH$1992,4,FALSE)</f>
        <v>45973</v>
      </c>
      <c r="O409" s="69" t="str">
        <f>'PR 2025'!AJ407</f>
        <v>U/ BAGIAN FINAL LJ1 (1), PERSIAPAN (1), MARKETING (3), QA (1), GD PACKING (2), IT (2) (HS CODE : 8536.70.90). ERDI</v>
      </c>
    </row>
    <row r="410" spans="1:15" x14ac:dyDescent="0.25">
      <c r="A410" s="22" t="str">
        <f t="shared" ref="A410:A414" si="243">F410&amp;H410&amp;E410</f>
        <v>5000017216108049121</v>
      </c>
      <c r="B410" s="22" t="str">
        <f t="shared" ref="B410:B414" si="244">F410&amp;I410&amp;E410</f>
        <v>5000017216797105141</v>
      </c>
      <c r="C410" s="22" t="str">
        <f t="shared" ref="C410:C414" si="245">F410&amp;I410</f>
        <v>500001721679710514</v>
      </c>
      <c r="D410" s="31">
        <v>407</v>
      </c>
      <c r="E410" s="31">
        <f>'PR 2025'!A408</f>
        <v>1</v>
      </c>
      <c r="F410" s="31">
        <f>'PR 2025'!B408</f>
        <v>5000017216</v>
      </c>
      <c r="G410" s="32" t="str">
        <f>'PR 2025'!C408</f>
        <v>MONITOR LCD 22 INCH</v>
      </c>
      <c r="H410" s="31">
        <f>'PR 2025'!D408</f>
        <v>10804912</v>
      </c>
      <c r="I410" s="31">
        <f>VLOOKUP(A410,'PO 2025'!$A$2:$Y$1440,21,FALSE)</f>
        <v>79710514</v>
      </c>
      <c r="J410" s="31">
        <f>'PR 2025'!E408</f>
        <v>1</v>
      </c>
      <c r="K410" s="33" t="str">
        <f>'PR 2025'!F408</f>
        <v>UNT</v>
      </c>
      <c r="L410" s="34">
        <f>'PR 2025'!T408</f>
        <v>45952</v>
      </c>
      <c r="M410" s="31" t="str">
        <f>'PR 2025'!AG408</f>
        <v>R</v>
      </c>
      <c r="N410" s="34">
        <f>VLOOKUP(C410,'GRS 2025'!$A$2:$AH$1992,4,FALSE)</f>
        <v>45961</v>
      </c>
      <c r="O410" s="69" t="str">
        <f>'PR 2025'!AJ408</f>
        <v>U/ MENGGANTI YG RUSAK BAGIAN QA GREY LJ1 (HS CODE : 8528.52.00). HENGKY</v>
      </c>
    </row>
    <row r="411" spans="1:15" x14ac:dyDescent="0.25">
      <c r="A411" s="22" t="str">
        <f t="shared" si="243"/>
        <v>5000011754108049122</v>
      </c>
      <c r="B411" s="22" t="str">
        <f t="shared" si="244"/>
        <v>5000011754797105152</v>
      </c>
      <c r="C411" s="22" t="str">
        <f t="shared" si="245"/>
        <v>500001175479710515</v>
      </c>
      <c r="D411" s="31">
        <v>408</v>
      </c>
      <c r="E411" s="31">
        <f>'PR 2025'!A409</f>
        <v>2</v>
      </c>
      <c r="F411" s="31">
        <f>'PR 2025'!B409</f>
        <v>5000011754</v>
      </c>
      <c r="G411" s="32" t="str">
        <f>'PR 2025'!C409</f>
        <v>MOUSE PAD</v>
      </c>
      <c r="H411" s="31">
        <f>'PR 2025'!D409</f>
        <v>10804912</v>
      </c>
      <c r="I411" s="31">
        <f>VLOOKUP(A411,'PO 2025'!$A$2:$Y$1440,21,FALSE)</f>
        <v>79710515</v>
      </c>
      <c r="J411" s="31">
        <f>'PR 2025'!E409</f>
        <v>5</v>
      </c>
      <c r="K411" s="33" t="str">
        <f>'PR 2025'!F409</f>
        <v>BH</v>
      </c>
      <c r="L411" s="34">
        <f>'PR 2025'!T409</f>
        <v>45952</v>
      </c>
      <c r="M411" s="31" t="str">
        <f>'PR 2025'!AG409</f>
        <v>R</v>
      </c>
      <c r="N411" s="34">
        <f>VLOOKUP(C411,'GRS 2025'!$A$2:$AH$1992,4,FALSE)</f>
        <v>45961</v>
      </c>
      <c r="O411" s="69" t="str">
        <f>'PR 2025'!AJ409</f>
        <v>U/ BAGIAN QA LJ2 (HS CODE : 8471.60.40). MARYAM</v>
      </c>
    </row>
    <row r="412" spans="1:15" x14ac:dyDescent="0.25">
      <c r="A412" s="22" t="str">
        <f t="shared" si="243"/>
        <v>5000005059108049521</v>
      </c>
      <c r="B412" s="22" t="str">
        <f t="shared" si="244"/>
        <v>5000005059797106171</v>
      </c>
      <c r="C412" s="22" t="str">
        <f t="shared" si="245"/>
        <v>500000505979710617</v>
      </c>
      <c r="D412" s="31">
        <v>409</v>
      </c>
      <c r="E412" s="31">
        <f>'PR 2025'!A410</f>
        <v>1</v>
      </c>
      <c r="F412" s="31">
        <f>'PR 2025'!B410</f>
        <v>5000005059</v>
      </c>
      <c r="G412" s="32" t="str">
        <f>'PR 2025'!C410</f>
        <v>KEYBOARD USB</v>
      </c>
      <c r="H412" s="31">
        <f>'PR 2025'!D410</f>
        <v>10804952</v>
      </c>
      <c r="I412" s="31">
        <f>VLOOKUP(A412,'PO 2025'!$A$2:$Y$1440,21,FALSE)</f>
        <v>79710617</v>
      </c>
      <c r="J412" s="31">
        <f>'PR 2025'!E410</f>
        <v>1</v>
      </c>
      <c r="K412" s="33" t="str">
        <f>'PR 2025'!F410</f>
        <v>BH</v>
      </c>
      <c r="L412" s="34">
        <f>'PR 2025'!T410</f>
        <v>45954</v>
      </c>
      <c r="M412" s="31" t="str">
        <f>'PR 2025'!AG410</f>
        <v>R</v>
      </c>
      <c r="N412" s="34">
        <f>VLOOKUP(C412,'GRS 2025'!$A$2:$AH$1992,4,FALSE)</f>
        <v>45965</v>
      </c>
      <c r="O412" s="69" t="str">
        <f>'PR 2025'!AJ410</f>
        <v>ORDER YG LOGITECH U/ BAGIAN BEACUKAI (HS CODE : 8471.60.30). BAGUS</v>
      </c>
    </row>
    <row r="413" spans="1:15" x14ac:dyDescent="0.25">
      <c r="A413" s="22" t="str">
        <f t="shared" si="243"/>
        <v>5000016255108049522</v>
      </c>
      <c r="B413" s="22" t="str">
        <f t="shared" si="244"/>
        <v>5000016255797106212</v>
      </c>
      <c r="C413" s="22" t="str">
        <f t="shared" si="245"/>
        <v>500001625579710621</v>
      </c>
      <c r="D413" s="31">
        <v>410</v>
      </c>
      <c r="E413" s="31">
        <f>'PR 2025'!A411</f>
        <v>2</v>
      </c>
      <c r="F413" s="31">
        <f>'PR 2025'!B411</f>
        <v>5000016255</v>
      </c>
      <c r="G413" s="32" t="str">
        <f>'PR 2025'!C411</f>
        <v>SSD SATA 256GB</v>
      </c>
      <c r="H413" s="31">
        <f>'PR 2025'!D411</f>
        <v>10804952</v>
      </c>
      <c r="I413" s="31">
        <f>VLOOKUP(A413,'PO 2025'!$A$2:$Y$1440,21,FALSE)</f>
        <v>79710621</v>
      </c>
      <c r="J413" s="31">
        <f>'PR 2025'!E411</f>
        <v>1</v>
      </c>
      <c r="K413" s="33" t="str">
        <f>'PR 2025'!F411</f>
        <v>BH</v>
      </c>
      <c r="L413" s="34">
        <f>'PR 2025'!T411</f>
        <v>45954</v>
      </c>
      <c r="M413" s="31" t="str">
        <f>'PR 2025'!AG411</f>
        <v>R</v>
      </c>
      <c r="N413" s="34">
        <f>VLOOKUP(C413,'GRS 2025'!$A$2:$AH$1992,4,FALSE)</f>
        <v>45971</v>
      </c>
      <c r="O413" s="69" t="str">
        <f>'PR 2025'!AJ411</f>
        <v>U/ BAGIAN INCOMING GD SPAREPART (HS CODE : 8471.50.90). WAHYU</v>
      </c>
    </row>
    <row r="414" spans="1:15" x14ac:dyDescent="0.25">
      <c r="A414" s="22" t="str">
        <f t="shared" si="243"/>
        <v>5000014237108049523</v>
      </c>
      <c r="B414" s="22" t="str">
        <f t="shared" si="244"/>
        <v>5000014237797106213</v>
      </c>
      <c r="C414" s="22" t="str">
        <f t="shared" si="245"/>
        <v>500001423779710621</v>
      </c>
      <c r="D414" s="31">
        <v>411</v>
      </c>
      <c r="E414" s="31">
        <f>'PR 2025'!A412</f>
        <v>3</v>
      </c>
      <c r="F414" s="31">
        <f>'PR 2025'!B412</f>
        <v>5000014237</v>
      </c>
      <c r="G414" s="32" t="str">
        <f>'PR 2025'!C412</f>
        <v>CONVERTER VGA TO HDMI</v>
      </c>
      <c r="H414" s="31">
        <f>'PR 2025'!D412</f>
        <v>10804952</v>
      </c>
      <c r="I414" s="31">
        <f>VLOOKUP(A414,'PO 2025'!$A$2:$Y$1440,21,FALSE)</f>
        <v>79710621</v>
      </c>
      <c r="J414" s="31">
        <f>'PR 2025'!E412</f>
        <v>1</v>
      </c>
      <c r="K414" s="33" t="str">
        <f>'PR 2025'!F412</f>
        <v>PCS</v>
      </c>
      <c r="L414" s="34">
        <f>'PR 2025'!T412</f>
        <v>45954</v>
      </c>
      <c r="M414" s="31" t="str">
        <f>'PR 2025'!AG412</f>
        <v>R</v>
      </c>
      <c r="N414" s="34">
        <f>VLOOKUP(C414,'GRS 2025'!$A$2:$AH$1992,4,FALSE)</f>
        <v>45971</v>
      </c>
      <c r="O414" s="69" t="str">
        <f>'PR 2025'!AJ412</f>
        <v>URGENT : U/ ASST. MGR. ENGINEERING (HS CODE : 8454.10.00). RICKY</v>
      </c>
    </row>
    <row r="415" spans="1:15" x14ac:dyDescent="0.25">
      <c r="A415" s="22" t="str">
        <f t="shared" ref="A415:A423" si="246">F415&amp;H415&amp;E415</f>
        <v>5000016428108049771</v>
      </c>
      <c r="B415" s="22" t="str">
        <f t="shared" ref="B415:B423" si="247">F415&amp;I415&amp;E415</f>
        <v>5000016428797106171</v>
      </c>
      <c r="C415" s="22" t="str">
        <f t="shared" ref="C415:C423" si="248">F415&amp;I415</f>
        <v>500001642879710617</v>
      </c>
      <c r="D415" s="31">
        <v>412</v>
      </c>
      <c r="E415" s="31">
        <f>'PR 2025'!A413</f>
        <v>1</v>
      </c>
      <c r="F415" s="31">
        <f>'PR 2025'!B413</f>
        <v>5000016428</v>
      </c>
      <c r="G415" s="32" t="str">
        <f>'PR 2025'!C413</f>
        <v>PRINTER EPSON L-121</v>
      </c>
      <c r="H415" s="31">
        <f>'PR 2025'!D413</f>
        <v>10804977</v>
      </c>
      <c r="I415" s="31">
        <f>VLOOKUP(A415,'PO 2025'!$A$2:$Y$1440,21,FALSE)</f>
        <v>79710617</v>
      </c>
      <c r="J415" s="31">
        <f>'PR 2025'!E413</f>
        <v>1</v>
      </c>
      <c r="K415" s="33" t="str">
        <f>'PR 2025'!F413</f>
        <v>UNT</v>
      </c>
      <c r="L415" s="34">
        <f>'PR 2025'!T413</f>
        <v>45957</v>
      </c>
      <c r="M415" s="31" t="str">
        <f>'PR 2025'!AG413</f>
        <v>R</v>
      </c>
      <c r="N415" s="34">
        <f>VLOOKUP(C415,'GRS 2025'!$A$2:$AH$1992,4,FALSE)</f>
        <v>45965</v>
      </c>
      <c r="O415" s="69" t="str">
        <f>'PR 2025'!AJ413</f>
        <v>U/ BAGIAN GD UMUM (HS CODE : 8443.31.11). HAFIZH</v>
      </c>
    </row>
    <row r="416" spans="1:15" x14ac:dyDescent="0.25">
      <c r="A416" s="22" t="str">
        <f t="shared" si="246"/>
        <v>5000016930108049772</v>
      </c>
      <c r="B416" s="22" t="str">
        <f t="shared" si="247"/>
        <v>5000016930797109782</v>
      </c>
      <c r="C416" s="22" t="str">
        <f t="shared" si="248"/>
        <v>500001693079710978</v>
      </c>
      <c r="D416" s="31">
        <v>413</v>
      </c>
      <c r="E416" s="31">
        <f>'PR 2025'!A414</f>
        <v>2</v>
      </c>
      <c r="F416" s="31">
        <f>'PR 2025'!B414</f>
        <v>5000016930</v>
      </c>
      <c r="G416" s="32" t="str">
        <f>'PR 2025'!C414</f>
        <v>PRINT SERVER</v>
      </c>
      <c r="H416" s="31">
        <f>'PR 2025'!D414</f>
        <v>10804977</v>
      </c>
      <c r="I416" s="31">
        <f>VLOOKUP(A416,'PO 2025'!$A$2:$Y$1440,21,FALSE)</f>
        <v>79710978</v>
      </c>
      <c r="J416" s="31">
        <f>'PR 2025'!E414</f>
        <v>1</v>
      </c>
      <c r="K416" s="33" t="str">
        <f>'PR 2025'!F414</f>
        <v>BH</v>
      </c>
      <c r="L416" s="34">
        <f>'PR 2025'!T414</f>
        <v>45957</v>
      </c>
      <c r="M416" s="31" t="str">
        <f>'PR 2025'!AG414</f>
        <v>R</v>
      </c>
      <c r="N416" s="34">
        <f>VLOOKUP(C416,'GRS 2025'!$A$2:$AH$1992,4,FALSE)</f>
        <v>45974</v>
      </c>
      <c r="O416" s="69" t="str">
        <f>'PR 2025'!AJ414</f>
        <v>U/ BAGIAN GD UMUM (HS CODE : 8517.79.10). HAFIZH</v>
      </c>
    </row>
    <row r="417" spans="1:15" x14ac:dyDescent="0.25">
      <c r="A417" s="22" t="str">
        <f t="shared" si="246"/>
        <v>5000017216108049773</v>
      </c>
      <c r="B417" s="22" t="str">
        <f t="shared" si="247"/>
        <v>5000017216797106233</v>
      </c>
      <c r="C417" s="22" t="str">
        <f t="shared" si="248"/>
        <v>500001721679710623</v>
      </c>
      <c r="D417" s="31">
        <v>414</v>
      </c>
      <c r="E417" s="31">
        <f>'PR 2025'!A415</f>
        <v>3</v>
      </c>
      <c r="F417" s="31">
        <f>'PR 2025'!B415</f>
        <v>5000017216</v>
      </c>
      <c r="G417" s="32" t="str">
        <f>'PR 2025'!C415</f>
        <v>MONITOR LCD 22 INCH</v>
      </c>
      <c r="H417" s="31">
        <f>'PR 2025'!D415</f>
        <v>10804977</v>
      </c>
      <c r="I417" s="31">
        <f>VLOOKUP(A417,'PO 2025'!$A$2:$Y$1440,21,FALSE)</f>
        <v>79710623</v>
      </c>
      <c r="J417" s="31">
        <f>'PR 2025'!E415</f>
        <v>1</v>
      </c>
      <c r="K417" s="33" t="str">
        <f>'PR 2025'!F415</f>
        <v>UNT</v>
      </c>
      <c r="L417" s="34">
        <f>'PR 2025'!T415</f>
        <v>45957</v>
      </c>
      <c r="M417" s="31" t="str">
        <f>'PR 2025'!AG415</f>
        <v>R</v>
      </c>
      <c r="N417" s="34">
        <f>VLOOKUP(C417,'GRS 2025'!$A$2:$AH$1992,4,FALSE)</f>
        <v>45966</v>
      </c>
      <c r="O417" s="69" t="str">
        <f>'PR 2025'!AJ415</f>
        <v>U/ KABAG BARU BAGIAN GD OBAT (HS CODE : 8528.52.00). FAUZI</v>
      </c>
    </row>
    <row r="418" spans="1:15" x14ac:dyDescent="0.25">
      <c r="A418" s="22" t="str">
        <f t="shared" si="246"/>
        <v>5000005059108049774</v>
      </c>
      <c r="B418" s="22" t="str">
        <f t="shared" si="247"/>
        <v>5000005059797106234</v>
      </c>
      <c r="C418" s="22" t="str">
        <f t="shared" si="248"/>
        <v>500000505979710623</v>
      </c>
      <c r="D418" s="31">
        <v>415</v>
      </c>
      <c r="E418" s="31">
        <f>'PR 2025'!A416</f>
        <v>4</v>
      </c>
      <c r="F418" s="31">
        <f>'PR 2025'!B416</f>
        <v>5000005059</v>
      </c>
      <c r="G418" s="32" t="str">
        <f>'PR 2025'!C416</f>
        <v>KEYBOARD USB</v>
      </c>
      <c r="H418" s="31">
        <f>'PR 2025'!D416</f>
        <v>10804977</v>
      </c>
      <c r="I418" s="31">
        <f>VLOOKUP(A418,'PO 2025'!$A$2:$Y$1440,21,FALSE)</f>
        <v>79710623</v>
      </c>
      <c r="J418" s="31">
        <f>'PR 2025'!E416</f>
        <v>1</v>
      </c>
      <c r="K418" s="33" t="str">
        <f>'PR 2025'!F416</f>
        <v>BH</v>
      </c>
      <c r="L418" s="34">
        <f>'PR 2025'!T416</f>
        <v>45957</v>
      </c>
      <c r="M418" s="31" t="str">
        <f>'PR 2025'!AG416</f>
        <v>R</v>
      </c>
      <c r="N418" s="34">
        <f>VLOOKUP(C418,'GRS 2025'!$A$2:$AH$1992,4,FALSE)</f>
        <v>45966</v>
      </c>
      <c r="O418" s="69" t="str">
        <f>'PR 2025'!AJ416</f>
        <v>U/ KABAG BARU BAGIAN GD OBAT (HS CODE : 8471.60.30). FAUZI</v>
      </c>
    </row>
    <row r="419" spans="1:15" x14ac:dyDescent="0.25">
      <c r="A419" s="22" t="str">
        <f t="shared" si="246"/>
        <v>5000016308108049775</v>
      </c>
      <c r="B419" s="22" t="str">
        <f t="shared" si="247"/>
        <v>5000016308797106215</v>
      </c>
      <c r="C419" s="22" t="str">
        <f t="shared" si="248"/>
        <v>500001630879710621</v>
      </c>
      <c r="D419" s="31">
        <v>416</v>
      </c>
      <c r="E419" s="31">
        <f>'PR 2025'!A417</f>
        <v>5</v>
      </c>
      <c r="F419" s="31">
        <f>'PR 2025'!B417</f>
        <v>5000016308</v>
      </c>
      <c r="G419" s="32" t="str">
        <f>'PR 2025'!C417</f>
        <v>CPU BUILDUP</v>
      </c>
      <c r="H419" s="31">
        <f>'PR 2025'!D417</f>
        <v>10804977</v>
      </c>
      <c r="I419" s="31">
        <f>VLOOKUP(A419,'PO 2025'!$A$2:$Y$1440,21,FALSE)</f>
        <v>79710621</v>
      </c>
      <c r="J419" s="31">
        <f>'PR 2025'!E417</f>
        <v>1</v>
      </c>
      <c r="K419" s="33" t="str">
        <f>'PR 2025'!F417</f>
        <v>UNT</v>
      </c>
      <c r="L419" s="34">
        <f>'PR 2025'!T417</f>
        <v>45957</v>
      </c>
      <c r="M419" s="31" t="str">
        <f>'PR 2025'!AG417</f>
        <v>R</v>
      </c>
      <c r="N419" s="34">
        <f>VLOOKUP(C419,'GRS 2025'!$A$2:$AH$1992,4,FALSE)</f>
        <v>45971</v>
      </c>
      <c r="O419" s="69" t="str">
        <f>'PR 2025'!AJ417</f>
        <v>U/ KABAG BARU BAGIAN GD OBAT (HS CODE : 8479.89.50). FAUZI</v>
      </c>
    </row>
    <row r="420" spans="1:15" x14ac:dyDescent="0.25">
      <c r="A420" s="22" t="str">
        <f t="shared" si="246"/>
        <v>5000004248108049776</v>
      </c>
      <c r="B420" s="22" t="str">
        <f t="shared" si="247"/>
        <v>5000004248797106236</v>
      </c>
      <c r="C420" s="22" t="str">
        <f t="shared" si="248"/>
        <v>500000424879710623</v>
      </c>
      <c r="D420" s="31">
        <v>417</v>
      </c>
      <c r="E420" s="31">
        <f>'PR 2025'!A418</f>
        <v>6</v>
      </c>
      <c r="F420" s="31">
        <f>'PR 2025'!B418</f>
        <v>5000004248</v>
      </c>
      <c r="G420" s="32" t="str">
        <f>'PR 2025'!C418</f>
        <v>MOUSE USB</v>
      </c>
      <c r="H420" s="31">
        <f>'PR 2025'!D418</f>
        <v>10804977</v>
      </c>
      <c r="I420" s="31">
        <f>VLOOKUP(A420,'PO 2025'!$A$2:$Y$1440,21,FALSE)</f>
        <v>79710623</v>
      </c>
      <c r="J420" s="31">
        <f>'PR 2025'!E418</f>
        <v>1</v>
      </c>
      <c r="K420" s="33" t="str">
        <f>'PR 2025'!F418</f>
        <v>BH</v>
      </c>
      <c r="L420" s="34">
        <f>'PR 2025'!T418</f>
        <v>45957</v>
      </c>
      <c r="M420" s="31" t="str">
        <f>'PR 2025'!AG418</f>
        <v>R</v>
      </c>
      <c r="N420" s="34">
        <f>VLOOKUP(C420,'GRS 2025'!$A$2:$AH$1992,4,FALSE)</f>
        <v>45966</v>
      </c>
      <c r="O420" s="69" t="str">
        <f>'PR 2025'!AJ418</f>
        <v>U/ KABAG BARU BAGIAN GD OBAT (HS CODE : 8471.60.40). FAUZI</v>
      </c>
    </row>
    <row r="421" spans="1:15" x14ac:dyDescent="0.25">
      <c r="A421" s="22" t="str">
        <f t="shared" si="246"/>
        <v>5000012021108049777</v>
      </c>
      <c r="B421" s="22" t="str">
        <f t="shared" si="247"/>
        <v>5000012021797106237</v>
      </c>
      <c r="C421" s="22" t="str">
        <f t="shared" si="248"/>
        <v>500001202179710623</v>
      </c>
      <c r="D421" s="31">
        <v>418</v>
      </c>
      <c r="E421" s="31">
        <f>'PR 2025'!A419</f>
        <v>7</v>
      </c>
      <c r="F421" s="31">
        <f>'PR 2025'!B419</f>
        <v>5000012021</v>
      </c>
      <c r="G421" s="32" t="str">
        <f>'PR 2025'!C419</f>
        <v>KABEL VGA</v>
      </c>
      <c r="H421" s="31">
        <f>'PR 2025'!D419</f>
        <v>10804977</v>
      </c>
      <c r="I421" s="31">
        <f>VLOOKUP(A421,'PO 2025'!$A$2:$Y$1440,21,FALSE)</f>
        <v>79710623</v>
      </c>
      <c r="J421" s="31">
        <f>'PR 2025'!E419</f>
        <v>1</v>
      </c>
      <c r="K421" s="33" t="str">
        <f>'PR 2025'!F419</f>
        <v>BH</v>
      </c>
      <c r="L421" s="34">
        <f>'PR 2025'!T419</f>
        <v>45957</v>
      </c>
      <c r="M421" s="31" t="str">
        <f>'PR 2025'!AG419</f>
        <v>R</v>
      </c>
      <c r="N421" s="34">
        <f>VLOOKUP(C421,'GRS 2025'!$A$2:$AH$1992,4,FALSE)</f>
        <v>45966</v>
      </c>
      <c r="O421" s="69" t="str">
        <f>'PR 2025'!AJ419</f>
        <v>U/ KABAG BARU BAGIAN GD OBAT (HS CODE : 8544.20.31). FAUZI</v>
      </c>
    </row>
    <row r="422" spans="1:15" x14ac:dyDescent="0.25">
      <c r="A422" s="22" t="str">
        <f t="shared" si="246"/>
        <v>5000011754108049778</v>
      </c>
      <c r="B422" s="22" t="str">
        <f t="shared" si="247"/>
        <v>5000011754797106238</v>
      </c>
      <c r="C422" s="22" t="str">
        <f t="shared" si="248"/>
        <v>500001175479710623</v>
      </c>
      <c r="D422" s="31">
        <v>419</v>
      </c>
      <c r="E422" s="31">
        <f>'PR 2025'!A420</f>
        <v>8</v>
      </c>
      <c r="F422" s="31">
        <f>'PR 2025'!B420</f>
        <v>5000011754</v>
      </c>
      <c r="G422" s="32" t="str">
        <f>'PR 2025'!C420</f>
        <v>MOUSE PAD</v>
      </c>
      <c r="H422" s="31">
        <f>'PR 2025'!D420</f>
        <v>10804977</v>
      </c>
      <c r="I422" s="31">
        <f>VLOOKUP(A422,'PO 2025'!$A$2:$Y$1440,21,FALSE)</f>
        <v>79710623</v>
      </c>
      <c r="J422" s="31">
        <f>'PR 2025'!E420</f>
        <v>1</v>
      </c>
      <c r="K422" s="33" t="str">
        <f>'PR 2025'!F420</f>
        <v>BH</v>
      </c>
      <c r="L422" s="34">
        <f>'PR 2025'!T420</f>
        <v>45957</v>
      </c>
      <c r="M422" s="31" t="str">
        <f>'PR 2025'!AG420</f>
        <v>R</v>
      </c>
      <c r="N422" s="34">
        <f>VLOOKUP(C422,'GRS 2025'!$A$2:$AH$1992,4,FALSE)</f>
        <v>45966</v>
      </c>
      <c r="O422" s="69" t="str">
        <f>'PR 2025'!AJ420</f>
        <v>U/ KABAG BARU BAGIAN GD OBAT (HS CODE : 8471.60.40). FAUZI</v>
      </c>
    </row>
    <row r="423" spans="1:15" x14ac:dyDescent="0.25">
      <c r="A423" s="22" t="str">
        <f t="shared" si="246"/>
        <v>5000015000108049779</v>
      </c>
      <c r="B423" s="22" t="str">
        <f t="shared" si="247"/>
        <v>5000015000797108509</v>
      </c>
      <c r="C423" s="22" t="str">
        <f t="shared" si="248"/>
        <v>500001500079710850</v>
      </c>
      <c r="D423" s="31">
        <v>420</v>
      </c>
      <c r="E423" s="31">
        <f>'PR 2025'!A421</f>
        <v>9</v>
      </c>
      <c r="F423" s="31">
        <f>'PR 2025'!B421</f>
        <v>5000015000</v>
      </c>
      <c r="G423" s="32" t="str">
        <f>'PR 2025'!C421</f>
        <v>POE INJECTOR</v>
      </c>
      <c r="H423" s="31">
        <f>'PR 2025'!D421</f>
        <v>10804977</v>
      </c>
      <c r="I423" s="31">
        <f>VLOOKUP(A423,'PO 2025'!$A$2:$Y$1440,21,FALSE)</f>
        <v>79710850</v>
      </c>
      <c r="J423" s="31">
        <f>'PR 2025'!E421</f>
        <v>2</v>
      </c>
      <c r="K423" s="33" t="str">
        <f>'PR 2025'!F421</f>
        <v>UNT</v>
      </c>
      <c r="L423" s="34">
        <f>'PR 2025'!T421</f>
        <v>45957</v>
      </c>
      <c r="M423" s="31" t="str">
        <f>'PR 2025'!AG421</f>
        <v>R</v>
      </c>
      <c r="N423" s="34">
        <f>VLOOKUP(C423,'GRS 2025'!$A$2:$AH$1992,4,FALSE)</f>
        <v>45974</v>
      </c>
      <c r="O423" s="69" t="str">
        <f>'PR 2025'!AJ421</f>
        <v>U/ CCTV AREA GERBANG UTAMA &amp; SUMUR LJ2 (HS CODE : 8517.79.10). TIO &amp; RICKY</v>
      </c>
    </row>
    <row r="424" spans="1:15" x14ac:dyDescent="0.25">
      <c r="A424" s="22" t="str">
        <f t="shared" ref="A424:A428" si="249">F424&amp;H424&amp;E424</f>
        <v>50000053401080497710</v>
      </c>
      <c r="B424" s="22" t="str">
        <f t="shared" ref="B424:B428" si="250">F424&amp;I424&amp;E424</f>
        <v>50000053407971062310</v>
      </c>
      <c r="C424" s="22" t="str">
        <f t="shared" ref="C424:C428" si="251">F424&amp;I424</f>
        <v>500000534079710623</v>
      </c>
      <c r="D424" s="31">
        <v>421</v>
      </c>
      <c r="E424" s="31">
        <f>'PR 2025'!A422</f>
        <v>10</v>
      </c>
      <c r="F424" s="31">
        <f>'PR 2025'!B422</f>
        <v>5000005340</v>
      </c>
      <c r="G424" s="32" t="str">
        <f>'PR 2025'!C422</f>
        <v>POWER SUPLY ATX 450 WATT</v>
      </c>
      <c r="H424" s="31">
        <f>'PR 2025'!D422</f>
        <v>10804977</v>
      </c>
      <c r="I424" s="31">
        <f>VLOOKUP(A424,'PO 2025'!$A$2:$Y$1440,21,FALSE)</f>
        <v>79710623</v>
      </c>
      <c r="J424" s="31">
        <f>'PR 2025'!E422</f>
        <v>1</v>
      </c>
      <c r="K424" s="33" t="str">
        <f>'PR 2025'!F422</f>
        <v>UNT</v>
      </c>
      <c r="L424" s="34">
        <f>'PR 2025'!T422</f>
        <v>45957</v>
      </c>
      <c r="M424" s="31" t="str">
        <f>'PR 2025'!AG422</f>
        <v>R</v>
      </c>
      <c r="N424" s="34">
        <f>VLOOKUP(C424,'GRS 2025'!$A$2:$AH$1992,4,FALSE)</f>
        <v>45966</v>
      </c>
      <c r="O424" s="69" t="str">
        <f>'PR 2025'!AJ422</f>
        <v>U/ BAGIAN GD GREY LJ1 (HS CODE : 8414.59.10). RICKY</v>
      </c>
    </row>
    <row r="425" spans="1:15" x14ac:dyDescent="0.25">
      <c r="A425" s="22" t="str">
        <f t="shared" si="249"/>
        <v>5000017856108050001</v>
      </c>
      <c r="B425" s="22" t="str">
        <f t="shared" si="250"/>
        <v>5000017856797108641</v>
      </c>
      <c r="C425" s="22" t="str">
        <f t="shared" si="251"/>
        <v>500001785679710864</v>
      </c>
      <c r="D425" s="31">
        <v>422</v>
      </c>
      <c r="E425" s="31">
        <f>'PR 2025'!A423</f>
        <v>1</v>
      </c>
      <c r="F425" s="31">
        <f>'PR 2025'!B423</f>
        <v>5000017856</v>
      </c>
      <c r="G425" s="32" t="str">
        <f>'PR 2025'!C423</f>
        <v>MONITOR 75 INCH</v>
      </c>
      <c r="H425" s="31">
        <f>'PR 2025'!D423</f>
        <v>10805000</v>
      </c>
      <c r="I425" s="31">
        <f>VLOOKUP(A425,'PO 2025'!$A$2:$Y$1440,21,FALSE)</f>
        <v>79710864</v>
      </c>
      <c r="J425" s="31">
        <f>'PR 2025'!E423</f>
        <v>1</v>
      </c>
      <c r="K425" s="33" t="str">
        <f>'PR 2025'!F423</f>
        <v>UNT</v>
      </c>
      <c r="L425" s="34">
        <f>'PR 2025'!T423</f>
        <v>45958</v>
      </c>
      <c r="M425" s="31" t="str">
        <f>'PR 2025'!AG423</f>
        <v>R</v>
      </c>
      <c r="N425" s="34">
        <f>VLOOKUP(C425,'GRS 2025'!$A$2:$AH$1992,4,FALSE)</f>
        <v>45971</v>
      </c>
      <c r="O425" s="69" t="str">
        <f>'PR 2025'!AJ423</f>
        <v>U/ RUANG MEETING PROC LJ1 (HS CODE : 8528.52.00). PURKONANDI</v>
      </c>
    </row>
    <row r="426" spans="1:15" x14ac:dyDescent="0.25">
      <c r="A426" s="22" t="str">
        <f t="shared" si="249"/>
        <v>5000011960108050002</v>
      </c>
      <c r="B426" s="22" t="str">
        <f t="shared" si="250"/>
        <v>5000011960797108642</v>
      </c>
      <c r="C426" s="22" t="str">
        <f t="shared" si="251"/>
        <v>500001196079710864</v>
      </c>
      <c r="D426" s="31">
        <v>423</v>
      </c>
      <c r="E426" s="31">
        <f>'PR 2025'!A424</f>
        <v>2</v>
      </c>
      <c r="F426" s="31">
        <f>'PR 2025'!B424</f>
        <v>5000011960</v>
      </c>
      <c r="G426" s="32" t="str">
        <f>'PR 2025'!C424</f>
        <v>BRACKET TV</v>
      </c>
      <c r="H426" s="31">
        <f>'PR 2025'!D424</f>
        <v>10805000</v>
      </c>
      <c r="I426" s="31">
        <f>VLOOKUP(A426,'PO 2025'!$A$2:$Y$1440,21,FALSE)</f>
        <v>79710864</v>
      </c>
      <c r="J426" s="31">
        <f>'PR 2025'!E424</f>
        <v>1</v>
      </c>
      <c r="K426" s="33" t="str">
        <f>'PR 2025'!F424</f>
        <v>BH</v>
      </c>
      <c r="L426" s="34">
        <f>'PR 2025'!T424</f>
        <v>45958</v>
      </c>
      <c r="M426" s="31" t="str">
        <f>'PR 2025'!AG424</f>
        <v>R</v>
      </c>
      <c r="N426" s="34">
        <f>VLOOKUP(C426,'GRS 2025'!$A$2:$AH$1992,4,FALSE)</f>
        <v>45971</v>
      </c>
      <c r="O426" s="69" t="str">
        <f>'PR 2025'!AJ424</f>
        <v>U/ RUANG MEETING PROC LJ1 (HS CODE : 8714.99.91). PURKONANDI</v>
      </c>
    </row>
    <row r="427" spans="1:15" x14ac:dyDescent="0.25">
      <c r="A427" s="22" t="str">
        <f t="shared" si="249"/>
        <v>5000014291108050003</v>
      </c>
      <c r="B427" s="22" t="str">
        <f t="shared" si="250"/>
        <v>5000014291797108333</v>
      </c>
      <c r="C427" s="22" t="str">
        <f t="shared" si="251"/>
        <v>500001429179710833</v>
      </c>
      <c r="D427" s="31">
        <v>424</v>
      </c>
      <c r="E427" s="31">
        <f>'PR 2025'!A425</f>
        <v>3</v>
      </c>
      <c r="F427" s="31">
        <f>'PR 2025'!B425</f>
        <v>5000014291</v>
      </c>
      <c r="G427" s="32" t="str">
        <f>'PR 2025'!C425</f>
        <v>KABEL HDMI</v>
      </c>
      <c r="H427" s="31">
        <f>'PR 2025'!D425</f>
        <v>10805000</v>
      </c>
      <c r="I427" s="31">
        <f>VLOOKUP(A427,'PO 2025'!$A$2:$Y$1440,21,FALSE)</f>
        <v>79710833</v>
      </c>
      <c r="J427" s="31">
        <f>'PR 2025'!E425</f>
        <v>1</v>
      </c>
      <c r="K427" s="33" t="str">
        <f>'PR 2025'!F425</f>
        <v>PCS</v>
      </c>
      <c r="L427" s="34">
        <f>'PR 2025'!T425</f>
        <v>45958</v>
      </c>
      <c r="M427" s="31" t="str">
        <f>'PR 2025'!AG425</f>
        <v>R</v>
      </c>
      <c r="N427" s="34">
        <f>VLOOKUP(C427,'GRS 2025'!$A$2:$AH$1992,4,FALSE)</f>
        <v>45974</v>
      </c>
      <c r="O427" s="69" t="str">
        <f>'PR 2025'!AJ425</f>
        <v>UKURAN 10 MTR, U/ RUANG MEETING PROC LJ1 (HS CODE : 8544.20.31). PURKONANDI</v>
      </c>
    </row>
    <row r="428" spans="1:15" x14ac:dyDescent="0.25">
      <c r="A428" s="22" t="str">
        <f t="shared" si="249"/>
        <v>5000016671108050004</v>
      </c>
      <c r="B428" s="22" t="str">
        <f t="shared" si="250"/>
        <v>5000016671797108324</v>
      </c>
      <c r="C428" s="22" t="str">
        <f t="shared" si="251"/>
        <v>500001667179710832</v>
      </c>
      <c r="D428" s="31">
        <v>425</v>
      </c>
      <c r="E428" s="31">
        <f>'PR 2025'!A426</f>
        <v>4</v>
      </c>
      <c r="F428" s="31">
        <f>'PR 2025'!B426</f>
        <v>5000016671</v>
      </c>
      <c r="G428" s="32" t="str">
        <f>'PR 2025'!C426</f>
        <v>ADAPTER MONITOR 19V</v>
      </c>
      <c r="H428" s="31">
        <f>'PR 2025'!D426</f>
        <v>10805000</v>
      </c>
      <c r="I428" s="31">
        <f>VLOOKUP(A428,'PO 2025'!$A$2:$Y$1440,21,FALSE)</f>
        <v>79710832</v>
      </c>
      <c r="J428" s="31">
        <f>'PR 2025'!E426</f>
        <v>1</v>
      </c>
      <c r="K428" s="33" t="str">
        <f>'PR 2025'!F426</f>
        <v>BH</v>
      </c>
      <c r="L428" s="34">
        <f>'PR 2025'!T426</f>
        <v>45958</v>
      </c>
      <c r="M428" s="31" t="str">
        <f>'PR 2025'!AG426</f>
        <v>R</v>
      </c>
      <c r="N428" s="34">
        <f>VLOOKUP(C428,'GRS 2025'!$A$2:$AH$1992,4,FALSE)</f>
        <v>45972</v>
      </c>
      <c r="O428" s="69" t="str">
        <f>'PR 2025'!AJ426</f>
        <v>U/ BAGIAN GD PACKING (HS CODE : 8517.79.10). RICKY</v>
      </c>
    </row>
    <row r="429" spans="1:15" x14ac:dyDescent="0.25">
      <c r="A429" s="22" t="str">
        <f t="shared" ref="A429:A431" si="252">F429&amp;H429&amp;E429</f>
        <v>5000018001108050381</v>
      </c>
      <c r="B429" s="22" t="str">
        <f t="shared" ref="B429:B431" si="253">F429&amp;I429&amp;E429</f>
        <v>5000018001797108651</v>
      </c>
      <c r="C429" s="22" t="str">
        <f t="shared" ref="C429:C431" si="254">F429&amp;I429</f>
        <v>500001800179710865</v>
      </c>
      <c r="D429" s="31">
        <v>426</v>
      </c>
      <c r="E429" s="31">
        <f>'PR 2025'!A427</f>
        <v>1</v>
      </c>
      <c r="F429" s="31">
        <f>'PR 2025'!B427</f>
        <v>5000018001</v>
      </c>
      <c r="G429" s="32" t="str">
        <f>'PR 2025'!C427</f>
        <v>DAHUA NVR608-32-4KS2</v>
      </c>
      <c r="H429" s="31">
        <f>'PR 2025'!D427</f>
        <v>10805038</v>
      </c>
      <c r="I429" s="31">
        <f>VLOOKUP(A429,'PO 2025'!$A$2:$Y$1440,21,FALSE)</f>
        <v>79710865</v>
      </c>
      <c r="J429" s="31">
        <f>'PR 2025'!E427</f>
        <v>1</v>
      </c>
      <c r="K429" s="33" t="str">
        <f>'PR 2025'!F427</f>
        <v>UNT</v>
      </c>
      <c r="L429" s="34">
        <f>'PR 2025'!T427</f>
        <v>45959</v>
      </c>
      <c r="M429" s="31" t="str">
        <f>'PR 2025'!AG427</f>
        <v>R</v>
      </c>
      <c r="N429" s="34">
        <f>VLOOKUP(C429,'GRS 2025'!$A$2:$AH$1992,4,FALSE)</f>
        <v>45989</v>
      </c>
      <c r="O429" s="69" t="str">
        <f>'PR 2025'!AJ427</f>
        <v>U/ REKAMAN CCTV 6 BULAN TAHAP 1 (HS CODE : 8521.90.99). BILLY</v>
      </c>
    </row>
    <row r="430" spans="1:15" x14ac:dyDescent="0.25">
      <c r="A430" s="22" t="str">
        <f t="shared" si="252"/>
        <v>5000018002108050382</v>
      </c>
      <c r="B430" s="22" t="str">
        <f t="shared" si="253"/>
        <v>5000018002797109812</v>
      </c>
      <c r="C430" s="22" t="str">
        <f t="shared" si="254"/>
        <v>500001800279710981</v>
      </c>
      <c r="D430" s="31">
        <v>427</v>
      </c>
      <c r="E430" s="31">
        <f>'PR 2025'!A428</f>
        <v>2</v>
      </c>
      <c r="F430" s="31">
        <f>'PR 2025'!B428</f>
        <v>5000018002</v>
      </c>
      <c r="G430" s="32" t="str">
        <f>'PR 2025'!C428</f>
        <v>HARDISK 8 TB WD PRO PURPLE</v>
      </c>
      <c r="H430" s="31">
        <f>'PR 2025'!D428</f>
        <v>10805038</v>
      </c>
      <c r="I430" s="31">
        <f>VLOOKUP(A430,'PO 2025'!$A$2:$Y$1440,21,FALSE)</f>
        <v>79710981</v>
      </c>
      <c r="J430" s="31">
        <f>'PR 2025'!E428</f>
        <v>5</v>
      </c>
      <c r="K430" s="33" t="str">
        <f>'PR 2025'!F428</f>
        <v>BH</v>
      </c>
      <c r="L430" s="34">
        <f>'PR 2025'!T428</f>
        <v>45959</v>
      </c>
      <c r="M430" s="31" t="str">
        <f>'PR 2025'!AG428</f>
        <v>R</v>
      </c>
      <c r="N430" s="34">
        <f>VLOOKUP(C430,'GRS 2025'!$A$2:$AH$1992,4,FALSE)</f>
        <v>45972</v>
      </c>
      <c r="O430" s="69" t="str">
        <f>'PR 2025'!AJ428</f>
        <v>U/ REKAMAN CCTV 6 BULAN TAHAP 1 (HS CODE : 8471.50.90). BILLY</v>
      </c>
    </row>
    <row r="431" spans="1:15" x14ac:dyDescent="0.25">
      <c r="A431" s="22" t="str">
        <f t="shared" si="252"/>
        <v>5000015560108050383</v>
      </c>
      <c r="B431" s="22" t="str">
        <f t="shared" si="253"/>
        <v>5000015560797108333</v>
      </c>
      <c r="C431" s="22" t="str">
        <f t="shared" si="254"/>
        <v>500001556079710833</v>
      </c>
      <c r="D431" s="31">
        <v>428</v>
      </c>
      <c r="E431" s="31">
        <f>'PR 2025'!A429</f>
        <v>3</v>
      </c>
      <c r="F431" s="31">
        <f>'PR 2025'!B429</f>
        <v>5000015560</v>
      </c>
      <c r="G431" s="32" t="str">
        <f>'PR 2025'!C429</f>
        <v>RAM DDR3 8GB</v>
      </c>
      <c r="H431" s="31">
        <f>'PR 2025'!D429</f>
        <v>10805038</v>
      </c>
      <c r="I431" s="31">
        <f>VLOOKUP(A431,'PO 2025'!$A$2:$Y$1440,21,FALSE)</f>
        <v>79710833</v>
      </c>
      <c r="J431" s="31">
        <f>'PR 2025'!E429</f>
        <v>1</v>
      </c>
      <c r="K431" s="33" t="str">
        <f>'PR 2025'!F429</f>
        <v>BH</v>
      </c>
      <c r="L431" s="34">
        <f>'PR 2025'!T429</f>
        <v>45959</v>
      </c>
      <c r="M431" s="31" t="str">
        <f>'PR 2025'!AG429</f>
        <v>R</v>
      </c>
      <c r="N431" s="34">
        <f>VLOOKUP(C431,'GRS 2025'!$A$2:$AH$1992,4,FALSE)</f>
        <v>45974</v>
      </c>
      <c r="O431" s="69" t="str">
        <f>'PR 2025'!AJ429</f>
        <v>U/ BAGIAN ACCOUNTING (HS CODE : 8471.50.90). ERDI</v>
      </c>
    </row>
    <row r="432" spans="1:15" x14ac:dyDescent="0.25">
      <c r="A432" s="22" t="str">
        <f t="shared" ref="A432:A434" si="255">F432&amp;H432&amp;E432</f>
        <v>5000014904108050711</v>
      </c>
      <c r="B432" s="22" t="str">
        <f t="shared" ref="B432:B434" si="256">F432&amp;I432&amp;E432</f>
        <v>5000014904797108321</v>
      </c>
      <c r="C432" s="22" t="str">
        <f t="shared" ref="C432:C434" si="257">F432&amp;I432</f>
        <v>500001490479710832</v>
      </c>
      <c r="D432" s="31">
        <v>429</v>
      </c>
      <c r="E432" s="31">
        <f>'PR 2025'!A430</f>
        <v>1</v>
      </c>
      <c r="F432" s="31">
        <f>'PR 2025'!B430</f>
        <v>5000014904</v>
      </c>
      <c r="G432" s="32" t="str">
        <f>'PR 2025'!C430</f>
        <v>FINGER SCAN SOLUTION X100-C</v>
      </c>
      <c r="H432" s="31">
        <f>'PR 2025'!D430</f>
        <v>10805071</v>
      </c>
      <c r="I432" s="31">
        <f>VLOOKUP(A432,'PO 2025'!$A$2:$Y$1440,21,FALSE)</f>
        <v>79710832</v>
      </c>
      <c r="J432" s="31">
        <f>'PR 2025'!E430</f>
        <v>1</v>
      </c>
      <c r="K432" s="33" t="str">
        <f>'PR 2025'!F430</f>
        <v>UNT</v>
      </c>
      <c r="L432" s="34">
        <f>'PR 2025'!T430</f>
        <v>45961</v>
      </c>
      <c r="M432" s="31" t="str">
        <f>'PR 2025'!AG430</f>
        <v>R</v>
      </c>
      <c r="N432" s="34">
        <f>VLOOKUP(C432,'GRS 2025'!$A$2:$AH$1992,4,FALSE)</f>
        <v>45972</v>
      </c>
      <c r="O432" s="69" t="str">
        <f>'PR 2025'!AJ430</f>
        <v>U/ MENGGANTI YANG RUSAK DI AREA UNWINDING LJ1 (HS CODE : 8471.90.30). ERIK</v>
      </c>
    </row>
    <row r="433" spans="1:15" x14ac:dyDescent="0.25">
      <c r="A433" s="22" t="str">
        <f t="shared" si="255"/>
        <v>5000016930108050881</v>
      </c>
      <c r="B433" s="22" t="str">
        <f t="shared" si="256"/>
        <v>5000016930797109781</v>
      </c>
      <c r="C433" s="22" t="str">
        <f t="shared" si="257"/>
        <v>500001693079710978</v>
      </c>
      <c r="D433" s="31">
        <v>430</v>
      </c>
      <c r="E433" s="31">
        <f>'PR 2025'!A431</f>
        <v>1</v>
      </c>
      <c r="F433" s="31">
        <f>'PR 2025'!B431</f>
        <v>5000016930</v>
      </c>
      <c r="G433" s="32" t="str">
        <f>'PR 2025'!C431</f>
        <v>PRINT SERVER</v>
      </c>
      <c r="H433" s="31">
        <f>'PR 2025'!D431</f>
        <v>10805088</v>
      </c>
      <c r="I433" s="31">
        <f>VLOOKUP(A433,'PO 2025'!$A$2:$Y$1440,21,FALSE)</f>
        <v>79710978</v>
      </c>
      <c r="J433" s="31">
        <f>'PR 2025'!E431</f>
        <v>1</v>
      </c>
      <c r="K433" s="33" t="str">
        <f>'PR 2025'!F431</f>
        <v>BH</v>
      </c>
      <c r="L433" s="34">
        <f>'PR 2025'!T431</f>
        <v>45962</v>
      </c>
      <c r="M433" s="31" t="str">
        <f>'PR 2025'!AG431</f>
        <v>R</v>
      </c>
      <c r="N433" s="34">
        <f>VLOOKUP(C433,'GRS 2025'!$A$2:$AH$1992,4,FALSE)</f>
        <v>45974</v>
      </c>
      <c r="O433" s="69" t="str">
        <f>'PR 2025'!AJ431</f>
        <v>URGENT : U/ ASST. MGR. ENGINEERING (HS CODE : 8517.79.10). RICKY</v>
      </c>
    </row>
    <row r="434" spans="1:15" x14ac:dyDescent="0.25">
      <c r="A434" s="22" t="str">
        <f t="shared" si="255"/>
        <v>5000016541108051141</v>
      </c>
      <c r="B434" s="22" t="str">
        <f t="shared" si="256"/>
        <v>5000016541797108321</v>
      </c>
      <c r="C434" s="22" t="str">
        <f t="shared" si="257"/>
        <v>500001654179710832</v>
      </c>
      <c r="D434" s="31">
        <v>431</v>
      </c>
      <c r="E434" s="31">
        <f>'PR 2025'!A432</f>
        <v>1</v>
      </c>
      <c r="F434" s="31">
        <f>'PR 2025'!B432</f>
        <v>5000016541</v>
      </c>
      <c r="G434" s="32" t="str">
        <f>'PR 2025'!C432</f>
        <v>FLASH DISK 16 GB</v>
      </c>
      <c r="H434" s="31">
        <f>'PR 2025'!D432</f>
        <v>10805114</v>
      </c>
      <c r="I434" s="31">
        <f>VLOOKUP(A434,'PO 2025'!$A$2:$Y$1440,21,FALSE)</f>
        <v>79710832</v>
      </c>
      <c r="J434" s="31">
        <f>'PR 2025'!E432</f>
        <v>1</v>
      </c>
      <c r="K434" s="33" t="str">
        <f>'PR 2025'!F432</f>
        <v>BH</v>
      </c>
      <c r="L434" s="34">
        <f>'PR 2025'!T432</f>
        <v>45965</v>
      </c>
      <c r="M434" s="31" t="str">
        <f>'PR 2025'!AG432</f>
        <v>R</v>
      </c>
      <c r="N434" s="34">
        <f>VLOOKUP(C434,'GRS 2025'!$A$2:$AH$1992,4,FALSE)</f>
        <v>45972</v>
      </c>
      <c r="O434" s="69" t="str">
        <f>'PR 2025'!AJ432</f>
        <v>U/ BAGIAN GA (HS CODE : 8523.29.71). RISWADI</v>
      </c>
    </row>
    <row r="435" spans="1:15" ht="30" x14ac:dyDescent="0.25">
      <c r="A435" s="22" t="str">
        <f t="shared" ref="A435:A437" si="258">F435&amp;H435&amp;E435</f>
        <v>5000005059108051331</v>
      </c>
      <c r="B435" s="22" t="str">
        <f t="shared" ref="B435:B437" si="259">F435&amp;I435&amp;E435</f>
        <v>5000005059797110691</v>
      </c>
      <c r="C435" s="22" t="str">
        <f t="shared" ref="C435:C437" si="260">F435&amp;I435</f>
        <v>500000505979711069</v>
      </c>
      <c r="D435" s="31">
        <v>432</v>
      </c>
      <c r="E435" s="31">
        <f>'PR 2025'!A433</f>
        <v>1</v>
      </c>
      <c r="F435" s="31">
        <f>'PR 2025'!B433</f>
        <v>5000005059</v>
      </c>
      <c r="G435" s="32" t="str">
        <f>'PR 2025'!C433</f>
        <v>KEYBOARD USB</v>
      </c>
      <c r="H435" s="31">
        <f>'PR 2025'!D433</f>
        <v>10805133</v>
      </c>
      <c r="I435" s="31">
        <f>VLOOKUP(A435,'PO 2025'!$A$2:$Y$1440,21,FALSE)</f>
        <v>79711069</v>
      </c>
      <c r="J435" s="31">
        <f>'PR 2025'!E433</f>
        <v>10</v>
      </c>
      <c r="K435" s="33" t="str">
        <f>'PR 2025'!F433</f>
        <v>BH</v>
      </c>
      <c r="L435" s="34">
        <f>'PR 2025'!T433</f>
        <v>45966</v>
      </c>
      <c r="M435" s="31" t="str">
        <f>'PR 2025'!AG433</f>
        <v>R</v>
      </c>
      <c r="N435" s="34">
        <f>VLOOKUP(C435,'GRS 2025'!$A$2:$AH$1992,4,FALSE)</f>
        <v>45980</v>
      </c>
      <c r="O435" s="69" t="str">
        <f>'PR 2025'!AJ433</f>
        <v>U/ PERSIAPAN (1), FINAL (1), PPC GREY (1), PPC PROCCESING (1), PERSONALIA (2), GUDANG PACKING (2), GUDANG OBAT KECIL (1), DAN QA (1) (HS CODE : 8471.60.30). ALI</v>
      </c>
    </row>
    <row r="436" spans="1:15" x14ac:dyDescent="0.25">
      <c r="A436" s="22" t="str">
        <f t="shared" si="258"/>
        <v>5000015861108051751</v>
      </c>
      <c r="B436" s="22" t="str">
        <f t="shared" si="259"/>
        <v>5000015861797110681</v>
      </c>
      <c r="C436" s="22" t="str">
        <f t="shared" si="260"/>
        <v>500001586179711068</v>
      </c>
      <c r="D436" s="31">
        <v>433</v>
      </c>
      <c r="E436" s="31">
        <f>'PR 2025'!A434</f>
        <v>1</v>
      </c>
      <c r="F436" s="31">
        <f>'PR 2025'!B434</f>
        <v>5000015861</v>
      </c>
      <c r="G436" s="32" t="str">
        <f>'PR 2025'!C434</f>
        <v>KAMERA WATERPROOF IP 4MP DAHUA POE</v>
      </c>
      <c r="H436" s="31">
        <f>'PR 2025'!D434</f>
        <v>10805175</v>
      </c>
      <c r="I436" s="31">
        <f>VLOOKUP(A436,'PO 2025'!$A$2:$Y$1440,21,FALSE)</f>
        <v>79711068</v>
      </c>
      <c r="J436" s="31">
        <f>'PR 2025'!E434</f>
        <v>1</v>
      </c>
      <c r="K436" s="33" t="str">
        <f>'PR 2025'!F434</f>
        <v>UNT</v>
      </c>
      <c r="L436" s="34">
        <f>'PR 2025'!T434</f>
        <v>45967</v>
      </c>
      <c r="M436" s="31" t="str">
        <f>'PR 2025'!AG434</f>
        <v>R</v>
      </c>
      <c r="N436" s="34">
        <f>VLOOKUP(C436,'GRS 2025'!$A$2:$AH$1992,4,FALSE)</f>
        <v>45979</v>
      </c>
      <c r="O436" s="69" t="str">
        <f>'PR 2025'!AJ434</f>
        <v>U/ AREA SUMUR PANTAU LJ2 (HS CODE : 8525.81.10). M LEIGA</v>
      </c>
    </row>
    <row r="437" spans="1:15" x14ac:dyDescent="0.25">
      <c r="A437" s="22" t="str">
        <f t="shared" si="258"/>
        <v>5000015000108051752</v>
      </c>
      <c r="B437" s="22" t="str">
        <f t="shared" si="259"/>
        <v>5000015000797110682</v>
      </c>
      <c r="C437" s="22" t="str">
        <f t="shared" si="260"/>
        <v>500001500079711068</v>
      </c>
      <c r="D437" s="31">
        <v>434</v>
      </c>
      <c r="E437" s="31">
        <f>'PR 2025'!A435</f>
        <v>2</v>
      </c>
      <c r="F437" s="31">
        <f>'PR 2025'!B435</f>
        <v>5000015000</v>
      </c>
      <c r="G437" s="32" t="str">
        <f>'PR 2025'!C435</f>
        <v>POE INJECTOR</v>
      </c>
      <c r="H437" s="31">
        <f>'PR 2025'!D435</f>
        <v>10805175</v>
      </c>
      <c r="I437" s="31">
        <f>VLOOKUP(A437,'PO 2025'!$A$2:$Y$1440,21,FALSE)</f>
        <v>79711068</v>
      </c>
      <c r="J437" s="31">
        <f>'PR 2025'!E435</f>
        <v>1</v>
      </c>
      <c r="K437" s="33" t="str">
        <f>'PR 2025'!F435</f>
        <v>UNT</v>
      </c>
      <c r="L437" s="34">
        <f>'PR 2025'!T435</f>
        <v>45967</v>
      </c>
      <c r="M437" s="31" t="str">
        <f>'PR 2025'!AG435</f>
        <v>R</v>
      </c>
      <c r="N437" s="34">
        <f>VLOOKUP(C437,'GRS 2025'!$A$2:$AH$1992,4,FALSE)</f>
        <v>45979</v>
      </c>
      <c r="O437" s="69" t="str">
        <f>'PR 2025'!AJ435</f>
        <v>U/ AREA SUMUR PANTAU LJ2 (HS CODE : 8517.79.10). M LEIGA</v>
      </c>
    </row>
    <row r="438" spans="1:15" x14ac:dyDescent="0.25">
      <c r="A438" s="22" t="str">
        <f t="shared" ref="A438:A440" si="261">F438&amp;H438&amp;E438</f>
        <v>5000016728108051901</v>
      </c>
      <c r="B438" s="22" t="str">
        <f t="shared" ref="B438:B440" si="262">F438&amp;I438&amp;E438</f>
        <v>5000016728797110731</v>
      </c>
      <c r="C438" s="22" t="str">
        <f t="shared" ref="C438:C440" si="263">F438&amp;I438</f>
        <v>500001672879711073</v>
      </c>
      <c r="D438" s="31">
        <v>435</v>
      </c>
      <c r="E438" s="31">
        <f>'PR 2025'!A436</f>
        <v>1</v>
      </c>
      <c r="F438" s="31">
        <f>'PR 2025'!B436</f>
        <v>5000016728</v>
      </c>
      <c r="G438" s="32" t="str">
        <f>'PR 2025'!C436</f>
        <v>SWITCH D-LINK 8 PORT</v>
      </c>
      <c r="H438" s="31">
        <f>'PR 2025'!D436</f>
        <v>10805190</v>
      </c>
      <c r="I438" s="31">
        <f>VLOOKUP(A438,'PO 2025'!$A$2:$Y$1440,21,FALSE)</f>
        <v>79711073</v>
      </c>
      <c r="J438" s="31">
        <f>'PR 2025'!E436</f>
        <v>2</v>
      </c>
      <c r="K438" s="33" t="str">
        <f>'PR 2025'!F436</f>
        <v>UNT</v>
      </c>
      <c r="L438" s="34">
        <f>'PR 2025'!T436</f>
        <v>45968</v>
      </c>
      <c r="M438" s="31" t="str">
        <f>'PR 2025'!AG436</f>
        <v>R</v>
      </c>
      <c r="N438" s="34">
        <f>VLOOKUP(C438,'GRS 2025'!$A$2:$AH$1992,4,FALSE)</f>
        <v>45979</v>
      </c>
      <c r="O438" s="69" t="str">
        <f>'PR 2025'!AJ436</f>
        <v>U/ AREA GD PACKING (HS CODE : 8517.79.10). ANDI</v>
      </c>
    </row>
    <row r="439" spans="1:15" x14ac:dyDescent="0.25">
      <c r="A439" s="22" t="str">
        <f t="shared" si="261"/>
        <v>5000016779108051902</v>
      </c>
      <c r="B439" s="22" t="str">
        <f t="shared" si="262"/>
        <v>5000016779797110732</v>
      </c>
      <c r="C439" s="22" t="str">
        <f t="shared" si="263"/>
        <v>500001677979711073</v>
      </c>
      <c r="D439" s="31">
        <v>436</v>
      </c>
      <c r="E439" s="31">
        <f>'PR 2025'!A437</f>
        <v>2</v>
      </c>
      <c r="F439" s="31">
        <f>'PR 2025'!B437</f>
        <v>5000016779</v>
      </c>
      <c r="G439" s="32" t="str">
        <f>'PR 2025'!C437</f>
        <v>SWITCH D-LINK 16 PORT</v>
      </c>
      <c r="H439" s="31">
        <f>'PR 2025'!D437</f>
        <v>10805190</v>
      </c>
      <c r="I439" s="31">
        <f>VLOOKUP(A439,'PO 2025'!$A$2:$Y$1440,21,FALSE)</f>
        <v>79711073</v>
      </c>
      <c r="J439" s="31">
        <f>'PR 2025'!E437</f>
        <v>1</v>
      </c>
      <c r="K439" s="33" t="str">
        <f>'PR 2025'!F437</f>
        <v>UNT</v>
      </c>
      <c r="L439" s="34">
        <f>'PR 2025'!T437</f>
        <v>45968</v>
      </c>
      <c r="M439" s="31" t="str">
        <f>'PR 2025'!AG437</f>
        <v>R</v>
      </c>
      <c r="N439" s="34">
        <f>VLOOKUP(C439,'GRS 2025'!$A$2:$AH$1992,4,FALSE)</f>
        <v>45979</v>
      </c>
      <c r="O439" s="69" t="str">
        <f>'PR 2025'!AJ437</f>
        <v>U/ AREA GD PACKING (HS CODE : 8517.79.10). ANDI</v>
      </c>
    </row>
    <row r="440" spans="1:15" x14ac:dyDescent="0.25">
      <c r="A440" s="22" t="str">
        <f t="shared" si="261"/>
        <v>5000016255108052371</v>
      </c>
      <c r="B440" s="22" t="str">
        <f t="shared" si="262"/>
        <v>5000016255797112951</v>
      </c>
      <c r="C440" s="22" t="str">
        <f t="shared" si="263"/>
        <v>500001625579711295</v>
      </c>
      <c r="D440" s="56">
        <v>437</v>
      </c>
      <c r="E440" s="56">
        <f>'PR 2025'!A438</f>
        <v>1</v>
      </c>
      <c r="F440" s="56">
        <f>'PR 2025'!B438</f>
        <v>5000016255</v>
      </c>
      <c r="G440" s="57" t="str">
        <f>'PR 2025'!C438</f>
        <v>SSD SATA 256GB</v>
      </c>
      <c r="H440" s="56">
        <f>'PR 2025'!D438</f>
        <v>10805237</v>
      </c>
      <c r="I440" s="56">
        <f>VLOOKUP(A440,'PO 2025'!$A$2:$Y$1440,21,FALSE)</f>
        <v>79711295</v>
      </c>
      <c r="J440" s="56">
        <f>'PR 2025'!E438</f>
        <v>1</v>
      </c>
      <c r="K440" s="58" t="str">
        <f>'PR 2025'!F438</f>
        <v>BH</v>
      </c>
      <c r="L440" s="59">
        <f>'PR 2025'!T438</f>
        <v>45971</v>
      </c>
      <c r="M440" s="56" t="str">
        <f>'PR 2025'!AG438</f>
        <v>R</v>
      </c>
      <c r="N440" s="59" t="e">
        <f>VLOOKUP(C440,'GRS 2025'!$A$2:$AH$1992,4,FALSE)</f>
        <v>#N/A</v>
      </c>
      <c r="O440" s="74" t="str">
        <f>'PR 2025'!AJ438</f>
        <v>U/ MENGGANTI YG RUSAK BAGIAN PEMBELIAN (HS CODE : 8471.50.90). DETA</v>
      </c>
    </row>
    <row r="441" spans="1:15" x14ac:dyDescent="0.25">
      <c r="A441" s="22" t="str">
        <f t="shared" ref="A441:A444" si="264">F441&amp;H441&amp;E441</f>
        <v>5000016028108052631</v>
      </c>
      <c r="B441" s="22" t="str">
        <f t="shared" ref="B441:B444" si="265">F441&amp;I441&amp;E441</f>
        <v>5000016028797113991</v>
      </c>
      <c r="C441" s="22" t="str">
        <f t="shared" ref="C441:C444" si="266">F441&amp;I441</f>
        <v>500001602879711399</v>
      </c>
      <c r="D441" s="31">
        <v>438</v>
      </c>
      <c r="E441" s="31">
        <f>'PR 2025'!A439</f>
        <v>1</v>
      </c>
      <c r="F441" s="31">
        <f>'PR 2025'!B439</f>
        <v>5000016028</v>
      </c>
      <c r="G441" s="32" t="str">
        <f>'PR 2025'!C439</f>
        <v>PRINTER CANON LBP6030</v>
      </c>
      <c r="H441" s="31">
        <f>'PR 2025'!D439</f>
        <v>10805263</v>
      </c>
      <c r="I441" s="31">
        <f>VLOOKUP(A441,'PO 2025'!$A$2:$Y$1440,21,FALSE)</f>
        <v>79711399</v>
      </c>
      <c r="J441" s="31">
        <f>'PR 2025'!E439</f>
        <v>1</v>
      </c>
      <c r="K441" s="33" t="str">
        <f>'PR 2025'!F439</f>
        <v>UNT</v>
      </c>
      <c r="L441" s="34">
        <f>'PR 2025'!T439</f>
        <v>45972</v>
      </c>
      <c r="M441" s="31" t="str">
        <f>'PR 2025'!AG439</f>
        <v>R</v>
      </c>
      <c r="N441" s="34">
        <f>VLOOKUP(C441,'GRS 2025'!$A$2:$AH$1992,4,FALSE)</f>
        <v>45981</v>
      </c>
      <c r="O441" s="69" t="str">
        <f>'PR 2025'!AJ439</f>
        <v>U/ MENGGANTI YANG RUSAK BAGIAN FINAL LJ1 (HS CODE : 8443.31.11). MARGIANTO</v>
      </c>
    </row>
    <row r="442" spans="1:15" x14ac:dyDescent="0.25">
      <c r="A442" s="22" t="str">
        <f t="shared" si="264"/>
        <v>5000002803108052632</v>
      </c>
      <c r="B442" s="22" t="str">
        <f t="shared" si="265"/>
        <v>5000002803797114082</v>
      </c>
      <c r="C442" s="22" t="str">
        <f t="shared" si="266"/>
        <v>500000280379711408</v>
      </c>
      <c r="D442" s="31">
        <v>439</v>
      </c>
      <c r="E442" s="31">
        <f>'PR 2025'!A440</f>
        <v>2</v>
      </c>
      <c r="F442" s="31">
        <f>'PR 2025'!B440</f>
        <v>5000002803</v>
      </c>
      <c r="G442" s="32" t="str">
        <f>'PR 2025'!C440</f>
        <v>SOUN SPEAKER</v>
      </c>
      <c r="H442" s="31">
        <f>'PR 2025'!D440</f>
        <v>10805263</v>
      </c>
      <c r="I442" s="31">
        <f>VLOOKUP(A442,'PO 2025'!$A$2:$Y$1440,21,FALSE)</f>
        <v>79711408</v>
      </c>
      <c r="J442" s="31">
        <f>'PR 2025'!E440</f>
        <v>1</v>
      </c>
      <c r="K442" s="33" t="str">
        <f>'PR 2025'!F440</f>
        <v>SET</v>
      </c>
      <c r="L442" s="34">
        <f>'PR 2025'!T440</f>
        <v>45972</v>
      </c>
      <c r="M442" s="31" t="str">
        <f>'PR 2025'!AG440</f>
        <v>R</v>
      </c>
      <c r="N442" s="34">
        <f>VLOOKUP(C442,'GRS 2025'!$A$2:$AH$1992,4,FALSE)</f>
        <v>45986</v>
      </c>
      <c r="O442" s="69" t="str">
        <f>'PR 2025'!AJ440</f>
        <v>U/ BAGIAN FINAL LJ1 (HS CODE : 8518.21.10). MARGIANTO</v>
      </c>
    </row>
    <row r="443" spans="1:15" x14ac:dyDescent="0.25">
      <c r="A443" s="22" t="str">
        <f t="shared" si="264"/>
        <v>5000016428108052633</v>
      </c>
      <c r="B443" s="22" t="str">
        <f t="shared" si="265"/>
        <v>5000016428797114083</v>
      </c>
      <c r="C443" s="22" t="str">
        <f t="shared" si="266"/>
        <v>500001642879711408</v>
      </c>
      <c r="D443" s="31">
        <v>440</v>
      </c>
      <c r="E443" s="31">
        <f>'PR 2025'!A441</f>
        <v>3</v>
      </c>
      <c r="F443" s="31">
        <f>'PR 2025'!B441</f>
        <v>5000016428</v>
      </c>
      <c r="G443" s="32" t="str">
        <f>'PR 2025'!C441</f>
        <v>PRINTER EPSON L-121</v>
      </c>
      <c r="H443" s="31">
        <f>'PR 2025'!D441</f>
        <v>10805263</v>
      </c>
      <c r="I443" s="31">
        <f>VLOOKUP(A443,'PO 2025'!$A$2:$Y$1440,21,FALSE)</f>
        <v>79711408</v>
      </c>
      <c r="J443" s="31">
        <f>'PR 2025'!E441</f>
        <v>1</v>
      </c>
      <c r="K443" s="33" t="str">
        <f>'PR 2025'!F441</f>
        <v>UNT</v>
      </c>
      <c r="L443" s="34">
        <f>'PR 2025'!T441</f>
        <v>45972</v>
      </c>
      <c r="M443" s="31" t="str">
        <f>'PR 2025'!AG441</f>
        <v>R</v>
      </c>
      <c r="N443" s="34">
        <f>VLOOKUP(C443,'GRS 2025'!$A$2:$AH$1992,4,FALSE)</f>
        <v>45986</v>
      </c>
      <c r="O443" s="69" t="str">
        <f>'PR 2025'!AJ441</f>
        <v>U/ ASST. MGR. PRODUKSI (BPK. NOFRIZAL) (HS CODE : 8443.31.11). KARISA</v>
      </c>
    </row>
    <row r="444" spans="1:15" ht="30" x14ac:dyDescent="0.25">
      <c r="A444" s="22" t="str">
        <f t="shared" si="264"/>
        <v>5000018012108052991</v>
      </c>
      <c r="B444" s="22" t="str">
        <f t="shared" si="265"/>
        <v>5000018012797112951</v>
      </c>
      <c r="C444" s="22" t="str">
        <f t="shared" si="266"/>
        <v>500001801279711295</v>
      </c>
      <c r="D444" s="56">
        <v>441</v>
      </c>
      <c r="E444" s="56">
        <f>'PR 2025'!A442</f>
        <v>1</v>
      </c>
      <c r="F444" s="56">
        <f>'PR 2025'!B442</f>
        <v>5000018012</v>
      </c>
      <c r="G444" s="74" t="str">
        <f>'PR 2025'!C442</f>
        <v>EXPANSION CARD EXTENSION TELEPHONE ESLC 24P</v>
      </c>
      <c r="H444" s="56">
        <f>'PR 2025'!D442</f>
        <v>10805299</v>
      </c>
      <c r="I444" s="56">
        <f>VLOOKUP(A444,'PO 2025'!$A$2:$Y$1440,21,FALSE)</f>
        <v>79711295</v>
      </c>
      <c r="J444" s="56">
        <f>'PR 2025'!E442</f>
        <v>1</v>
      </c>
      <c r="K444" s="58" t="str">
        <f>'PR 2025'!F442</f>
        <v>UNT</v>
      </c>
      <c r="L444" s="59">
        <f>'PR 2025'!T442</f>
        <v>45974</v>
      </c>
      <c r="M444" s="56" t="str">
        <f>'PR 2025'!AG442</f>
        <v>R</v>
      </c>
      <c r="N444" s="59" t="e">
        <f>VLOOKUP(C444,'GRS 2025'!$A$2:$AH$1992,4,FALSE)</f>
        <v>#N/A</v>
      </c>
      <c r="O444" s="74" t="str">
        <f>'PR 2025'!AJ442</f>
        <v>U/ MENGGANTI YANG RUSAK. BILLY</v>
      </c>
    </row>
    <row r="445" spans="1:15" ht="30" x14ac:dyDescent="0.25">
      <c r="A445" s="22" t="str">
        <f t="shared" ref="A445" si="267">F445&amp;H445&amp;E445</f>
        <v>5000004248108053281</v>
      </c>
      <c r="B445" s="22" t="str">
        <f t="shared" ref="B445" si="268">F445&amp;I445&amp;E445</f>
        <v>5000004248797115261</v>
      </c>
      <c r="C445" s="22" t="str">
        <f t="shared" ref="C445" si="269">F445&amp;I445</f>
        <v>500000424879711526</v>
      </c>
      <c r="D445" s="31">
        <v>442</v>
      </c>
      <c r="E445" s="31">
        <f>'PR 2025'!A443</f>
        <v>1</v>
      </c>
      <c r="F445" s="31">
        <f>'PR 2025'!B443</f>
        <v>5000004248</v>
      </c>
      <c r="G445" s="32" t="str">
        <f>'PR 2025'!C443</f>
        <v>MOUSE USB</v>
      </c>
      <c r="H445" s="31">
        <f>'PR 2025'!D443</f>
        <v>10805328</v>
      </c>
      <c r="I445" s="31">
        <f>VLOOKUP(A445,'PO 2025'!$A$2:$Y$1440,21,FALSE)</f>
        <v>79711526</v>
      </c>
      <c r="J445" s="31">
        <f>'PR 2025'!E443</f>
        <v>12</v>
      </c>
      <c r="K445" s="33" t="str">
        <f>'PR 2025'!F443</f>
        <v>BH</v>
      </c>
      <c r="L445" s="34">
        <f>'PR 2025'!T443</f>
        <v>45975</v>
      </c>
      <c r="M445" s="31" t="str">
        <f>'PR 2025'!AG443</f>
        <v>R</v>
      </c>
      <c r="N445" s="34">
        <f>VLOOKUP(C445,'GRS 2025'!$A$2:$AH$1992,4,FALSE)</f>
        <v>45987</v>
      </c>
      <c r="O445" s="69" t="str">
        <f>'PR 2025'!AJ443</f>
        <v>U/ BAGIAN LABORAT (1), PPC PROCCESING (2), ODTM (1), GUDANG PACKING (1), GUDANG SPAREPART (1), QA (2), MTC PROCCESSING (1), PPC GREY (1), MARKETING (2) (HS CODE : 8471.60.40). ALI</v>
      </c>
    </row>
    <row r="446" spans="1:15" x14ac:dyDescent="0.25">
      <c r="A446" s="22" t="str">
        <f t="shared" ref="A446" si="270">F446&amp;H446&amp;E446</f>
        <v>5000011448108053811</v>
      </c>
      <c r="B446" s="22" t="str">
        <f t="shared" ref="B446" si="271">F446&amp;I446&amp;E446</f>
        <v>5000011448797115261</v>
      </c>
      <c r="C446" s="22" t="str">
        <f t="shared" ref="C446" si="272">F446&amp;I446</f>
        <v>500001144879711526</v>
      </c>
      <c r="D446" s="31">
        <v>443</v>
      </c>
      <c r="E446" s="31">
        <f>'PR 2025'!A444</f>
        <v>1</v>
      </c>
      <c r="F446" s="31">
        <f>'PR 2025'!B444</f>
        <v>5000011448</v>
      </c>
      <c r="G446" s="32" t="str">
        <f>'PR 2025'!C444</f>
        <v>CABLE USB FOR PRINTER</v>
      </c>
      <c r="H446" s="31">
        <f>'PR 2025'!D444</f>
        <v>10805381</v>
      </c>
      <c r="I446" s="31">
        <f>VLOOKUP(A446,'PO 2025'!$A$2:$Y$1440,21,FALSE)</f>
        <v>79711526</v>
      </c>
      <c r="J446" s="31">
        <f>'PR 2025'!E444</f>
        <v>1</v>
      </c>
      <c r="K446" s="33" t="str">
        <f>'PR 2025'!F444</f>
        <v>UNT</v>
      </c>
      <c r="L446" s="34">
        <f>'PR 2025'!T444</f>
        <v>45979</v>
      </c>
      <c r="M446" s="31" t="str">
        <f>'PR 2025'!AG444</f>
        <v>R</v>
      </c>
      <c r="N446" s="34">
        <f>VLOOKUP(C446,'GRS 2025'!$A$2:$AH$1992,4,FALSE)</f>
        <v>45987</v>
      </c>
      <c r="O446" s="69" t="str">
        <f>'PR 2025'!AJ444</f>
        <v>U/ BAGIAN LEGAL (HS CODE : 8544.20.31). RICKY</v>
      </c>
    </row>
    <row r="447" spans="1:15" x14ac:dyDescent="0.25">
      <c r="A447" s="22" t="str">
        <f t="shared" ref="A447:A451" si="273">F447&amp;H447&amp;E447</f>
        <v>5000005059108053901</v>
      </c>
      <c r="B447" s="22" t="str">
        <f t="shared" ref="B447:B451" si="274">F447&amp;I447&amp;E447</f>
        <v>5000005059797115261</v>
      </c>
      <c r="C447" s="22" t="str">
        <f t="shared" ref="C447:C451" si="275">F447&amp;I447</f>
        <v>500000505979711526</v>
      </c>
      <c r="D447" s="31">
        <v>444</v>
      </c>
      <c r="E447" s="31">
        <f>'PR 2025'!A445</f>
        <v>1</v>
      </c>
      <c r="F447" s="31">
        <f>'PR 2025'!B445</f>
        <v>5000005059</v>
      </c>
      <c r="G447" s="32" t="str">
        <f>'PR 2025'!C445</f>
        <v>KEYBOARD USB</v>
      </c>
      <c r="H447" s="31">
        <f>'PR 2025'!D445</f>
        <v>10805390</v>
      </c>
      <c r="I447" s="31">
        <f>VLOOKUP(A447,'PO 2025'!$A$2:$Y$1440,21,FALSE)</f>
        <v>79711526</v>
      </c>
      <c r="J447" s="31">
        <f>'PR 2025'!E445</f>
        <v>2</v>
      </c>
      <c r="K447" s="33" t="str">
        <f>'PR 2025'!F445</f>
        <v>BH</v>
      </c>
      <c r="L447" s="34">
        <f>'PR 2025'!T445</f>
        <v>45980</v>
      </c>
      <c r="M447" s="31" t="str">
        <f>'PR 2025'!AG445</f>
        <v>R</v>
      </c>
      <c r="N447" s="34">
        <f>VLOOKUP(C447,'GRS 2025'!$A$2:$AH$1992,4,FALSE)</f>
        <v>45987</v>
      </c>
      <c r="O447" s="69" t="str">
        <f>'PR 2025'!AJ445</f>
        <v>U/ BAGIAN KEUANGAN (HS CODE : 8471.60.30). NAOMI</v>
      </c>
    </row>
    <row r="448" spans="1:15" x14ac:dyDescent="0.25">
      <c r="A448" s="22" t="str">
        <f t="shared" si="273"/>
        <v>5000004248108053902</v>
      </c>
      <c r="B448" s="22" t="str">
        <f t="shared" si="274"/>
        <v>5000004248797115262</v>
      </c>
      <c r="C448" s="22" t="str">
        <f t="shared" si="275"/>
        <v>500000424879711526</v>
      </c>
      <c r="D448" s="31">
        <v>445</v>
      </c>
      <c r="E448" s="31">
        <f>'PR 2025'!A446</f>
        <v>2</v>
      </c>
      <c r="F448" s="31">
        <f>'PR 2025'!B446</f>
        <v>5000004248</v>
      </c>
      <c r="G448" s="32" t="str">
        <f>'PR 2025'!C446</f>
        <v>MOUSE USB</v>
      </c>
      <c r="H448" s="31">
        <f>'PR 2025'!D446</f>
        <v>10805390</v>
      </c>
      <c r="I448" s="31">
        <f>VLOOKUP(A448,'PO 2025'!$A$2:$Y$1440,21,FALSE)</f>
        <v>79711526</v>
      </c>
      <c r="J448" s="31">
        <f>'PR 2025'!E446</f>
        <v>2</v>
      </c>
      <c r="K448" s="33" t="str">
        <f>'PR 2025'!F446</f>
        <v>BH</v>
      </c>
      <c r="L448" s="34">
        <f>'PR 2025'!T446</f>
        <v>45980</v>
      </c>
      <c r="M448" s="31" t="str">
        <f>'PR 2025'!AG446</f>
        <v>R</v>
      </c>
      <c r="N448" s="34">
        <f>VLOOKUP(C448,'GRS 2025'!$A$2:$AH$1992,4,FALSE)</f>
        <v>45987</v>
      </c>
      <c r="O448" s="69" t="str">
        <f>'PR 2025'!AJ446</f>
        <v>U/ BAGIAN KEUANGAN (HS CODE : 8471.60.40). NAOMI</v>
      </c>
    </row>
    <row r="449" spans="1:15" x14ac:dyDescent="0.25">
      <c r="A449" s="22" t="str">
        <f t="shared" si="273"/>
        <v>5000005340108053903</v>
      </c>
      <c r="B449" s="22" t="str">
        <f t="shared" si="274"/>
        <v>5000005340797115263</v>
      </c>
      <c r="C449" s="22" t="str">
        <f t="shared" si="275"/>
        <v>500000534079711526</v>
      </c>
      <c r="D449" s="31">
        <v>446</v>
      </c>
      <c r="E449" s="31">
        <f>'PR 2025'!A447</f>
        <v>3</v>
      </c>
      <c r="F449" s="31">
        <f>'PR 2025'!B447</f>
        <v>5000005340</v>
      </c>
      <c r="G449" s="32" t="str">
        <f>'PR 2025'!C447</f>
        <v>POWER SUPLY ATX 450 WATT</v>
      </c>
      <c r="H449" s="31">
        <f>'PR 2025'!D447</f>
        <v>10805390</v>
      </c>
      <c r="I449" s="31">
        <f>VLOOKUP(A449,'PO 2025'!$A$2:$Y$1440,21,FALSE)</f>
        <v>79711526</v>
      </c>
      <c r="J449" s="31">
        <f>'PR 2025'!E447</f>
        <v>1</v>
      </c>
      <c r="K449" s="33" t="str">
        <f>'PR 2025'!F447</f>
        <v>UNT</v>
      </c>
      <c r="L449" s="34">
        <f>'PR 2025'!T447</f>
        <v>45980</v>
      </c>
      <c r="M449" s="31" t="str">
        <f>'PR 2025'!AG447</f>
        <v>R</v>
      </c>
      <c r="N449" s="34">
        <f>VLOOKUP(C449,'GRS 2025'!$A$2:$AH$1992,4,FALSE)</f>
        <v>45987</v>
      </c>
      <c r="O449" s="69" t="str">
        <f>'PR 2025'!AJ447</f>
        <v>U/ BAGIAN QA INCOMING (HS CODE : 8414.59.10). RICKY</v>
      </c>
    </row>
    <row r="450" spans="1:15" x14ac:dyDescent="0.25">
      <c r="A450" s="22" t="str">
        <f t="shared" si="273"/>
        <v>5000017624108053904</v>
      </c>
      <c r="B450" s="22" t="str">
        <f t="shared" si="274"/>
        <v>5000017624797115084</v>
      </c>
      <c r="C450" s="22" t="str">
        <f t="shared" si="275"/>
        <v>500001762479711508</v>
      </c>
      <c r="D450" s="31">
        <v>447</v>
      </c>
      <c r="E450" s="31">
        <f>'PR 2025'!A448</f>
        <v>4</v>
      </c>
      <c r="F450" s="31">
        <f>'PR 2025'!B448</f>
        <v>5000017624</v>
      </c>
      <c r="G450" s="32" t="str">
        <f>'PR 2025'!C448</f>
        <v>MONITOR 32 INCH</v>
      </c>
      <c r="H450" s="31">
        <f>'PR 2025'!D448</f>
        <v>10805390</v>
      </c>
      <c r="I450" s="31">
        <f>VLOOKUP(A450,'PO 2025'!$A$2:$Y$1440,21,FALSE)</f>
        <v>79711508</v>
      </c>
      <c r="J450" s="31">
        <f>'PR 2025'!E448</f>
        <v>1</v>
      </c>
      <c r="K450" s="33" t="str">
        <f>'PR 2025'!F448</f>
        <v>UNT</v>
      </c>
      <c r="L450" s="34">
        <f>'PR 2025'!T448</f>
        <v>45980</v>
      </c>
      <c r="M450" s="31" t="str">
        <f>'PR 2025'!AG448</f>
        <v>R</v>
      </c>
      <c r="N450" s="34">
        <f>VLOOKUP(C450,'GRS 2025'!$A$2:$AH$1992,4,FALSE)</f>
        <v>45982</v>
      </c>
      <c r="O450" s="69" t="str">
        <f>'PR 2025'!AJ448</f>
        <v>URGENT : U/ BUSINESS MANAGER (BPK ALI) (HS CODE : 8528.52.00). TIO</v>
      </c>
    </row>
    <row r="451" spans="1:15" x14ac:dyDescent="0.25">
      <c r="A451" s="22" t="str">
        <f t="shared" si="273"/>
        <v>5000016659108054581</v>
      </c>
      <c r="B451" s="22" t="str">
        <f t="shared" si="274"/>
        <v>5000016659797118301</v>
      </c>
      <c r="C451" s="22" t="str">
        <f t="shared" si="275"/>
        <v>500001665979711830</v>
      </c>
      <c r="D451" s="56">
        <v>448</v>
      </c>
      <c r="E451" s="56">
        <f>'PR 2025'!A449</f>
        <v>1</v>
      </c>
      <c r="F451" s="56">
        <f>'PR 2025'!B449</f>
        <v>5000016659</v>
      </c>
      <c r="G451" s="57" t="str">
        <f>'PR 2025'!C449</f>
        <v>COOLER MASTER</v>
      </c>
      <c r="H451" s="56">
        <f>'PR 2025'!D449</f>
        <v>10805458</v>
      </c>
      <c r="I451" s="56">
        <f>VLOOKUP(A451,'PO 2025'!$A$2:$Y$1440,21,FALSE)</f>
        <v>79711830</v>
      </c>
      <c r="J451" s="56">
        <f>'PR 2025'!E449</f>
        <v>1</v>
      </c>
      <c r="K451" s="58" t="str">
        <f>'PR 2025'!F449</f>
        <v>BH</v>
      </c>
      <c r="L451" s="59">
        <f>'PR 2025'!T449</f>
        <v>45985</v>
      </c>
      <c r="M451" s="56" t="str">
        <f>'PR 2025'!AG449</f>
        <v>R</v>
      </c>
      <c r="N451" s="59" t="e">
        <f>VLOOKUP(C451,'GRS 2025'!$A$2:$AH$1992,4,FALSE)</f>
        <v>#N/A</v>
      </c>
      <c r="O451" s="74" t="str">
        <f>'PR 2025'!AJ449</f>
        <v>U/ BAGIAN MARKETING (HS CODE : 8414.59.10). RICKY</v>
      </c>
    </row>
    <row r="452" spans="1:15" x14ac:dyDescent="0.25">
      <c r="A452" s="22" t="str">
        <f t="shared" ref="A452:A457" si="276">F452&amp;H452&amp;E452</f>
        <v>5000002803108055111</v>
      </c>
      <c r="B452" s="22" t="str">
        <f t="shared" ref="B452:B457" si="277">F452&amp;I452&amp;E452</f>
        <v>5000002803797118321</v>
      </c>
      <c r="C452" s="22" t="str">
        <f t="shared" ref="C452:C457" si="278">F452&amp;I452</f>
        <v>500000280379711832</v>
      </c>
      <c r="D452" s="56">
        <v>449</v>
      </c>
      <c r="E452" s="56">
        <f>'PR 2025'!A450</f>
        <v>1</v>
      </c>
      <c r="F452" s="56">
        <f>'PR 2025'!B450</f>
        <v>5000002803</v>
      </c>
      <c r="G452" s="57" t="str">
        <f>'PR 2025'!C450</f>
        <v>SOUN SPEAKER</v>
      </c>
      <c r="H452" s="56">
        <f>'PR 2025'!D450</f>
        <v>10805511</v>
      </c>
      <c r="I452" s="56">
        <f>VLOOKUP(A452,'PO 2025'!$A$2:$Y$1440,21,FALSE)</f>
        <v>79711832</v>
      </c>
      <c r="J452" s="56">
        <f>'PR 2025'!E450</f>
        <v>1</v>
      </c>
      <c r="K452" s="58" t="str">
        <f>'PR 2025'!F450</f>
        <v>SET</v>
      </c>
      <c r="L452" s="59">
        <f>'PR 2025'!T450</f>
        <v>45987</v>
      </c>
      <c r="M452" s="56" t="str">
        <f>'PR 2025'!AG450</f>
        <v>R</v>
      </c>
      <c r="N452" s="59" t="e">
        <f>VLOOKUP(C452,'GRS 2025'!$A$2:$AH$1992,4,FALSE)</f>
        <v>#N/A</v>
      </c>
      <c r="O452" s="74" t="str">
        <f>'PR 2025'!AJ450</f>
        <v>U/ BAGIAN FINAL LJ2 (HS CODE : 8518.21.10). MARGIANTO</v>
      </c>
    </row>
    <row r="453" spans="1:15" x14ac:dyDescent="0.25">
      <c r="A453" s="22" t="str">
        <f t="shared" si="276"/>
        <v>5000011754108055112</v>
      </c>
      <c r="B453" s="22" t="str">
        <f t="shared" si="277"/>
        <v>5000011754797118312</v>
      </c>
      <c r="C453" s="22" t="str">
        <f t="shared" si="278"/>
        <v>500001175479711831</v>
      </c>
      <c r="D453" s="31">
        <v>450</v>
      </c>
      <c r="E453" s="31">
        <f>'PR 2025'!A451</f>
        <v>2</v>
      </c>
      <c r="F453" s="31">
        <f>'PR 2025'!B451</f>
        <v>5000011754</v>
      </c>
      <c r="G453" s="32" t="str">
        <f>'PR 2025'!C451</f>
        <v>MOUSE PAD</v>
      </c>
      <c r="H453" s="31">
        <f>'PR 2025'!D451</f>
        <v>10805511</v>
      </c>
      <c r="I453" s="31">
        <f>VLOOKUP(A453,'PO 2025'!$A$2:$Y$1440,21,FALSE)</f>
        <v>79711831</v>
      </c>
      <c r="J453" s="31">
        <f>'PR 2025'!E451</f>
        <v>2</v>
      </c>
      <c r="K453" s="33" t="str">
        <f>'PR 2025'!F451</f>
        <v>BH</v>
      </c>
      <c r="L453" s="34">
        <f>'PR 2025'!T451</f>
        <v>45987</v>
      </c>
      <c r="M453" s="31" t="str">
        <f>'PR 2025'!AG451</f>
        <v>R</v>
      </c>
      <c r="N453" s="34">
        <f>VLOOKUP(C453,'GRS 2025'!$A$2:$AH$1992,4,FALSE)</f>
        <v>45994</v>
      </c>
      <c r="O453" s="69" t="str">
        <f>'PR 2025'!AJ451</f>
        <v>U/ KARYAWAN BARU DI BAGIAN ODTM. FARIS</v>
      </c>
    </row>
    <row r="454" spans="1:15" x14ac:dyDescent="0.25">
      <c r="A454" s="22" t="str">
        <f t="shared" si="276"/>
        <v>5000016308108055113</v>
      </c>
      <c r="B454" s="22" t="str">
        <f t="shared" si="277"/>
        <v>5000016308797118303</v>
      </c>
      <c r="C454" s="22" t="str">
        <f t="shared" si="278"/>
        <v>500001630879711830</v>
      </c>
      <c r="D454" s="56">
        <v>451</v>
      </c>
      <c r="E454" s="56">
        <f>'PR 2025'!A452</f>
        <v>3</v>
      </c>
      <c r="F454" s="56">
        <f>'PR 2025'!B452</f>
        <v>5000016308</v>
      </c>
      <c r="G454" s="57" t="str">
        <f>'PR 2025'!C452</f>
        <v>CPU BUILDUP</v>
      </c>
      <c r="H454" s="56">
        <f>'PR 2025'!D452</f>
        <v>10805511</v>
      </c>
      <c r="I454" s="56">
        <f>VLOOKUP(A454,'PO 2025'!$A$2:$Y$1440,21,FALSE)</f>
        <v>79711830</v>
      </c>
      <c r="J454" s="56">
        <f>'PR 2025'!E452</f>
        <v>1</v>
      </c>
      <c r="K454" s="58" t="str">
        <f>'PR 2025'!F452</f>
        <v>UNT</v>
      </c>
      <c r="L454" s="59">
        <f>'PR 2025'!T452</f>
        <v>45987</v>
      </c>
      <c r="M454" s="56" t="str">
        <f>'PR 2025'!AG452</f>
        <v>R</v>
      </c>
      <c r="N454" s="59" t="e">
        <f>VLOOKUP(C454,'GRS 2025'!$A$2:$AH$1992,4,FALSE)</f>
        <v>#N/A</v>
      </c>
      <c r="O454" s="74" t="str">
        <f>'PR 2025'!AJ452</f>
        <v>URGENT : U/ PENGGANTI YG RUSAK BAGIAN LAB (HS CODE : 8479.89.50). RINI</v>
      </c>
    </row>
    <row r="455" spans="1:15" x14ac:dyDescent="0.25">
      <c r="A455" s="22" t="str">
        <f t="shared" si="276"/>
        <v>5000016308108055291</v>
      </c>
      <c r="B455" s="22" t="str">
        <f t="shared" si="277"/>
        <v>5000016308797118301</v>
      </c>
      <c r="C455" s="22" t="str">
        <f t="shared" si="278"/>
        <v>500001630879711830</v>
      </c>
      <c r="D455" s="56">
        <v>452</v>
      </c>
      <c r="E455" s="56">
        <f>'PR 2025'!A453</f>
        <v>1</v>
      </c>
      <c r="F455" s="56">
        <f>'PR 2025'!B453</f>
        <v>5000016308</v>
      </c>
      <c r="G455" s="57" t="str">
        <f>'PR 2025'!C453</f>
        <v>CPU BUILDUP</v>
      </c>
      <c r="H455" s="56">
        <f>'PR 2025'!D453</f>
        <v>10805529</v>
      </c>
      <c r="I455" s="56">
        <f>VLOOKUP(A455,'PO 2025'!$A$2:$Y$1440,21,FALSE)</f>
        <v>79711830</v>
      </c>
      <c r="J455" s="56">
        <f>'PR 2025'!E453</f>
        <v>1</v>
      </c>
      <c r="K455" s="58" t="str">
        <f>'PR 2025'!F453</f>
        <v>UNT</v>
      </c>
      <c r="L455" s="59">
        <f>'PR 2025'!T453</f>
        <v>45988</v>
      </c>
      <c r="M455" s="56" t="str">
        <f>'PR 2025'!AG453</f>
        <v>R</v>
      </c>
      <c r="N455" s="59" t="e">
        <f>VLOOKUP(C455,'GRS 2025'!$A$2:$AH$1992,4,FALSE)</f>
        <v>#N/A</v>
      </c>
      <c r="O455" s="74" t="str">
        <f>'PR 2025'!AJ453</f>
        <v>U/ WAKABAG BAGIAN MTC WEAVING LJ1 (HS CODE : 8479.89.50). YUDI</v>
      </c>
    </row>
    <row r="456" spans="1:15" x14ac:dyDescent="0.25">
      <c r="A456" s="22" t="str">
        <f t="shared" si="276"/>
        <v>5000016428108055292</v>
      </c>
      <c r="B456" s="22" t="str">
        <f t="shared" si="277"/>
        <v>5000016428797118312</v>
      </c>
      <c r="C456" s="22" t="str">
        <f t="shared" si="278"/>
        <v>500001642879711831</v>
      </c>
      <c r="D456" s="31">
        <v>453</v>
      </c>
      <c r="E456" s="31">
        <f>'PR 2025'!A454</f>
        <v>2</v>
      </c>
      <c r="F456" s="31">
        <f>'PR 2025'!B454</f>
        <v>5000016428</v>
      </c>
      <c r="G456" s="32" t="str">
        <f>'PR 2025'!C454</f>
        <v>PRINTER EPSON L-121</v>
      </c>
      <c r="H456" s="31">
        <f>'PR 2025'!D454</f>
        <v>10805529</v>
      </c>
      <c r="I456" s="31">
        <f>VLOOKUP(A456,'PO 2025'!$A$2:$Y$1440,21,FALSE)</f>
        <v>79711831</v>
      </c>
      <c r="J456" s="31">
        <f>'PR 2025'!E454</f>
        <v>1</v>
      </c>
      <c r="K456" s="33" t="str">
        <f>'PR 2025'!F454</f>
        <v>UNT</v>
      </c>
      <c r="L456" s="34">
        <f>'PR 2025'!T454</f>
        <v>45988</v>
      </c>
      <c r="M456" s="31" t="str">
        <f>'PR 2025'!AG454</f>
        <v>R</v>
      </c>
      <c r="N456" s="34">
        <f>VLOOKUP(C456,'GRS 2025'!$A$2:$AH$1992,4,FALSE)</f>
        <v>45994</v>
      </c>
      <c r="O456" s="69" t="str">
        <f>'PR 2025'!AJ454</f>
        <v>U/ WAKABAG BAGIAN MTC WEAVING LJ1 (HS CODE : 8443.31.11). YUDI</v>
      </c>
    </row>
    <row r="457" spans="1:15" x14ac:dyDescent="0.25">
      <c r="A457" s="22" t="str">
        <f t="shared" si="276"/>
        <v>5000016255108055293</v>
      </c>
      <c r="B457" s="22" t="str">
        <f t="shared" si="277"/>
        <v>5000016255797118303</v>
      </c>
      <c r="C457" s="22" t="str">
        <f t="shared" si="278"/>
        <v>500001625579711830</v>
      </c>
      <c r="D457" s="56">
        <v>454</v>
      </c>
      <c r="E457" s="56">
        <f>'PR 2025'!A455</f>
        <v>3</v>
      </c>
      <c r="F457" s="56">
        <f>'PR 2025'!B455</f>
        <v>5000016255</v>
      </c>
      <c r="G457" s="57" t="str">
        <f>'PR 2025'!C455</f>
        <v>SSD SATA 256GB</v>
      </c>
      <c r="H457" s="56">
        <f>'PR 2025'!D455</f>
        <v>10805529</v>
      </c>
      <c r="I457" s="56">
        <f>VLOOKUP(A457,'PO 2025'!$A$2:$Y$1440,21,FALSE)</f>
        <v>79711830</v>
      </c>
      <c r="J457" s="56">
        <f>'PR 2025'!E455</f>
        <v>1</v>
      </c>
      <c r="K457" s="58" t="str">
        <f>'PR 2025'!F455</f>
        <v>BH</v>
      </c>
      <c r="L457" s="59">
        <f>'PR 2025'!T455</f>
        <v>45988</v>
      </c>
      <c r="M457" s="56" t="str">
        <f>'PR 2025'!AG455</f>
        <v>R</v>
      </c>
      <c r="N457" s="59" t="e">
        <f>VLOOKUP(C457,'GRS 2025'!$A$2:$AH$1992,4,FALSE)</f>
        <v>#N/A</v>
      </c>
      <c r="O457" s="74" t="str">
        <f>'PR 2025'!AJ455</f>
        <v>U/ WAKABAG BAGIAN MTC WEAVING LJ1 (HS CODE : 8471.50.90). YUDI</v>
      </c>
    </row>
    <row r="458" spans="1:15" x14ac:dyDescent="0.25">
      <c r="A458" s="22" t="str">
        <f t="shared" ref="A458:A459" si="279">F458&amp;H458&amp;E458</f>
        <v>5000005059108055294</v>
      </c>
      <c r="B458" s="22" t="str">
        <f t="shared" ref="B458:B459" si="280">F458&amp;I458&amp;E458</f>
        <v>5000005059797118314</v>
      </c>
      <c r="C458" s="22" t="str">
        <f t="shared" ref="C458:C459" si="281">F458&amp;I458</f>
        <v>500000505979711831</v>
      </c>
      <c r="D458" s="31">
        <v>455</v>
      </c>
      <c r="E458" s="31">
        <f>'PR 2025'!A456</f>
        <v>4</v>
      </c>
      <c r="F458" s="31">
        <f>'PR 2025'!B456</f>
        <v>5000005059</v>
      </c>
      <c r="G458" s="32" t="str">
        <f>'PR 2025'!C456</f>
        <v>KEYBOARD USB</v>
      </c>
      <c r="H458" s="31">
        <f>'PR 2025'!D456</f>
        <v>10805529</v>
      </c>
      <c r="I458" s="31">
        <f>VLOOKUP(A458,'PO 2025'!$A$2:$Y$1440,21,FALSE)</f>
        <v>79711831</v>
      </c>
      <c r="J458" s="31">
        <f>'PR 2025'!E456</f>
        <v>1</v>
      </c>
      <c r="K458" s="33" t="str">
        <f>'PR 2025'!F456</f>
        <v>BH</v>
      </c>
      <c r="L458" s="34">
        <f>'PR 2025'!T456</f>
        <v>45988</v>
      </c>
      <c r="M458" s="31" t="str">
        <f>'PR 2025'!AG456</f>
        <v>R</v>
      </c>
      <c r="N458" s="34">
        <f>VLOOKUP(C458,'GRS 2025'!$A$2:$AH$1992,4,FALSE)</f>
        <v>45994</v>
      </c>
      <c r="O458" s="69" t="str">
        <f>'PR 2025'!AJ456</f>
        <v>U/ WAKABAG BAGIAN MTC WEAVING LJ1 (HS CODE : 8471.60.30). YUDI</v>
      </c>
    </row>
    <row r="459" spans="1:15" x14ac:dyDescent="0.25">
      <c r="A459" s="22" t="str">
        <f t="shared" si="279"/>
        <v>5000004248108055295</v>
      </c>
      <c r="B459" s="22" t="str">
        <f t="shared" si="280"/>
        <v>5000004248797118315</v>
      </c>
      <c r="C459" s="22" t="str">
        <f t="shared" si="281"/>
        <v>500000424879711831</v>
      </c>
      <c r="D459" s="31">
        <v>456</v>
      </c>
      <c r="E459" s="31">
        <f>'PR 2025'!A457</f>
        <v>5</v>
      </c>
      <c r="F459" s="31">
        <f>'PR 2025'!B457</f>
        <v>5000004248</v>
      </c>
      <c r="G459" s="32" t="str">
        <f>'PR 2025'!C457</f>
        <v>MOUSE USB</v>
      </c>
      <c r="H459" s="31">
        <f>'PR 2025'!D457</f>
        <v>10805529</v>
      </c>
      <c r="I459" s="31">
        <f>VLOOKUP(A459,'PO 2025'!$A$2:$Y$1440,21,FALSE)</f>
        <v>79711831</v>
      </c>
      <c r="J459" s="31">
        <f>'PR 2025'!E457</f>
        <v>1</v>
      </c>
      <c r="K459" s="33" t="str">
        <f>'PR 2025'!F457</f>
        <v>BH</v>
      </c>
      <c r="L459" s="34">
        <f>'PR 2025'!T457</f>
        <v>45988</v>
      </c>
      <c r="M459" s="31" t="str">
        <f>'PR 2025'!AG457</f>
        <v>R</v>
      </c>
      <c r="N459" s="34">
        <f>VLOOKUP(C459,'GRS 2025'!$A$2:$AH$1992,4,FALSE)</f>
        <v>45994</v>
      </c>
      <c r="O459" s="69" t="str">
        <f>'PR 2025'!AJ457</f>
        <v>U/ WAKABAG BAGIAN MTC WEAVING LJ1 (HS CODE : 8471.60.40). YUDI</v>
      </c>
    </row>
    <row r="460" spans="1:15" x14ac:dyDescent="0.25">
      <c r="A460" s="22" t="str">
        <f t="shared" ref="A460:A463" si="282">F460&amp;H460&amp;E460</f>
        <v>5000016322108055491</v>
      </c>
      <c r="B460" s="22" t="e">
        <f t="shared" ref="B460:B463" si="283">F460&amp;I460&amp;E460</f>
        <v>#N/A</v>
      </c>
      <c r="C460" s="22" t="e">
        <f t="shared" ref="C460:C463" si="284">F460&amp;I460</f>
        <v>#N/A</v>
      </c>
      <c r="D460" s="39">
        <v>457</v>
      </c>
      <c r="E460" s="39">
        <f>'PR 2025'!A458</f>
        <v>1</v>
      </c>
      <c r="F460" s="39">
        <f>'PR 2025'!B458</f>
        <v>5000016322</v>
      </c>
      <c r="G460" s="40" t="str">
        <f>'PR 2025'!C458</f>
        <v>KABEL EXTENTION CORE</v>
      </c>
      <c r="H460" s="39">
        <f>'PR 2025'!D458</f>
        <v>10805549</v>
      </c>
      <c r="I460" s="39" t="e">
        <f>VLOOKUP(A460,'PO 2025'!$A$2:$Y$1440,21,FALSE)</f>
        <v>#N/A</v>
      </c>
      <c r="J460" s="39">
        <f>'PR 2025'!E458</f>
        <v>6</v>
      </c>
      <c r="K460" s="41" t="str">
        <f>'PR 2025'!F458</f>
        <v>BH</v>
      </c>
      <c r="L460" s="42">
        <f>'PR 2025'!T458</f>
        <v>45989</v>
      </c>
      <c r="M460" s="39" t="str">
        <f>'PR 2025'!AG458</f>
        <v>R</v>
      </c>
      <c r="N460" s="42" t="e">
        <f>VLOOKUP(C460,'GRS 2025'!$A$2:$AH$1992,4,FALSE)</f>
        <v>#N/A</v>
      </c>
      <c r="O460" s="73" t="str">
        <f>'PR 2025'!AJ458</f>
        <v>U/ BAGIAN MARKETING (HS CODE : 8544.42.91). TIO</v>
      </c>
    </row>
    <row r="461" spans="1:15" x14ac:dyDescent="0.25">
      <c r="A461" s="22" t="str">
        <f t="shared" si="282"/>
        <v>5000013640108055492</v>
      </c>
      <c r="B461" s="22" t="e">
        <f t="shared" si="283"/>
        <v>#N/A</v>
      </c>
      <c r="C461" s="22" t="e">
        <f t="shared" si="284"/>
        <v>#N/A</v>
      </c>
      <c r="D461" s="39">
        <v>458</v>
      </c>
      <c r="E461" s="39">
        <f>'PR 2025'!A459</f>
        <v>2</v>
      </c>
      <c r="F461" s="39">
        <f>'PR 2025'!B459</f>
        <v>5000013640</v>
      </c>
      <c r="G461" s="40" t="str">
        <f>'PR 2025'!C459</f>
        <v>CONNECTOR TELEPHONE</v>
      </c>
      <c r="H461" s="39">
        <f>'PR 2025'!D459</f>
        <v>10805549</v>
      </c>
      <c r="I461" s="39" t="e">
        <f>VLOOKUP(A461,'PO 2025'!$A$2:$Y$1440,21,FALSE)</f>
        <v>#N/A</v>
      </c>
      <c r="J461" s="39">
        <f>'PR 2025'!E459</f>
        <v>6</v>
      </c>
      <c r="K461" s="41" t="str">
        <f>'PR 2025'!F459</f>
        <v>BH</v>
      </c>
      <c r="L461" s="42">
        <f>'PR 2025'!T459</f>
        <v>45989</v>
      </c>
      <c r="M461" s="39" t="str">
        <f>'PR 2025'!AG459</f>
        <v>R</v>
      </c>
      <c r="N461" s="42" t="e">
        <f>VLOOKUP(C461,'GRS 2025'!$A$2:$AH$1992,4,FALSE)</f>
        <v>#N/A</v>
      </c>
      <c r="O461" s="73" t="str">
        <f>'PR 2025'!AJ459</f>
        <v>U/ BAGIAN MARKETING (HS CODE : 8518.40.20). TIO</v>
      </c>
    </row>
    <row r="462" spans="1:15" x14ac:dyDescent="0.25">
      <c r="A462" s="22" t="str">
        <f t="shared" si="282"/>
        <v>5000008929108056001</v>
      </c>
      <c r="B462" s="22" t="e">
        <f t="shared" si="283"/>
        <v>#N/A</v>
      </c>
      <c r="C462" s="22" t="e">
        <f t="shared" si="284"/>
        <v>#N/A</v>
      </c>
      <c r="D462" s="39">
        <v>459</v>
      </c>
      <c r="E462" s="39">
        <f>'PR 2025'!A460</f>
        <v>1</v>
      </c>
      <c r="F462" s="39">
        <f>'PR 2025'!B460</f>
        <v>5000008929</v>
      </c>
      <c r="G462" s="40" t="str">
        <f>'PR 2025'!C460</f>
        <v>FAN PROCESSOR P4 LGA</v>
      </c>
      <c r="H462" s="39">
        <f>'PR 2025'!D460</f>
        <v>10805600</v>
      </c>
      <c r="I462" s="39" t="e">
        <f>VLOOKUP(A462,'PO 2025'!$A$2:$Y$1440,21,FALSE)</f>
        <v>#N/A</v>
      </c>
      <c r="J462" s="39">
        <f>'PR 2025'!E460</f>
        <v>1</v>
      </c>
      <c r="K462" s="41" t="str">
        <f>'PR 2025'!F460</f>
        <v>BH</v>
      </c>
      <c r="L462" s="42">
        <f>'PR 2025'!T460</f>
        <v>45992</v>
      </c>
      <c r="M462" s="39" t="str">
        <f>'PR 2025'!AG460</f>
        <v>R</v>
      </c>
      <c r="N462" s="42" t="e">
        <f>VLOOKUP(C462,'GRS 2025'!$A$2:$AH$1992,4,FALSE)</f>
        <v>#N/A</v>
      </c>
      <c r="O462" s="73" t="str">
        <f>'PR 2025'!AJ460</f>
        <v>U/ BAGIAN QA LJ2 (HS CODE : 8414.59.10). RICKY</v>
      </c>
    </row>
    <row r="463" spans="1:15" x14ac:dyDescent="0.25">
      <c r="A463" s="22" t="str">
        <f t="shared" si="282"/>
        <v>5000012479108056002</v>
      </c>
      <c r="B463" s="22" t="e">
        <f t="shared" si="283"/>
        <v>#N/A</v>
      </c>
      <c r="C463" s="22" t="e">
        <f t="shared" si="284"/>
        <v>#N/A</v>
      </c>
      <c r="D463" s="39">
        <v>460</v>
      </c>
      <c r="E463" s="39">
        <f>'PR 2025'!A461</f>
        <v>2</v>
      </c>
      <c r="F463" s="39">
        <f>'PR 2025'!B461</f>
        <v>5000012479</v>
      </c>
      <c r="G463" s="40" t="str">
        <f>'PR 2025'!C461</f>
        <v>LAPTOP LENOVO</v>
      </c>
      <c r="H463" s="39">
        <f>'PR 2025'!D461</f>
        <v>10805600</v>
      </c>
      <c r="I463" s="39" t="e">
        <f>VLOOKUP(A463,'PO 2025'!$A$2:$Y$1440,21,FALSE)</f>
        <v>#N/A</v>
      </c>
      <c r="J463" s="39">
        <f>'PR 2025'!E461</f>
        <v>2</v>
      </c>
      <c r="K463" s="41" t="str">
        <f>'PR 2025'!F461</f>
        <v>UNT</v>
      </c>
      <c r="L463" s="42">
        <f>'PR 2025'!T461</f>
        <v>45992</v>
      </c>
      <c r="M463" s="39" t="str">
        <f>'PR 2025'!AG461</f>
        <v>R</v>
      </c>
      <c r="N463" s="42" t="e">
        <f>VLOOKUP(C463,'GRS 2025'!$A$2:$AH$1992,4,FALSE)</f>
        <v>#N/A</v>
      </c>
      <c r="O463" s="73" t="str">
        <f>'PR 2025'!AJ461</f>
        <v>ORDER SESUAI PENGAJUAN LENOVO V14 G4 i5, U/ KEBUTUHAN SAP BAGIAN IT (HS CODE : 8507.60.31). BILLY</v>
      </c>
    </row>
    <row r="464" spans="1:15" x14ac:dyDescent="0.25">
      <c r="A464" s="22" t="str">
        <f t="shared" ref="A464" si="285">F464&amp;H464&amp;E464</f>
        <v>5000018023108056241</v>
      </c>
      <c r="B464" s="22" t="e">
        <f t="shared" ref="B464" si="286">F464&amp;I464&amp;E464</f>
        <v>#N/A</v>
      </c>
      <c r="C464" s="22" t="e">
        <f t="shared" ref="C464" si="287">F464&amp;I464</f>
        <v>#N/A</v>
      </c>
      <c r="D464" s="39">
        <v>461</v>
      </c>
      <c r="E464" s="39">
        <f>'PR 2025'!A462</f>
        <v>1</v>
      </c>
      <c r="F464" s="39">
        <f>'PR 2025'!B462</f>
        <v>5000018023</v>
      </c>
      <c r="G464" s="40" t="str">
        <f>'PR 2025'!C462</f>
        <v>PENGUAT SINYAL GSM</v>
      </c>
      <c r="H464" s="39">
        <f>'PR 2025'!D462</f>
        <v>10805624</v>
      </c>
      <c r="I464" s="39" t="e">
        <f>VLOOKUP(A464,'PO 2025'!$A$2:$Y$1440,21,FALSE)</f>
        <v>#N/A</v>
      </c>
      <c r="J464" s="39">
        <f>'PR 2025'!E462</f>
        <v>1</v>
      </c>
      <c r="K464" s="41" t="str">
        <f>'PR 2025'!F462</f>
        <v>BH</v>
      </c>
      <c r="L464" s="42">
        <f>'PR 2025'!T462</f>
        <v>45993</v>
      </c>
      <c r="M464" s="39" t="str">
        <f>'PR 2025'!AG462</f>
        <v>R</v>
      </c>
      <c r="N464" s="42" t="e">
        <f>VLOOKUP(C464,'GRS 2025'!$A$2:$AH$1992,4,FALSE)</f>
        <v>#N/A</v>
      </c>
      <c r="O464" s="73" t="str">
        <f>'PR 2025'!AJ462</f>
        <v>U/ KANTOR PROCESSING LJ1 (HS CODE : 8517.79.10). DADANG</v>
      </c>
    </row>
    <row r="488" spans="7:14" x14ac:dyDescent="0.25">
      <c r="G488" s="19" t="s">
        <v>43</v>
      </c>
      <c r="H488" s="7"/>
      <c r="I488" s="27" t="s">
        <v>111</v>
      </c>
      <c r="J488" s="16"/>
      <c r="L488"/>
      <c r="N488"/>
    </row>
    <row r="489" spans="7:14" x14ac:dyDescent="0.25">
      <c r="G489" s="6"/>
      <c r="H489" s="13"/>
      <c r="I489" s="27" t="s">
        <v>112</v>
      </c>
      <c r="J489" s="16"/>
      <c r="L489"/>
      <c r="N489"/>
    </row>
    <row r="490" spans="7:14" x14ac:dyDescent="0.25">
      <c r="G490" s="6"/>
      <c r="H490" s="8"/>
      <c r="I490" s="27" t="s">
        <v>113</v>
      </c>
      <c r="J490" s="16"/>
      <c r="L490"/>
      <c r="N490"/>
    </row>
    <row r="491" spans="7:14" x14ac:dyDescent="0.25">
      <c r="G491" s="6"/>
      <c r="H491" s="9"/>
      <c r="I491" s="5" t="s">
        <v>42</v>
      </c>
      <c r="J491" s="16"/>
      <c r="L491"/>
      <c r="N491"/>
    </row>
    <row r="492" spans="7:14" x14ac:dyDescent="0.25">
      <c r="H492" s="24"/>
      <c r="I492" s="21" t="s">
        <v>96</v>
      </c>
      <c r="L492"/>
      <c r="N492"/>
    </row>
  </sheetData>
  <autoFilter ref="D3:O463"/>
  <mergeCells count="1">
    <mergeCell ref="D1:O1"/>
  </mergeCells>
  <pageMargins left="0.70866141732283472" right="0.70866141732283472" top="0.74803149606299213" bottom="0.74803149606299213" header="0.31496062992125984" footer="0.31496062992125984"/>
  <pageSetup paperSize="9" scale="55" orientation="landscape"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AK467"/>
  <sheetViews>
    <sheetView zoomScale="80" zoomScaleNormal="80" workbookViewId="0">
      <pane ySplit="1" topLeftCell="A451" activePane="bottomLeft" state="frozen"/>
      <selection pane="bottomLeft" activeCell="D462" sqref="D462"/>
    </sheetView>
  </sheetViews>
  <sheetFormatPr defaultRowHeight="15" x14ac:dyDescent="0.25"/>
  <cols>
    <col min="1" max="1" width="4.42578125" bestFit="1" customWidth="1"/>
    <col min="2" max="2" width="12" bestFit="1" customWidth="1"/>
    <col min="3" max="3" width="50.5703125" bestFit="1" customWidth="1"/>
    <col min="4" max="4" width="11" customWidth="1"/>
    <col min="5" max="6" width="9.140625" customWidth="1"/>
    <col min="7" max="7" width="11.5703125" style="10" customWidth="1"/>
    <col min="8" max="8" width="12.5703125" customWidth="1"/>
    <col min="9" max="18" width="9.140625" customWidth="1"/>
    <col min="19" max="19" width="10.7109375" customWidth="1"/>
    <col min="20" max="20" width="13.28515625" style="10" customWidth="1"/>
    <col min="21" max="21" width="9.140625" customWidth="1"/>
    <col min="22" max="22" width="13.7109375" customWidth="1"/>
    <col min="23" max="33" width="9.140625" customWidth="1"/>
    <col min="34" max="34" width="9.5703125" customWidth="1"/>
    <col min="35" max="35" width="14.7109375" customWidth="1"/>
    <col min="36" max="36" width="178.85546875" bestFit="1" customWidth="1"/>
    <col min="37" max="37" width="15.7109375" bestFit="1" customWidth="1"/>
  </cols>
  <sheetData>
    <row r="1" spans="1:37" x14ac:dyDescent="0.25">
      <c r="A1" t="s">
        <v>44</v>
      </c>
      <c r="B1" t="s">
        <v>1</v>
      </c>
      <c r="C1" t="s">
        <v>47</v>
      </c>
      <c r="D1" t="s">
        <v>79</v>
      </c>
      <c r="E1" t="s">
        <v>3</v>
      </c>
      <c r="F1" t="s">
        <v>49</v>
      </c>
      <c r="G1" s="10" t="s">
        <v>4</v>
      </c>
      <c r="H1" t="s">
        <v>5</v>
      </c>
      <c r="I1" t="s">
        <v>6</v>
      </c>
      <c r="J1" t="s">
        <v>7</v>
      </c>
      <c r="K1" t="s">
        <v>8</v>
      </c>
      <c r="L1" t="s">
        <v>9</v>
      </c>
      <c r="M1" t="s">
        <v>10</v>
      </c>
      <c r="N1" t="s">
        <v>11</v>
      </c>
      <c r="O1" t="s">
        <v>12</v>
      </c>
      <c r="P1" t="s">
        <v>13</v>
      </c>
      <c r="Q1" t="s">
        <v>14</v>
      </c>
      <c r="R1" t="s">
        <v>15</v>
      </c>
      <c r="S1" t="s">
        <v>16</v>
      </c>
      <c r="T1" s="10" t="s">
        <v>56</v>
      </c>
      <c r="U1" t="s">
        <v>18</v>
      </c>
      <c r="V1" t="s">
        <v>19</v>
      </c>
      <c r="W1" t="s">
        <v>20</v>
      </c>
      <c r="X1" t="s">
        <v>21</v>
      </c>
      <c r="Y1" t="s">
        <v>22</v>
      </c>
      <c r="Z1" t="s">
        <v>23</v>
      </c>
      <c r="AA1" t="s">
        <v>24</v>
      </c>
      <c r="AB1" t="s">
        <v>25</v>
      </c>
      <c r="AC1" t="s">
        <v>26</v>
      </c>
      <c r="AD1" t="s">
        <v>27</v>
      </c>
      <c r="AE1" t="s">
        <v>28</v>
      </c>
      <c r="AF1" t="s">
        <v>29</v>
      </c>
      <c r="AG1" t="s">
        <v>80</v>
      </c>
      <c r="AH1" t="s">
        <v>31</v>
      </c>
      <c r="AI1" t="s">
        <v>32</v>
      </c>
      <c r="AJ1" t="s">
        <v>76</v>
      </c>
      <c r="AK1" t="s">
        <v>81</v>
      </c>
    </row>
    <row r="2" spans="1:37" x14ac:dyDescent="0.25">
      <c r="A2">
        <v>1</v>
      </c>
      <c r="B2">
        <v>5000016255</v>
      </c>
      <c r="C2" t="s">
        <v>110</v>
      </c>
      <c r="D2">
        <v>10800002</v>
      </c>
      <c r="E2">
        <v>2</v>
      </c>
      <c r="F2" t="s">
        <v>93</v>
      </c>
      <c r="G2" s="10">
        <v>45666</v>
      </c>
      <c r="H2" t="s">
        <v>36</v>
      </c>
      <c r="I2" t="s">
        <v>37</v>
      </c>
      <c r="J2" t="s">
        <v>38</v>
      </c>
      <c r="K2" t="s">
        <v>98</v>
      </c>
      <c r="L2" t="s">
        <v>39</v>
      </c>
      <c r="M2">
        <v>0</v>
      </c>
      <c r="P2">
        <v>2</v>
      </c>
      <c r="Q2">
        <v>0</v>
      </c>
      <c r="S2" t="s">
        <v>40</v>
      </c>
      <c r="T2" s="10">
        <v>45659</v>
      </c>
      <c r="W2">
        <v>1</v>
      </c>
      <c r="Y2" t="s">
        <v>41</v>
      </c>
      <c r="AG2" t="s">
        <v>142</v>
      </c>
      <c r="AJ2" t="s">
        <v>122</v>
      </c>
    </row>
    <row r="3" spans="1:37" x14ac:dyDescent="0.25">
      <c r="A3" s="12">
        <v>2</v>
      </c>
      <c r="B3" s="12">
        <v>5000011448</v>
      </c>
      <c r="C3" s="12" t="s">
        <v>97</v>
      </c>
      <c r="D3">
        <v>10800002</v>
      </c>
      <c r="E3">
        <v>2</v>
      </c>
      <c r="F3" s="12" t="s">
        <v>35</v>
      </c>
      <c r="G3" s="10">
        <v>45666</v>
      </c>
      <c r="H3" t="s">
        <v>36</v>
      </c>
      <c r="I3" s="12" t="s">
        <v>37</v>
      </c>
      <c r="J3" s="12" t="s">
        <v>38</v>
      </c>
      <c r="K3" s="12" t="s">
        <v>98</v>
      </c>
      <c r="L3" s="12" t="s">
        <v>39</v>
      </c>
      <c r="M3" s="12">
        <v>0</v>
      </c>
      <c r="N3" s="12"/>
      <c r="O3" s="12"/>
      <c r="P3" s="12">
        <v>2</v>
      </c>
      <c r="Q3" s="12">
        <v>0</v>
      </c>
      <c r="R3" s="12"/>
      <c r="S3" s="12" t="s">
        <v>40</v>
      </c>
      <c r="T3" s="15">
        <v>45659</v>
      </c>
      <c r="U3" s="12"/>
      <c r="V3" s="12"/>
      <c r="W3" s="12">
        <v>1</v>
      </c>
      <c r="X3" s="12"/>
      <c r="Y3" s="12" t="s">
        <v>41</v>
      </c>
      <c r="Z3" s="12"/>
      <c r="AA3" s="12"/>
      <c r="AB3" s="12"/>
      <c r="AC3" s="12"/>
      <c r="AD3" s="12"/>
      <c r="AE3" s="12"/>
      <c r="AF3" s="12"/>
      <c r="AG3" t="s">
        <v>142</v>
      </c>
      <c r="AH3" s="12"/>
      <c r="AI3" s="12"/>
      <c r="AJ3" s="12" t="s">
        <v>123</v>
      </c>
    </row>
    <row r="4" spans="1:37" x14ac:dyDescent="0.25">
      <c r="A4" s="12">
        <v>1</v>
      </c>
      <c r="B4" s="12">
        <v>5000008929</v>
      </c>
      <c r="C4" s="12" t="s">
        <v>100</v>
      </c>
      <c r="D4">
        <v>10800032</v>
      </c>
      <c r="E4">
        <v>6</v>
      </c>
      <c r="F4" t="s">
        <v>93</v>
      </c>
      <c r="G4" s="10">
        <v>45667</v>
      </c>
      <c r="H4" s="12" t="s">
        <v>36</v>
      </c>
      <c r="I4" t="s">
        <v>37</v>
      </c>
      <c r="J4" t="s">
        <v>38</v>
      </c>
      <c r="K4" t="s">
        <v>98</v>
      </c>
      <c r="L4" t="s">
        <v>39</v>
      </c>
      <c r="M4" s="12">
        <v>0</v>
      </c>
      <c r="N4" s="12"/>
      <c r="O4" s="12"/>
      <c r="P4" s="12">
        <v>6</v>
      </c>
      <c r="Q4" s="12">
        <v>0</v>
      </c>
      <c r="R4" s="12"/>
      <c r="S4" s="12" t="s">
        <v>40</v>
      </c>
      <c r="T4" s="15">
        <v>45660</v>
      </c>
      <c r="U4" s="12"/>
      <c r="V4" s="12"/>
      <c r="W4" s="12">
        <v>1</v>
      </c>
      <c r="X4" s="12"/>
      <c r="Y4" s="12" t="s">
        <v>41</v>
      </c>
      <c r="Z4" s="12"/>
      <c r="AA4" s="12"/>
      <c r="AB4" s="12"/>
      <c r="AC4" s="12"/>
      <c r="AD4" s="12"/>
      <c r="AE4" s="12"/>
      <c r="AF4" s="12"/>
      <c r="AG4" t="s">
        <v>142</v>
      </c>
      <c r="AH4" s="12"/>
      <c r="AI4" s="12"/>
      <c r="AJ4" s="12" t="s">
        <v>124</v>
      </c>
    </row>
    <row r="5" spans="1:37" x14ac:dyDescent="0.25">
      <c r="A5" s="12">
        <v>2</v>
      </c>
      <c r="B5" s="12">
        <v>5000011754</v>
      </c>
      <c r="C5" s="12" t="s">
        <v>99</v>
      </c>
      <c r="D5">
        <v>10800032</v>
      </c>
      <c r="E5">
        <v>1</v>
      </c>
      <c r="F5" t="s">
        <v>93</v>
      </c>
      <c r="G5" s="10">
        <v>45664</v>
      </c>
      <c r="H5" t="s">
        <v>36</v>
      </c>
      <c r="I5" s="12" t="s">
        <v>37</v>
      </c>
      <c r="J5" t="s">
        <v>38</v>
      </c>
      <c r="K5" s="12" t="s">
        <v>98</v>
      </c>
      <c r="L5" s="12" t="s">
        <v>39</v>
      </c>
      <c r="M5" s="12">
        <v>0</v>
      </c>
      <c r="N5" s="12"/>
      <c r="O5" s="12"/>
      <c r="P5" s="12">
        <v>1</v>
      </c>
      <c r="Q5" s="12">
        <v>0</v>
      </c>
      <c r="R5" s="12"/>
      <c r="S5" s="12" t="s">
        <v>40</v>
      </c>
      <c r="T5" s="15">
        <v>45660</v>
      </c>
      <c r="U5" s="12"/>
      <c r="V5" s="12"/>
      <c r="W5" s="12">
        <v>1</v>
      </c>
      <c r="X5" s="12"/>
      <c r="Y5" s="12" t="s">
        <v>41</v>
      </c>
      <c r="Z5" s="12"/>
      <c r="AA5" s="12"/>
      <c r="AB5" s="12"/>
      <c r="AC5" s="12"/>
      <c r="AD5" s="12"/>
      <c r="AE5" s="12"/>
      <c r="AF5" s="12"/>
      <c r="AG5" t="s">
        <v>142</v>
      </c>
      <c r="AH5" s="12"/>
      <c r="AI5" s="12"/>
      <c r="AJ5" s="12" t="s">
        <v>125</v>
      </c>
    </row>
    <row r="6" spans="1:37" x14ac:dyDescent="0.25">
      <c r="A6" s="12">
        <v>1</v>
      </c>
      <c r="B6" s="12">
        <v>5000016308</v>
      </c>
      <c r="C6" s="12" t="s">
        <v>143</v>
      </c>
      <c r="D6">
        <v>10800062</v>
      </c>
      <c r="E6">
        <v>4</v>
      </c>
      <c r="F6" t="s">
        <v>35</v>
      </c>
      <c r="G6" s="10">
        <v>45668</v>
      </c>
      <c r="H6" t="s">
        <v>36</v>
      </c>
      <c r="I6" s="12" t="s">
        <v>37</v>
      </c>
      <c r="J6" s="12" t="s">
        <v>38</v>
      </c>
      <c r="K6" s="12" t="s">
        <v>98</v>
      </c>
      <c r="L6" s="12" t="s">
        <v>39</v>
      </c>
      <c r="M6" s="12">
        <v>1</v>
      </c>
      <c r="N6" s="12"/>
      <c r="O6" s="12"/>
      <c r="P6" s="12">
        <v>-4</v>
      </c>
      <c r="Q6" s="12">
        <v>8</v>
      </c>
      <c r="R6" s="12"/>
      <c r="S6" s="12" t="s">
        <v>40</v>
      </c>
      <c r="T6" s="15">
        <v>45661</v>
      </c>
      <c r="U6" s="12"/>
      <c r="V6" s="12"/>
      <c r="W6" s="12">
        <v>1</v>
      </c>
      <c r="X6" s="12"/>
      <c r="Y6" s="12" t="s">
        <v>41</v>
      </c>
      <c r="Z6" s="12"/>
      <c r="AA6" s="12"/>
      <c r="AB6" s="12"/>
      <c r="AC6" s="12"/>
      <c r="AD6" s="12"/>
      <c r="AE6" s="12"/>
      <c r="AF6" s="12"/>
      <c r="AG6" s="12" t="s">
        <v>142</v>
      </c>
      <c r="AH6" s="12"/>
      <c r="AI6" s="12"/>
      <c r="AJ6" s="12" t="s">
        <v>144</v>
      </c>
    </row>
    <row r="7" spans="1:37" x14ac:dyDescent="0.25">
      <c r="A7" s="12">
        <v>2</v>
      </c>
      <c r="B7" s="12">
        <v>5000016255</v>
      </c>
      <c r="C7" s="12" t="s">
        <v>110</v>
      </c>
      <c r="D7">
        <v>10800062</v>
      </c>
      <c r="E7">
        <v>4</v>
      </c>
      <c r="F7" t="s">
        <v>93</v>
      </c>
      <c r="G7" s="10">
        <v>45668</v>
      </c>
      <c r="H7" t="s">
        <v>36</v>
      </c>
      <c r="I7" t="s">
        <v>37</v>
      </c>
      <c r="J7" t="s">
        <v>38</v>
      </c>
      <c r="K7" t="s">
        <v>98</v>
      </c>
      <c r="L7" t="s">
        <v>39</v>
      </c>
      <c r="M7">
        <v>1</v>
      </c>
      <c r="P7">
        <v>-4</v>
      </c>
      <c r="Q7" s="12">
        <v>8</v>
      </c>
      <c r="R7" s="12"/>
      <c r="S7" s="12" t="s">
        <v>40</v>
      </c>
      <c r="T7" s="15">
        <v>45661</v>
      </c>
      <c r="U7" s="12"/>
      <c r="V7" s="12"/>
      <c r="W7" s="12">
        <v>1</v>
      </c>
      <c r="X7" s="12"/>
      <c r="Y7" s="12" t="s">
        <v>41</v>
      </c>
      <c r="Z7" s="12"/>
      <c r="AA7" s="12"/>
      <c r="AB7" s="12"/>
      <c r="AC7" s="12"/>
      <c r="AD7" s="12"/>
      <c r="AE7" s="12"/>
      <c r="AF7" s="12"/>
      <c r="AG7" s="12" t="s">
        <v>142</v>
      </c>
      <c r="AH7" s="12"/>
      <c r="AI7" s="12"/>
      <c r="AJ7" s="12" t="s">
        <v>145</v>
      </c>
    </row>
    <row r="8" spans="1:37" x14ac:dyDescent="0.25">
      <c r="A8" s="12">
        <v>1</v>
      </c>
      <c r="B8" s="12">
        <v>5000016728</v>
      </c>
      <c r="C8" s="12" t="s">
        <v>146</v>
      </c>
      <c r="D8">
        <v>10800097</v>
      </c>
      <c r="E8">
        <v>1</v>
      </c>
      <c r="F8" t="s">
        <v>35</v>
      </c>
      <c r="G8" s="15">
        <v>45671</v>
      </c>
      <c r="H8" t="s">
        <v>36</v>
      </c>
      <c r="I8" s="12" t="s">
        <v>37</v>
      </c>
      <c r="J8" s="12" t="s">
        <v>38</v>
      </c>
      <c r="K8" s="12" t="s">
        <v>98</v>
      </c>
      <c r="L8" s="12" t="s">
        <v>39</v>
      </c>
      <c r="M8" s="12">
        <v>0</v>
      </c>
      <c r="N8" s="12"/>
      <c r="O8" s="12"/>
      <c r="P8" s="12">
        <v>1</v>
      </c>
      <c r="Q8" s="12">
        <v>0</v>
      </c>
      <c r="R8" s="12"/>
      <c r="S8" s="12" t="s">
        <v>40</v>
      </c>
      <c r="T8" s="15">
        <v>45664</v>
      </c>
      <c r="U8" s="12"/>
      <c r="V8" s="12"/>
      <c r="W8" s="12">
        <v>1</v>
      </c>
      <c r="X8" s="12"/>
      <c r="Y8" s="12" t="s">
        <v>41</v>
      </c>
      <c r="Z8" s="12"/>
      <c r="AA8" s="12"/>
      <c r="AB8" s="12"/>
      <c r="AC8" s="12"/>
      <c r="AD8" s="12"/>
      <c r="AE8" s="12"/>
      <c r="AF8" s="12"/>
      <c r="AG8" s="12" t="s">
        <v>142</v>
      </c>
      <c r="AH8" s="12"/>
      <c r="AI8" s="12"/>
      <c r="AJ8" s="12" t="s">
        <v>147</v>
      </c>
    </row>
    <row r="9" spans="1:37" x14ac:dyDescent="0.25">
      <c r="A9">
        <v>1</v>
      </c>
      <c r="B9">
        <v>5000017356</v>
      </c>
      <c r="C9" t="s">
        <v>148</v>
      </c>
      <c r="D9">
        <v>10800139</v>
      </c>
      <c r="E9">
        <v>1</v>
      </c>
      <c r="F9" t="s">
        <v>35</v>
      </c>
      <c r="G9" s="10">
        <v>45673</v>
      </c>
      <c r="H9" t="s">
        <v>36</v>
      </c>
      <c r="I9" t="s">
        <v>37</v>
      </c>
      <c r="J9" t="s">
        <v>38</v>
      </c>
      <c r="K9" t="s">
        <v>98</v>
      </c>
      <c r="L9" t="s">
        <v>39</v>
      </c>
      <c r="M9">
        <v>0</v>
      </c>
      <c r="P9">
        <v>1</v>
      </c>
      <c r="Q9">
        <v>0</v>
      </c>
      <c r="S9" t="s">
        <v>40</v>
      </c>
      <c r="T9" s="10">
        <v>45666</v>
      </c>
      <c r="W9">
        <v>1</v>
      </c>
      <c r="Y9" t="s">
        <v>41</v>
      </c>
      <c r="AG9" s="12" t="s">
        <v>142</v>
      </c>
      <c r="AJ9" t="s">
        <v>149</v>
      </c>
    </row>
    <row r="10" spans="1:37" x14ac:dyDescent="0.25">
      <c r="A10">
        <v>2</v>
      </c>
      <c r="B10">
        <v>5000008843</v>
      </c>
      <c r="C10" t="s">
        <v>150</v>
      </c>
      <c r="D10">
        <v>10800139</v>
      </c>
      <c r="E10">
        <v>1</v>
      </c>
      <c r="F10" t="s">
        <v>35</v>
      </c>
      <c r="G10" s="10">
        <v>45673</v>
      </c>
      <c r="H10" t="s">
        <v>36</v>
      </c>
      <c r="I10" t="s">
        <v>37</v>
      </c>
      <c r="J10" t="s">
        <v>38</v>
      </c>
      <c r="K10" t="s">
        <v>98</v>
      </c>
      <c r="L10" t="s">
        <v>39</v>
      </c>
      <c r="M10">
        <v>0</v>
      </c>
      <c r="P10">
        <v>1</v>
      </c>
      <c r="Q10">
        <v>0</v>
      </c>
      <c r="S10" t="s">
        <v>40</v>
      </c>
      <c r="T10" s="10">
        <v>45666</v>
      </c>
      <c r="W10">
        <v>1</v>
      </c>
      <c r="Y10" t="s">
        <v>41</v>
      </c>
      <c r="AG10" s="12" t="s">
        <v>142</v>
      </c>
      <c r="AJ10" t="s">
        <v>151</v>
      </c>
    </row>
    <row r="11" spans="1:37" x14ac:dyDescent="0.25">
      <c r="A11">
        <v>3</v>
      </c>
      <c r="B11">
        <v>5000016308</v>
      </c>
      <c r="C11" t="s">
        <v>143</v>
      </c>
      <c r="D11">
        <v>10800139</v>
      </c>
      <c r="E11">
        <v>1</v>
      </c>
      <c r="F11" t="s">
        <v>35</v>
      </c>
      <c r="G11" s="10">
        <v>45673</v>
      </c>
      <c r="H11" t="s">
        <v>36</v>
      </c>
      <c r="I11" t="s">
        <v>37</v>
      </c>
      <c r="J11" t="s">
        <v>38</v>
      </c>
      <c r="K11" t="s">
        <v>98</v>
      </c>
      <c r="L11" t="s">
        <v>39</v>
      </c>
      <c r="M11">
        <v>0</v>
      </c>
      <c r="P11">
        <v>1</v>
      </c>
      <c r="Q11">
        <v>0</v>
      </c>
      <c r="S11" t="s">
        <v>40</v>
      </c>
      <c r="T11" s="10">
        <v>45666</v>
      </c>
      <c r="W11">
        <v>1</v>
      </c>
      <c r="Y11" t="s">
        <v>41</v>
      </c>
      <c r="AG11" s="12" t="s">
        <v>142</v>
      </c>
      <c r="AJ11" t="s">
        <v>152</v>
      </c>
    </row>
    <row r="12" spans="1:37" x14ac:dyDescent="0.25">
      <c r="A12">
        <v>4</v>
      </c>
      <c r="B12">
        <v>5000005059</v>
      </c>
      <c r="C12" t="s">
        <v>153</v>
      </c>
      <c r="D12">
        <v>10800139</v>
      </c>
      <c r="E12">
        <v>1</v>
      </c>
      <c r="F12" t="s">
        <v>93</v>
      </c>
      <c r="G12" s="10">
        <v>45673</v>
      </c>
      <c r="H12" t="s">
        <v>36</v>
      </c>
      <c r="I12" t="s">
        <v>37</v>
      </c>
      <c r="J12" t="s">
        <v>38</v>
      </c>
      <c r="K12" t="s">
        <v>98</v>
      </c>
      <c r="L12" t="s">
        <v>39</v>
      </c>
      <c r="M12">
        <v>0</v>
      </c>
      <c r="P12">
        <v>1</v>
      </c>
      <c r="Q12">
        <v>0</v>
      </c>
      <c r="S12" t="s">
        <v>40</v>
      </c>
      <c r="T12" s="10">
        <v>45666</v>
      </c>
      <c r="W12">
        <v>1</v>
      </c>
      <c r="Y12" t="s">
        <v>41</v>
      </c>
      <c r="AG12" s="12" t="s">
        <v>142</v>
      </c>
      <c r="AJ12" t="s">
        <v>154</v>
      </c>
    </row>
    <row r="13" spans="1:37" x14ac:dyDescent="0.25">
      <c r="A13">
        <v>5</v>
      </c>
      <c r="B13">
        <v>5000004248</v>
      </c>
      <c r="C13" t="s">
        <v>155</v>
      </c>
      <c r="D13">
        <v>10800139</v>
      </c>
      <c r="E13">
        <v>1</v>
      </c>
      <c r="F13" t="s">
        <v>93</v>
      </c>
      <c r="G13" s="10">
        <v>45673</v>
      </c>
      <c r="H13" t="s">
        <v>36</v>
      </c>
      <c r="I13" t="s">
        <v>37</v>
      </c>
      <c r="J13" t="s">
        <v>38</v>
      </c>
      <c r="K13" t="s">
        <v>98</v>
      </c>
      <c r="L13" t="s">
        <v>39</v>
      </c>
      <c r="M13">
        <v>0</v>
      </c>
      <c r="P13">
        <v>1</v>
      </c>
      <c r="Q13">
        <v>0</v>
      </c>
      <c r="S13" t="s">
        <v>40</v>
      </c>
      <c r="T13" s="10">
        <v>45666</v>
      </c>
      <c r="W13">
        <v>1</v>
      </c>
      <c r="Y13" t="s">
        <v>41</v>
      </c>
      <c r="AG13" s="12" t="s">
        <v>142</v>
      </c>
      <c r="AJ13" t="s">
        <v>156</v>
      </c>
    </row>
    <row r="14" spans="1:37" x14ac:dyDescent="0.25">
      <c r="A14">
        <v>6</v>
      </c>
      <c r="B14">
        <v>5000016428</v>
      </c>
      <c r="C14" t="s">
        <v>157</v>
      </c>
      <c r="D14">
        <v>10800139</v>
      </c>
      <c r="E14">
        <v>1</v>
      </c>
      <c r="F14" t="s">
        <v>35</v>
      </c>
      <c r="G14" s="10">
        <v>45673</v>
      </c>
      <c r="H14" t="s">
        <v>36</v>
      </c>
      <c r="I14" t="s">
        <v>37</v>
      </c>
      <c r="J14" t="s">
        <v>38</v>
      </c>
      <c r="K14" t="s">
        <v>98</v>
      </c>
      <c r="L14" t="s">
        <v>39</v>
      </c>
      <c r="M14">
        <v>0</v>
      </c>
      <c r="P14">
        <v>1</v>
      </c>
      <c r="Q14">
        <v>0</v>
      </c>
      <c r="S14" t="s">
        <v>40</v>
      </c>
      <c r="T14" s="10">
        <v>45666</v>
      </c>
      <c r="W14">
        <v>1</v>
      </c>
      <c r="Y14" t="s">
        <v>41</v>
      </c>
      <c r="AG14" s="12" t="s">
        <v>142</v>
      </c>
      <c r="AJ14" t="s">
        <v>158</v>
      </c>
    </row>
    <row r="15" spans="1:37" x14ac:dyDescent="0.25">
      <c r="A15">
        <v>7</v>
      </c>
      <c r="B15">
        <v>5000013640</v>
      </c>
      <c r="C15" t="s">
        <v>159</v>
      </c>
      <c r="D15">
        <v>10800139</v>
      </c>
      <c r="E15">
        <v>10</v>
      </c>
      <c r="F15" t="s">
        <v>93</v>
      </c>
      <c r="G15" s="10">
        <v>45673</v>
      </c>
      <c r="H15" t="s">
        <v>160</v>
      </c>
      <c r="I15" t="s">
        <v>37</v>
      </c>
      <c r="J15" t="s">
        <v>38</v>
      </c>
      <c r="K15" t="s">
        <v>98</v>
      </c>
      <c r="L15" t="s">
        <v>39</v>
      </c>
      <c r="M15">
        <v>0</v>
      </c>
      <c r="P15">
        <v>10</v>
      </c>
      <c r="Q15">
        <v>0</v>
      </c>
      <c r="S15" t="s">
        <v>40</v>
      </c>
      <c r="T15" s="10">
        <v>45666</v>
      </c>
      <c r="W15">
        <v>1</v>
      </c>
      <c r="Y15" t="s">
        <v>41</v>
      </c>
      <c r="AG15" s="12" t="s">
        <v>142</v>
      </c>
      <c r="AJ15" t="s">
        <v>161</v>
      </c>
    </row>
    <row r="16" spans="1:37" x14ac:dyDescent="0.25">
      <c r="A16">
        <v>1</v>
      </c>
      <c r="B16">
        <v>5000015861</v>
      </c>
      <c r="C16" t="s">
        <v>174</v>
      </c>
      <c r="D16">
        <v>10800213</v>
      </c>
      <c r="E16">
        <v>4</v>
      </c>
      <c r="F16" t="s">
        <v>35</v>
      </c>
      <c r="G16" s="10">
        <v>45678</v>
      </c>
      <c r="H16" t="s">
        <v>36</v>
      </c>
      <c r="I16" t="s">
        <v>37</v>
      </c>
      <c r="J16" t="s">
        <v>38</v>
      </c>
      <c r="K16" t="s">
        <v>98</v>
      </c>
      <c r="L16" t="s">
        <v>39</v>
      </c>
      <c r="M16">
        <v>0</v>
      </c>
      <c r="P16">
        <v>4</v>
      </c>
      <c r="Q16">
        <v>0</v>
      </c>
      <c r="S16" t="s">
        <v>40</v>
      </c>
      <c r="T16" s="10">
        <v>45671</v>
      </c>
      <c r="W16">
        <v>1</v>
      </c>
      <c r="Y16" t="s">
        <v>41</v>
      </c>
      <c r="AG16" s="12" t="s">
        <v>142</v>
      </c>
      <c r="AJ16" t="s">
        <v>175</v>
      </c>
    </row>
    <row r="17" spans="1:36" x14ac:dyDescent="0.25">
      <c r="A17">
        <v>2</v>
      </c>
      <c r="B17">
        <v>5000015000</v>
      </c>
      <c r="C17" t="s">
        <v>176</v>
      </c>
      <c r="D17">
        <v>10800213</v>
      </c>
      <c r="E17">
        <v>4</v>
      </c>
      <c r="F17" t="s">
        <v>35</v>
      </c>
      <c r="G17" s="10">
        <v>45678</v>
      </c>
      <c r="H17" t="s">
        <v>36</v>
      </c>
      <c r="I17" t="s">
        <v>37</v>
      </c>
      <c r="J17" t="s">
        <v>38</v>
      </c>
      <c r="K17" t="s">
        <v>98</v>
      </c>
      <c r="L17" t="s">
        <v>39</v>
      </c>
      <c r="M17">
        <v>0</v>
      </c>
      <c r="P17">
        <v>4</v>
      </c>
      <c r="Q17">
        <v>0</v>
      </c>
      <c r="S17" t="s">
        <v>40</v>
      </c>
      <c r="T17" s="10">
        <v>45671</v>
      </c>
      <c r="W17">
        <v>1</v>
      </c>
      <c r="Y17" t="s">
        <v>41</v>
      </c>
      <c r="AG17" s="12" t="s">
        <v>142</v>
      </c>
      <c r="AJ17" t="s">
        <v>177</v>
      </c>
    </row>
    <row r="18" spans="1:36" x14ac:dyDescent="0.25">
      <c r="A18">
        <v>3</v>
      </c>
      <c r="B18">
        <v>5000014683</v>
      </c>
      <c r="C18" t="s">
        <v>178</v>
      </c>
      <c r="D18">
        <v>10800213</v>
      </c>
      <c r="E18">
        <v>1</v>
      </c>
      <c r="F18" t="s">
        <v>35</v>
      </c>
      <c r="G18" s="10">
        <v>45678</v>
      </c>
      <c r="H18" t="s">
        <v>36</v>
      </c>
      <c r="I18" t="s">
        <v>37</v>
      </c>
      <c r="J18" t="s">
        <v>38</v>
      </c>
      <c r="K18" t="s">
        <v>98</v>
      </c>
      <c r="L18" t="s">
        <v>39</v>
      </c>
      <c r="M18">
        <v>0</v>
      </c>
      <c r="P18">
        <v>1</v>
      </c>
      <c r="Q18">
        <v>0</v>
      </c>
      <c r="S18" t="s">
        <v>40</v>
      </c>
      <c r="T18" s="10">
        <v>45671</v>
      </c>
      <c r="W18">
        <v>1</v>
      </c>
      <c r="Y18" t="s">
        <v>41</v>
      </c>
      <c r="AG18" s="12" t="s">
        <v>231</v>
      </c>
      <c r="AJ18" t="s">
        <v>179</v>
      </c>
    </row>
    <row r="19" spans="1:36" x14ac:dyDescent="0.25">
      <c r="A19">
        <v>1</v>
      </c>
      <c r="B19">
        <v>5000005059</v>
      </c>
      <c r="C19" t="s">
        <v>153</v>
      </c>
      <c r="D19">
        <v>10800235</v>
      </c>
      <c r="E19">
        <v>10</v>
      </c>
      <c r="F19" t="s">
        <v>93</v>
      </c>
      <c r="G19" s="10">
        <v>45679</v>
      </c>
      <c r="H19" t="s">
        <v>36</v>
      </c>
      <c r="I19" t="s">
        <v>37</v>
      </c>
      <c r="J19" t="s">
        <v>38</v>
      </c>
      <c r="K19" t="s">
        <v>98</v>
      </c>
      <c r="L19" t="s">
        <v>39</v>
      </c>
      <c r="M19">
        <v>0</v>
      </c>
      <c r="P19">
        <v>10</v>
      </c>
      <c r="Q19">
        <v>0</v>
      </c>
      <c r="S19" t="s">
        <v>40</v>
      </c>
      <c r="T19" s="10">
        <v>45672</v>
      </c>
      <c r="W19">
        <v>1</v>
      </c>
      <c r="Y19" t="s">
        <v>41</v>
      </c>
      <c r="AG19" s="12" t="s">
        <v>142</v>
      </c>
      <c r="AJ19" t="s">
        <v>180</v>
      </c>
    </row>
    <row r="20" spans="1:36" x14ac:dyDescent="0.25">
      <c r="A20">
        <v>1</v>
      </c>
      <c r="B20">
        <v>5000016541</v>
      </c>
      <c r="C20" t="s">
        <v>181</v>
      </c>
      <c r="D20">
        <v>10800271</v>
      </c>
      <c r="E20">
        <v>3</v>
      </c>
      <c r="F20" t="s">
        <v>93</v>
      </c>
      <c r="G20" s="10">
        <v>45680</v>
      </c>
      <c r="H20" t="s">
        <v>36</v>
      </c>
      <c r="I20" t="s">
        <v>37</v>
      </c>
      <c r="J20" t="s">
        <v>38</v>
      </c>
      <c r="K20" t="s">
        <v>98</v>
      </c>
      <c r="L20" t="s">
        <v>39</v>
      </c>
      <c r="M20">
        <v>0</v>
      </c>
      <c r="P20">
        <v>3</v>
      </c>
      <c r="Q20">
        <v>0</v>
      </c>
      <c r="S20" t="s">
        <v>40</v>
      </c>
      <c r="T20" s="10">
        <v>45673</v>
      </c>
      <c r="W20">
        <v>1</v>
      </c>
      <c r="Y20" t="s">
        <v>41</v>
      </c>
      <c r="AG20" s="12" t="s">
        <v>142</v>
      </c>
      <c r="AJ20" t="s">
        <v>182</v>
      </c>
    </row>
    <row r="21" spans="1:36" x14ac:dyDescent="0.25">
      <c r="A21">
        <v>1</v>
      </c>
      <c r="B21">
        <v>5000017216</v>
      </c>
      <c r="C21" t="s">
        <v>183</v>
      </c>
      <c r="D21">
        <v>10800309</v>
      </c>
      <c r="E21">
        <v>1</v>
      </c>
      <c r="F21" t="s">
        <v>35</v>
      </c>
      <c r="G21" s="10">
        <v>45682</v>
      </c>
      <c r="H21" t="s">
        <v>36</v>
      </c>
      <c r="I21" t="s">
        <v>37</v>
      </c>
      <c r="J21" t="s">
        <v>38</v>
      </c>
      <c r="K21" t="s">
        <v>98</v>
      </c>
      <c r="L21" t="s">
        <v>39</v>
      </c>
      <c r="M21">
        <v>0</v>
      </c>
      <c r="P21">
        <v>1</v>
      </c>
      <c r="Q21">
        <v>0</v>
      </c>
      <c r="S21" t="s">
        <v>40</v>
      </c>
      <c r="T21" s="10">
        <v>45675</v>
      </c>
      <c r="W21">
        <v>1</v>
      </c>
      <c r="Y21" t="s">
        <v>41</v>
      </c>
      <c r="AG21" s="12" t="s">
        <v>142</v>
      </c>
      <c r="AJ21" t="s">
        <v>184</v>
      </c>
    </row>
    <row r="22" spans="1:36" x14ac:dyDescent="0.25">
      <c r="A22">
        <v>2</v>
      </c>
      <c r="B22">
        <v>5000005059</v>
      </c>
      <c r="C22" t="s">
        <v>153</v>
      </c>
      <c r="D22">
        <v>10800309</v>
      </c>
      <c r="E22">
        <v>1</v>
      </c>
      <c r="F22" t="s">
        <v>93</v>
      </c>
      <c r="G22" s="10">
        <v>45682</v>
      </c>
      <c r="H22" t="s">
        <v>36</v>
      </c>
      <c r="I22" t="s">
        <v>37</v>
      </c>
      <c r="J22" t="s">
        <v>38</v>
      </c>
      <c r="K22" t="s">
        <v>98</v>
      </c>
      <c r="L22" t="s">
        <v>39</v>
      </c>
      <c r="M22">
        <v>0</v>
      </c>
      <c r="P22">
        <v>1</v>
      </c>
      <c r="Q22">
        <v>0</v>
      </c>
      <c r="S22" t="s">
        <v>40</v>
      </c>
      <c r="T22" s="10">
        <v>45675</v>
      </c>
      <c r="W22">
        <v>1</v>
      </c>
      <c r="Y22" t="s">
        <v>41</v>
      </c>
      <c r="AG22" s="12" t="s">
        <v>142</v>
      </c>
      <c r="AJ22" t="s">
        <v>185</v>
      </c>
    </row>
    <row r="23" spans="1:36" x14ac:dyDescent="0.25">
      <c r="A23">
        <v>3</v>
      </c>
      <c r="B23">
        <v>5000004248</v>
      </c>
      <c r="C23" t="s">
        <v>155</v>
      </c>
      <c r="D23">
        <v>10800309</v>
      </c>
      <c r="E23">
        <v>1</v>
      </c>
      <c r="F23" t="s">
        <v>93</v>
      </c>
      <c r="G23" s="10">
        <v>45682</v>
      </c>
      <c r="H23" t="s">
        <v>36</v>
      </c>
      <c r="I23" t="s">
        <v>37</v>
      </c>
      <c r="J23" t="s">
        <v>38</v>
      </c>
      <c r="K23" t="s">
        <v>98</v>
      </c>
      <c r="L23" t="s">
        <v>39</v>
      </c>
      <c r="M23">
        <v>0</v>
      </c>
      <c r="P23">
        <v>1</v>
      </c>
      <c r="Q23">
        <v>0</v>
      </c>
      <c r="S23" t="s">
        <v>40</v>
      </c>
      <c r="T23" s="10">
        <v>45675</v>
      </c>
      <c r="W23">
        <v>1</v>
      </c>
      <c r="Y23" t="s">
        <v>41</v>
      </c>
      <c r="AG23" s="12" t="s">
        <v>142</v>
      </c>
      <c r="AJ23" t="s">
        <v>186</v>
      </c>
    </row>
    <row r="24" spans="1:36" x14ac:dyDescent="0.25">
      <c r="A24">
        <v>4</v>
      </c>
      <c r="B24">
        <v>5000016308</v>
      </c>
      <c r="C24" t="s">
        <v>143</v>
      </c>
      <c r="D24">
        <v>10800309</v>
      </c>
      <c r="E24">
        <v>1</v>
      </c>
      <c r="F24" t="s">
        <v>35</v>
      </c>
      <c r="G24" s="10">
        <v>45682</v>
      </c>
      <c r="H24" t="s">
        <v>36</v>
      </c>
      <c r="I24" t="s">
        <v>37</v>
      </c>
      <c r="J24" t="s">
        <v>38</v>
      </c>
      <c r="K24" t="s">
        <v>98</v>
      </c>
      <c r="L24" t="s">
        <v>39</v>
      </c>
      <c r="M24">
        <v>0</v>
      </c>
      <c r="P24">
        <v>1</v>
      </c>
      <c r="Q24">
        <v>0</v>
      </c>
      <c r="S24" t="s">
        <v>40</v>
      </c>
      <c r="T24" s="10">
        <v>45675</v>
      </c>
      <c r="W24">
        <v>1</v>
      </c>
      <c r="Y24" t="s">
        <v>41</v>
      </c>
      <c r="AG24" s="12" t="s">
        <v>142</v>
      </c>
      <c r="AJ24" t="s">
        <v>187</v>
      </c>
    </row>
    <row r="25" spans="1:36" x14ac:dyDescent="0.25">
      <c r="A25">
        <v>5</v>
      </c>
      <c r="B25">
        <v>5000012021</v>
      </c>
      <c r="C25" t="s">
        <v>188</v>
      </c>
      <c r="D25">
        <v>10800309</v>
      </c>
      <c r="E25">
        <v>1</v>
      </c>
      <c r="F25" t="s">
        <v>93</v>
      </c>
      <c r="G25" s="10">
        <v>45682</v>
      </c>
      <c r="H25" t="s">
        <v>36</v>
      </c>
      <c r="I25" t="s">
        <v>37</v>
      </c>
      <c r="J25" t="s">
        <v>38</v>
      </c>
      <c r="K25" t="s">
        <v>98</v>
      </c>
      <c r="L25" t="s">
        <v>39</v>
      </c>
      <c r="M25">
        <v>0</v>
      </c>
      <c r="P25">
        <v>1</v>
      </c>
      <c r="Q25">
        <v>0</v>
      </c>
      <c r="S25" t="s">
        <v>40</v>
      </c>
      <c r="T25" s="10">
        <v>45675</v>
      </c>
      <c r="W25">
        <v>1</v>
      </c>
      <c r="Y25" t="s">
        <v>41</v>
      </c>
      <c r="AG25" s="12" t="s">
        <v>142</v>
      </c>
      <c r="AJ25" t="s">
        <v>189</v>
      </c>
    </row>
    <row r="26" spans="1:36" x14ac:dyDescent="0.25">
      <c r="A26">
        <v>6</v>
      </c>
      <c r="B26">
        <v>5000011754</v>
      </c>
      <c r="C26" t="s">
        <v>99</v>
      </c>
      <c r="D26">
        <v>10800309</v>
      </c>
      <c r="E26">
        <v>2</v>
      </c>
      <c r="F26" t="s">
        <v>93</v>
      </c>
      <c r="G26" s="10">
        <v>45682</v>
      </c>
      <c r="H26" t="s">
        <v>36</v>
      </c>
      <c r="I26" t="s">
        <v>37</v>
      </c>
      <c r="J26" t="s">
        <v>38</v>
      </c>
      <c r="K26" t="s">
        <v>98</v>
      </c>
      <c r="L26" t="s">
        <v>39</v>
      </c>
      <c r="M26">
        <v>0</v>
      </c>
      <c r="P26">
        <v>2</v>
      </c>
      <c r="Q26">
        <v>0</v>
      </c>
      <c r="S26" t="s">
        <v>40</v>
      </c>
      <c r="T26" s="10">
        <v>45675</v>
      </c>
      <c r="W26">
        <v>1</v>
      </c>
      <c r="Y26" t="s">
        <v>41</v>
      </c>
      <c r="AG26" s="12" t="s">
        <v>142</v>
      </c>
      <c r="AJ26" t="s">
        <v>190</v>
      </c>
    </row>
    <row r="27" spans="1:36" x14ac:dyDescent="0.25">
      <c r="A27">
        <v>7</v>
      </c>
      <c r="B27">
        <v>5000016185</v>
      </c>
      <c r="C27" t="s">
        <v>191</v>
      </c>
      <c r="D27">
        <v>10800309</v>
      </c>
      <c r="E27">
        <v>1</v>
      </c>
      <c r="F27" t="s">
        <v>93</v>
      </c>
      <c r="G27" s="10">
        <v>45682</v>
      </c>
      <c r="H27" t="s">
        <v>160</v>
      </c>
      <c r="I27" t="s">
        <v>37</v>
      </c>
      <c r="J27" t="s">
        <v>38</v>
      </c>
      <c r="K27" t="s">
        <v>98</v>
      </c>
      <c r="L27" t="s">
        <v>39</v>
      </c>
      <c r="M27">
        <v>0</v>
      </c>
      <c r="P27">
        <v>1</v>
      </c>
      <c r="Q27">
        <v>0</v>
      </c>
      <c r="S27" t="s">
        <v>40</v>
      </c>
      <c r="T27" s="10">
        <v>45675</v>
      </c>
      <c r="W27">
        <v>1</v>
      </c>
      <c r="Y27" t="s">
        <v>41</v>
      </c>
      <c r="AG27" s="12" t="s">
        <v>142</v>
      </c>
      <c r="AJ27" t="s">
        <v>192</v>
      </c>
    </row>
    <row r="28" spans="1:36" x14ac:dyDescent="0.25">
      <c r="A28">
        <v>1</v>
      </c>
      <c r="B28">
        <v>5000009128</v>
      </c>
      <c r="C28" t="s">
        <v>194</v>
      </c>
      <c r="D28">
        <v>10800371</v>
      </c>
      <c r="E28">
        <v>5</v>
      </c>
      <c r="F28" t="s">
        <v>93</v>
      </c>
      <c r="G28" s="10">
        <v>45686</v>
      </c>
      <c r="H28" t="s">
        <v>36</v>
      </c>
      <c r="I28" t="s">
        <v>37</v>
      </c>
      <c r="J28" t="s">
        <v>38</v>
      </c>
      <c r="K28" t="s">
        <v>98</v>
      </c>
      <c r="L28" t="s">
        <v>39</v>
      </c>
      <c r="M28">
        <v>0</v>
      </c>
      <c r="P28">
        <v>5</v>
      </c>
      <c r="Q28">
        <v>0</v>
      </c>
      <c r="S28" t="s">
        <v>40</v>
      </c>
      <c r="T28" s="10">
        <v>45679</v>
      </c>
      <c r="W28">
        <v>1</v>
      </c>
      <c r="Y28" t="s">
        <v>41</v>
      </c>
      <c r="AG28" t="s">
        <v>142</v>
      </c>
      <c r="AJ28" t="s">
        <v>195</v>
      </c>
    </row>
    <row r="29" spans="1:36" x14ac:dyDescent="0.25">
      <c r="A29">
        <v>2</v>
      </c>
      <c r="B29">
        <v>5000005340</v>
      </c>
      <c r="C29" t="s">
        <v>199</v>
      </c>
      <c r="D29">
        <v>10800371</v>
      </c>
      <c r="E29">
        <v>2</v>
      </c>
      <c r="F29" t="s">
        <v>35</v>
      </c>
      <c r="G29" s="10">
        <v>45686</v>
      </c>
      <c r="H29" t="s">
        <v>36</v>
      </c>
      <c r="I29" t="s">
        <v>37</v>
      </c>
      <c r="J29" t="s">
        <v>38</v>
      </c>
      <c r="K29" t="s">
        <v>98</v>
      </c>
      <c r="L29" t="s">
        <v>39</v>
      </c>
      <c r="M29">
        <v>0</v>
      </c>
      <c r="P29">
        <v>2</v>
      </c>
      <c r="Q29">
        <v>0</v>
      </c>
      <c r="S29" t="s">
        <v>40</v>
      </c>
      <c r="T29" s="10">
        <v>45679</v>
      </c>
      <c r="W29">
        <v>1</v>
      </c>
      <c r="Y29" t="s">
        <v>41</v>
      </c>
      <c r="AG29" t="s">
        <v>142</v>
      </c>
      <c r="AJ29" t="s">
        <v>200</v>
      </c>
    </row>
    <row r="30" spans="1:36" x14ac:dyDescent="0.25">
      <c r="A30">
        <v>3</v>
      </c>
      <c r="B30">
        <v>5000014667</v>
      </c>
      <c r="C30" t="s">
        <v>230</v>
      </c>
      <c r="D30">
        <v>10800371</v>
      </c>
      <c r="E30">
        <v>1</v>
      </c>
      <c r="F30" t="s">
        <v>35</v>
      </c>
      <c r="G30" s="10">
        <v>45686</v>
      </c>
      <c r="H30" t="s">
        <v>36</v>
      </c>
      <c r="I30" t="s">
        <v>37</v>
      </c>
      <c r="J30" t="s">
        <v>38</v>
      </c>
      <c r="K30" t="s">
        <v>98</v>
      </c>
      <c r="L30" t="s">
        <v>39</v>
      </c>
      <c r="M30">
        <v>0</v>
      </c>
      <c r="P30">
        <v>1</v>
      </c>
      <c r="Q30">
        <v>0</v>
      </c>
      <c r="S30" t="s">
        <v>40</v>
      </c>
      <c r="T30" s="10">
        <v>45679</v>
      </c>
      <c r="W30">
        <v>1</v>
      </c>
      <c r="Y30" t="s">
        <v>41</v>
      </c>
      <c r="AG30" t="s">
        <v>142</v>
      </c>
      <c r="AJ30" t="s">
        <v>201</v>
      </c>
    </row>
    <row r="31" spans="1:36" x14ac:dyDescent="0.25">
      <c r="A31">
        <v>1</v>
      </c>
      <c r="B31">
        <v>5000016428</v>
      </c>
      <c r="C31" t="s">
        <v>157</v>
      </c>
      <c r="D31">
        <v>10800429</v>
      </c>
      <c r="E31">
        <v>1</v>
      </c>
      <c r="F31" t="s">
        <v>35</v>
      </c>
      <c r="G31" s="10">
        <v>45688</v>
      </c>
      <c r="H31" t="s">
        <v>36</v>
      </c>
      <c r="I31" t="s">
        <v>37</v>
      </c>
      <c r="J31" t="s">
        <v>38</v>
      </c>
      <c r="K31" t="s">
        <v>98</v>
      </c>
      <c r="L31" t="s">
        <v>39</v>
      </c>
      <c r="M31">
        <v>0</v>
      </c>
      <c r="P31">
        <v>1</v>
      </c>
      <c r="Q31">
        <v>0</v>
      </c>
      <c r="S31" t="s">
        <v>40</v>
      </c>
      <c r="T31" s="10">
        <v>45681</v>
      </c>
      <c r="W31">
        <v>1</v>
      </c>
      <c r="Y31" t="s">
        <v>41</v>
      </c>
      <c r="AG31" t="s">
        <v>142</v>
      </c>
      <c r="AJ31" t="s">
        <v>202</v>
      </c>
    </row>
    <row r="32" spans="1:36" x14ac:dyDescent="0.25">
      <c r="A32">
        <v>2</v>
      </c>
      <c r="B32">
        <v>5000016930</v>
      </c>
      <c r="C32" t="s">
        <v>203</v>
      </c>
      <c r="D32">
        <v>10800429</v>
      </c>
      <c r="E32">
        <v>2</v>
      </c>
      <c r="F32" t="s">
        <v>93</v>
      </c>
      <c r="G32" s="10">
        <v>45688</v>
      </c>
      <c r="H32" t="s">
        <v>36</v>
      </c>
      <c r="I32" t="s">
        <v>37</v>
      </c>
      <c r="J32" t="s">
        <v>38</v>
      </c>
      <c r="K32" t="s">
        <v>98</v>
      </c>
      <c r="L32" t="s">
        <v>39</v>
      </c>
      <c r="M32">
        <v>0</v>
      </c>
      <c r="P32">
        <v>2</v>
      </c>
      <c r="Q32">
        <v>0</v>
      </c>
      <c r="S32" t="s">
        <v>40</v>
      </c>
      <c r="T32" s="10">
        <v>45681</v>
      </c>
      <c r="W32">
        <v>1</v>
      </c>
      <c r="Y32" t="s">
        <v>41</v>
      </c>
      <c r="AG32" t="s">
        <v>142</v>
      </c>
      <c r="AJ32" t="s">
        <v>229</v>
      </c>
    </row>
    <row r="33" spans="1:36" x14ac:dyDescent="0.25">
      <c r="A33">
        <v>3</v>
      </c>
      <c r="B33">
        <v>5000014904</v>
      </c>
      <c r="C33" t="s">
        <v>204</v>
      </c>
      <c r="D33">
        <v>10800429</v>
      </c>
      <c r="E33">
        <v>1</v>
      </c>
      <c r="F33" t="s">
        <v>35</v>
      </c>
      <c r="G33" s="10">
        <v>45689</v>
      </c>
      <c r="H33" t="s">
        <v>36</v>
      </c>
      <c r="I33" t="s">
        <v>37</v>
      </c>
      <c r="J33" t="s">
        <v>38</v>
      </c>
      <c r="K33" t="s">
        <v>98</v>
      </c>
      <c r="L33" t="s">
        <v>39</v>
      </c>
      <c r="M33">
        <v>0</v>
      </c>
      <c r="P33">
        <v>1</v>
      </c>
      <c r="Q33">
        <v>0</v>
      </c>
      <c r="S33" t="s">
        <v>40</v>
      </c>
      <c r="T33" s="10">
        <v>45682</v>
      </c>
      <c r="W33">
        <v>1</v>
      </c>
      <c r="Y33" t="s">
        <v>41</v>
      </c>
      <c r="AG33" t="s">
        <v>142</v>
      </c>
      <c r="AJ33" t="s">
        <v>205</v>
      </c>
    </row>
    <row r="34" spans="1:36" x14ac:dyDescent="0.25">
      <c r="A34">
        <v>4</v>
      </c>
      <c r="B34">
        <v>5000005059</v>
      </c>
      <c r="C34" t="s">
        <v>153</v>
      </c>
      <c r="D34">
        <v>10800429</v>
      </c>
      <c r="E34">
        <v>1</v>
      </c>
      <c r="F34" t="s">
        <v>93</v>
      </c>
      <c r="G34" s="10">
        <v>45689</v>
      </c>
      <c r="H34" t="s">
        <v>36</v>
      </c>
      <c r="I34" t="s">
        <v>37</v>
      </c>
      <c r="J34" t="s">
        <v>38</v>
      </c>
      <c r="K34" t="s">
        <v>98</v>
      </c>
      <c r="L34" t="s">
        <v>39</v>
      </c>
      <c r="M34">
        <v>0</v>
      </c>
      <c r="P34">
        <v>1</v>
      </c>
      <c r="Q34">
        <v>0</v>
      </c>
      <c r="S34" t="s">
        <v>40</v>
      </c>
      <c r="T34" s="10">
        <v>45682</v>
      </c>
      <c r="W34">
        <v>1</v>
      </c>
      <c r="Y34" t="s">
        <v>41</v>
      </c>
      <c r="AG34" t="s">
        <v>142</v>
      </c>
      <c r="AJ34" t="s">
        <v>206</v>
      </c>
    </row>
    <row r="35" spans="1:36" x14ac:dyDescent="0.25">
      <c r="A35">
        <v>1</v>
      </c>
      <c r="B35">
        <v>5000008843</v>
      </c>
      <c r="C35" t="s">
        <v>150</v>
      </c>
      <c r="D35">
        <v>10800450</v>
      </c>
      <c r="E35">
        <v>1</v>
      </c>
      <c r="F35" t="s">
        <v>35</v>
      </c>
      <c r="G35" s="10">
        <v>45689</v>
      </c>
      <c r="H35" t="s">
        <v>36</v>
      </c>
      <c r="I35" t="s">
        <v>37</v>
      </c>
      <c r="J35" t="s">
        <v>38</v>
      </c>
      <c r="K35" t="s">
        <v>98</v>
      </c>
      <c r="L35" t="s">
        <v>39</v>
      </c>
      <c r="M35">
        <v>0</v>
      </c>
      <c r="P35">
        <v>1</v>
      </c>
      <c r="Q35">
        <v>0</v>
      </c>
      <c r="S35" t="s">
        <v>40</v>
      </c>
      <c r="T35" s="10">
        <v>45682</v>
      </c>
      <c r="W35">
        <v>1</v>
      </c>
      <c r="Y35" t="s">
        <v>41</v>
      </c>
      <c r="AG35" t="s">
        <v>142</v>
      </c>
      <c r="AJ35" t="s">
        <v>207</v>
      </c>
    </row>
    <row r="36" spans="1:36" x14ac:dyDescent="0.25">
      <c r="A36">
        <v>2</v>
      </c>
      <c r="B36">
        <v>5000005059</v>
      </c>
      <c r="C36" t="s">
        <v>153</v>
      </c>
      <c r="D36">
        <v>10800450</v>
      </c>
      <c r="E36">
        <v>1</v>
      </c>
      <c r="F36" t="s">
        <v>93</v>
      </c>
      <c r="G36" s="10">
        <v>45689</v>
      </c>
      <c r="H36" t="s">
        <v>36</v>
      </c>
      <c r="I36" t="s">
        <v>37</v>
      </c>
      <c r="J36" t="s">
        <v>38</v>
      </c>
      <c r="K36" t="s">
        <v>98</v>
      </c>
      <c r="L36" t="s">
        <v>39</v>
      </c>
      <c r="M36">
        <v>0</v>
      </c>
      <c r="P36">
        <v>1</v>
      </c>
      <c r="Q36">
        <v>0</v>
      </c>
      <c r="S36" t="s">
        <v>40</v>
      </c>
      <c r="T36" s="10">
        <v>45682</v>
      </c>
      <c r="W36">
        <v>1</v>
      </c>
      <c r="Y36" t="s">
        <v>41</v>
      </c>
      <c r="AG36" t="s">
        <v>142</v>
      </c>
      <c r="AJ36" t="s">
        <v>208</v>
      </c>
    </row>
    <row r="37" spans="1:36" x14ac:dyDescent="0.25">
      <c r="A37">
        <v>3</v>
      </c>
      <c r="B37">
        <v>5000004248</v>
      </c>
      <c r="C37" t="s">
        <v>155</v>
      </c>
      <c r="D37">
        <v>10800450</v>
      </c>
      <c r="E37">
        <v>3</v>
      </c>
      <c r="F37" t="s">
        <v>93</v>
      </c>
      <c r="G37" s="10">
        <v>45689</v>
      </c>
      <c r="H37" t="s">
        <v>36</v>
      </c>
      <c r="I37" t="s">
        <v>37</v>
      </c>
      <c r="J37" t="s">
        <v>38</v>
      </c>
      <c r="K37" t="s">
        <v>98</v>
      </c>
      <c r="L37" t="s">
        <v>39</v>
      </c>
      <c r="M37">
        <v>0</v>
      </c>
      <c r="P37">
        <v>3</v>
      </c>
      <c r="Q37">
        <v>0</v>
      </c>
      <c r="S37" t="s">
        <v>40</v>
      </c>
      <c r="T37" s="10">
        <v>45682</v>
      </c>
      <c r="W37">
        <v>1</v>
      </c>
      <c r="Y37" t="s">
        <v>41</v>
      </c>
      <c r="AG37" t="s">
        <v>142</v>
      </c>
      <c r="AJ37" t="s">
        <v>209</v>
      </c>
    </row>
    <row r="38" spans="1:36" x14ac:dyDescent="0.25">
      <c r="A38">
        <v>4</v>
      </c>
      <c r="B38">
        <v>5000016308</v>
      </c>
      <c r="C38" t="s">
        <v>143</v>
      </c>
      <c r="D38">
        <v>10800450</v>
      </c>
      <c r="E38">
        <v>1</v>
      </c>
      <c r="F38" t="s">
        <v>35</v>
      </c>
      <c r="G38" s="10">
        <v>45689</v>
      </c>
      <c r="H38" t="s">
        <v>36</v>
      </c>
      <c r="I38" t="s">
        <v>37</v>
      </c>
      <c r="J38" t="s">
        <v>38</v>
      </c>
      <c r="K38" t="s">
        <v>98</v>
      </c>
      <c r="L38" t="s">
        <v>39</v>
      </c>
      <c r="M38">
        <v>0</v>
      </c>
      <c r="P38">
        <v>1</v>
      </c>
      <c r="Q38">
        <v>0</v>
      </c>
      <c r="S38" t="s">
        <v>40</v>
      </c>
      <c r="T38" s="10">
        <v>45682</v>
      </c>
      <c r="W38">
        <v>1</v>
      </c>
      <c r="Y38" t="s">
        <v>41</v>
      </c>
      <c r="AG38" t="s">
        <v>142</v>
      </c>
      <c r="AJ38" t="s">
        <v>210</v>
      </c>
    </row>
    <row r="39" spans="1:36" x14ac:dyDescent="0.25">
      <c r="A39">
        <v>5</v>
      </c>
      <c r="B39">
        <v>5000012021</v>
      </c>
      <c r="C39" t="s">
        <v>188</v>
      </c>
      <c r="D39">
        <v>10800450</v>
      </c>
      <c r="E39">
        <v>1</v>
      </c>
      <c r="F39" t="s">
        <v>93</v>
      </c>
      <c r="G39" s="10">
        <v>45689</v>
      </c>
      <c r="H39" t="s">
        <v>36</v>
      </c>
      <c r="I39" t="s">
        <v>37</v>
      </c>
      <c r="J39" t="s">
        <v>38</v>
      </c>
      <c r="K39" t="s">
        <v>98</v>
      </c>
      <c r="L39" t="s">
        <v>39</v>
      </c>
      <c r="M39">
        <v>0</v>
      </c>
      <c r="P39">
        <v>1</v>
      </c>
      <c r="Q39">
        <v>0</v>
      </c>
      <c r="S39" t="s">
        <v>40</v>
      </c>
      <c r="T39" s="10">
        <v>45682</v>
      </c>
      <c r="W39">
        <v>1</v>
      </c>
      <c r="Y39" t="s">
        <v>41</v>
      </c>
      <c r="AG39" t="s">
        <v>142</v>
      </c>
      <c r="AJ39" t="s">
        <v>211</v>
      </c>
    </row>
    <row r="40" spans="1:36" x14ac:dyDescent="0.25">
      <c r="A40">
        <v>1</v>
      </c>
      <c r="B40">
        <v>5000016671</v>
      </c>
      <c r="C40" t="s">
        <v>216</v>
      </c>
      <c r="D40">
        <v>10800464</v>
      </c>
      <c r="E40">
        <v>2</v>
      </c>
      <c r="F40" t="s">
        <v>93</v>
      </c>
      <c r="G40" s="10">
        <v>45691</v>
      </c>
      <c r="H40" t="s">
        <v>36</v>
      </c>
      <c r="I40" t="s">
        <v>37</v>
      </c>
      <c r="J40" t="s">
        <v>38</v>
      </c>
      <c r="K40" t="s">
        <v>98</v>
      </c>
      <c r="L40" t="s">
        <v>39</v>
      </c>
      <c r="M40">
        <v>0</v>
      </c>
      <c r="P40">
        <v>2</v>
      </c>
      <c r="Q40">
        <v>0</v>
      </c>
      <c r="S40" t="s">
        <v>40</v>
      </c>
      <c r="T40" s="10">
        <v>45684</v>
      </c>
      <c r="W40">
        <v>1</v>
      </c>
      <c r="Y40" t="s">
        <v>41</v>
      </c>
      <c r="AG40" t="s">
        <v>142</v>
      </c>
      <c r="AJ40" t="s">
        <v>217</v>
      </c>
    </row>
    <row r="41" spans="1:36" x14ac:dyDescent="0.25">
      <c r="A41">
        <v>2</v>
      </c>
      <c r="B41">
        <v>5000017105</v>
      </c>
      <c r="C41" t="s">
        <v>218</v>
      </c>
      <c r="D41">
        <v>10800464</v>
      </c>
      <c r="E41">
        <v>3</v>
      </c>
      <c r="F41" t="s">
        <v>35</v>
      </c>
      <c r="G41" s="10">
        <v>45691</v>
      </c>
      <c r="H41" t="s">
        <v>36</v>
      </c>
      <c r="I41" t="s">
        <v>37</v>
      </c>
      <c r="J41" t="s">
        <v>38</v>
      </c>
      <c r="K41" t="s">
        <v>98</v>
      </c>
      <c r="L41" t="s">
        <v>39</v>
      </c>
      <c r="M41">
        <v>0</v>
      </c>
      <c r="P41">
        <v>3</v>
      </c>
      <c r="Q41">
        <v>0</v>
      </c>
      <c r="S41" t="s">
        <v>40</v>
      </c>
      <c r="T41" s="10">
        <v>45684</v>
      </c>
      <c r="W41">
        <v>1</v>
      </c>
      <c r="Y41" t="s">
        <v>41</v>
      </c>
      <c r="AG41" t="s">
        <v>142</v>
      </c>
      <c r="AJ41" t="s">
        <v>219</v>
      </c>
    </row>
    <row r="42" spans="1:36" x14ac:dyDescent="0.25">
      <c r="A42">
        <v>1</v>
      </c>
      <c r="B42">
        <v>5000015480</v>
      </c>
      <c r="C42" t="s">
        <v>220</v>
      </c>
      <c r="D42">
        <v>10800494</v>
      </c>
      <c r="E42">
        <v>1</v>
      </c>
      <c r="F42" t="s">
        <v>93</v>
      </c>
      <c r="G42" s="10">
        <v>45692</v>
      </c>
      <c r="H42" t="s">
        <v>36</v>
      </c>
      <c r="I42" t="s">
        <v>37</v>
      </c>
      <c r="J42" t="s">
        <v>38</v>
      </c>
      <c r="K42" t="s">
        <v>98</v>
      </c>
      <c r="L42" t="s">
        <v>39</v>
      </c>
      <c r="M42">
        <v>0</v>
      </c>
      <c r="P42">
        <v>1</v>
      </c>
      <c r="Q42">
        <v>0</v>
      </c>
      <c r="S42" t="s">
        <v>40</v>
      </c>
      <c r="T42" s="10">
        <v>45685</v>
      </c>
      <c r="W42">
        <v>1</v>
      </c>
      <c r="Y42" t="s">
        <v>41</v>
      </c>
      <c r="AG42" t="s">
        <v>142</v>
      </c>
      <c r="AJ42" t="s">
        <v>221</v>
      </c>
    </row>
    <row r="43" spans="1:36" x14ac:dyDescent="0.25">
      <c r="A43">
        <v>1</v>
      </c>
      <c r="B43">
        <v>5000008843</v>
      </c>
      <c r="C43" t="s">
        <v>150</v>
      </c>
      <c r="D43">
        <v>10800537</v>
      </c>
      <c r="E43">
        <v>1</v>
      </c>
      <c r="F43" t="s">
        <v>35</v>
      </c>
      <c r="G43" s="10">
        <v>45695</v>
      </c>
      <c r="H43" t="s">
        <v>36</v>
      </c>
      <c r="I43" t="s">
        <v>37</v>
      </c>
      <c r="J43" t="s">
        <v>38</v>
      </c>
      <c r="K43" t="s">
        <v>98</v>
      </c>
      <c r="L43" t="s">
        <v>39</v>
      </c>
      <c r="M43">
        <v>0</v>
      </c>
      <c r="P43">
        <v>1</v>
      </c>
      <c r="Q43">
        <v>0</v>
      </c>
      <c r="S43" t="s">
        <v>40</v>
      </c>
      <c r="T43" s="10">
        <v>45688</v>
      </c>
      <c r="W43">
        <v>1</v>
      </c>
      <c r="Y43" t="s">
        <v>41</v>
      </c>
      <c r="AG43" t="s">
        <v>142</v>
      </c>
      <c r="AJ43" t="s">
        <v>222</v>
      </c>
    </row>
    <row r="44" spans="1:36" x14ac:dyDescent="0.25">
      <c r="A44">
        <v>2</v>
      </c>
      <c r="B44">
        <v>5000016308</v>
      </c>
      <c r="C44" t="s">
        <v>143</v>
      </c>
      <c r="D44">
        <v>10800537</v>
      </c>
      <c r="E44">
        <v>1</v>
      </c>
      <c r="F44" t="s">
        <v>35</v>
      </c>
      <c r="G44" s="10">
        <v>45695</v>
      </c>
      <c r="H44" t="s">
        <v>36</v>
      </c>
      <c r="I44" t="s">
        <v>37</v>
      </c>
      <c r="J44" t="s">
        <v>38</v>
      </c>
      <c r="K44" t="s">
        <v>98</v>
      </c>
      <c r="L44" t="s">
        <v>39</v>
      </c>
      <c r="M44">
        <v>0</v>
      </c>
      <c r="P44">
        <v>1</v>
      </c>
      <c r="Q44">
        <v>0</v>
      </c>
      <c r="S44" t="s">
        <v>40</v>
      </c>
      <c r="T44" s="10">
        <v>45688</v>
      </c>
      <c r="W44">
        <v>1</v>
      </c>
      <c r="Y44" t="s">
        <v>41</v>
      </c>
      <c r="AG44" t="s">
        <v>142</v>
      </c>
      <c r="AJ44" t="s">
        <v>223</v>
      </c>
    </row>
    <row r="45" spans="1:36" x14ac:dyDescent="0.25">
      <c r="A45">
        <v>3</v>
      </c>
      <c r="B45">
        <v>5000005059</v>
      </c>
      <c r="C45" t="s">
        <v>153</v>
      </c>
      <c r="D45">
        <v>10800537</v>
      </c>
      <c r="E45">
        <v>1</v>
      </c>
      <c r="F45" t="s">
        <v>93</v>
      </c>
      <c r="G45" s="10">
        <v>45695</v>
      </c>
      <c r="H45" t="s">
        <v>36</v>
      </c>
      <c r="I45" t="s">
        <v>37</v>
      </c>
      <c r="J45" t="s">
        <v>38</v>
      </c>
      <c r="K45" t="s">
        <v>98</v>
      </c>
      <c r="L45" t="s">
        <v>39</v>
      </c>
      <c r="M45">
        <v>0</v>
      </c>
      <c r="P45">
        <v>1</v>
      </c>
      <c r="Q45">
        <v>0</v>
      </c>
      <c r="S45" t="s">
        <v>40</v>
      </c>
      <c r="T45" s="10">
        <v>45688</v>
      </c>
      <c r="W45">
        <v>1</v>
      </c>
      <c r="Y45" t="s">
        <v>41</v>
      </c>
      <c r="AG45" t="s">
        <v>142</v>
      </c>
      <c r="AJ45" t="s">
        <v>224</v>
      </c>
    </row>
    <row r="46" spans="1:36" x14ac:dyDescent="0.25">
      <c r="A46">
        <v>4</v>
      </c>
      <c r="B46">
        <v>5000004248</v>
      </c>
      <c r="C46" t="s">
        <v>155</v>
      </c>
      <c r="D46">
        <v>10800537</v>
      </c>
      <c r="E46">
        <v>3</v>
      </c>
      <c r="F46" t="s">
        <v>93</v>
      </c>
      <c r="G46" s="10">
        <v>45695</v>
      </c>
      <c r="H46" t="s">
        <v>36</v>
      </c>
      <c r="I46" t="s">
        <v>37</v>
      </c>
      <c r="J46" t="s">
        <v>38</v>
      </c>
      <c r="K46" t="s">
        <v>98</v>
      </c>
      <c r="L46" t="s">
        <v>39</v>
      </c>
      <c r="M46">
        <v>0</v>
      </c>
      <c r="P46">
        <v>3</v>
      </c>
      <c r="Q46">
        <v>0</v>
      </c>
      <c r="S46" t="s">
        <v>40</v>
      </c>
      <c r="T46" s="10">
        <v>45688</v>
      </c>
      <c r="W46">
        <v>1</v>
      </c>
      <c r="Y46" t="s">
        <v>41</v>
      </c>
      <c r="AG46" t="s">
        <v>142</v>
      </c>
      <c r="AJ46" t="s">
        <v>225</v>
      </c>
    </row>
    <row r="47" spans="1:36" x14ac:dyDescent="0.25">
      <c r="A47">
        <v>5</v>
      </c>
      <c r="B47">
        <v>5000012021</v>
      </c>
      <c r="C47" t="s">
        <v>188</v>
      </c>
      <c r="D47">
        <v>10800537</v>
      </c>
      <c r="E47">
        <v>1</v>
      </c>
      <c r="F47" t="s">
        <v>93</v>
      </c>
      <c r="G47" s="10">
        <v>45695</v>
      </c>
      <c r="H47" t="s">
        <v>36</v>
      </c>
      <c r="I47" t="s">
        <v>37</v>
      </c>
      <c r="J47" t="s">
        <v>38</v>
      </c>
      <c r="K47" t="s">
        <v>98</v>
      </c>
      <c r="L47" t="s">
        <v>39</v>
      </c>
      <c r="M47">
        <v>0</v>
      </c>
      <c r="P47">
        <v>1</v>
      </c>
      <c r="Q47">
        <v>0</v>
      </c>
      <c r="S47" t="s">
        <v>40</v>
      </c>
      <c r="T47" s="10">
        <v>45688</v>
      </c>
      <c r="W47">
        <v>1</v>
      </c>
      <c r="Y47" t="s">
        <v>41</v>
      </c>
      <c r="AG47" t="s">
        <v>142</v>
      </c>
      <c r="AJ47" t="s">
        <v>226</v>
      </c>
    </row>
    <row r="48" spans="1:36" x14ac:dyDescent="0.25">
      <c r="A48">
        <v>6</v>
      </c>
      <c r="B48">
        <v>5000017624</v>
      </c>
      <c r="C48" t="s">
        <v>227</v>
      </c>
      <c r="D48">
        <v>10800537</v>
      </c>
      <c r="E48">
        <v>2</v>
      </c>
      <c r="F48" t="s">
        <v>35</v>
      </c>
      <c r="G48" s="10">
        <v>45695</v>
      </c>
      <c r="H48" t="s">
        <v>36</v>
      </c>
      <c r="I48" t="s">
        <v>37</v>
      </c>
      <c r="J48" t="s">
        <v>38</v>
      </c>
      <c r="K48" t="s">
        <v>98</v>
      </c>
      <c r="L48" t="s">
        <v>39</v>
      </c>
      <c r="M48">
        <v>0</v>
      </c>
      <c r="P48">
        <v>2</v>
      </c>
      <c r="Q48">
        <v>0</v>
      </c>
      <c r="S48" t="s">
        <v>40</v>
      </c>
      <c r="T48" s="10">
        <v>45688</v>
      </c>
      <c r="W48">
        <v>1</v>
      </c>
      <c r="Y48" t="s">
        <v>41</v>
      </c>
      <c r="AG48" t="s">
        <v>142</v>
      </c>
      <c r="AJ48" t="s">
        <v>228</v>
      </c>
    </row>
    <row r="49" spans="1:36" x14ac:dyDescent="0.25">
      <c r="A49">
        <v>1</v>
      </c>
      <c r="B49">
        <v>5000016409</v>
      </c>
      <c r="C49" t="s">
        <v>232</v>
      </c>
      <c r="D49">
        <v>10800635</v>
      </c>
      <c r="E49">
        <v>1</v>
      </c>
      <c r="F49" t="s">
        <v>35</v>
      </c>
      <c r="G49" s="10">
        <v>45701</v>
      </c>
      <c r="H49" t="s">
        <v>36</v>
      </c>
      <c r="I49" t="s">
        <v>37</v>
      </c>
      <c r="J49" t="s">
        <v>38</v>
      </c>
      <c r="K49" t="s">
        <v>98</v>
      </c>
      <c r="L49" t="s">
        <v>39</v>
      </c>
      <c r="M49">
        <v>0</v>
      </c>
      <c r="P49">
        <v>1</v>
      </c>
      <c r="Q49">
        <v>0</v>
      </c>
      <c r="S49" t="s">
        <v>40</v>
      </c>
      <c r="T49" s="10">
        <v>45694</v>
      </c>
      <c r="W49">
        <v>1</v>
      </c>
      <c r="Y49" t="s">
        <v>41</v>
      </c>
      <c r="AG49" t="s">
        <v>142</v>
      </c>
      <c r="AJ49" t="s">
        <v>233</v>
      </c>
    </row>
    <row r="50" spans="1:36" x14ac:dyDescent="0.25">
      <c r="A50">
        <v>1</v>
      </c>
      <c r="B50">
        <v>5000008843</v>
      </c>
      <c r="C50" t="s">
        <v>150</v>
      </c>
      <c r="D50">
        <v>10800655</v>
      </c>
      <c r="E50">
        <v>1</v>
      </c>
      <c r="F50" t="s">
        <v>35</v>
      </c>
      <c r="G50" s="10">
        <v>45702</v>
      </c>
      <c r="H50" t="s">
        <v>36</v>
      </c>
      <c r="I50" t="s">
        <v>37</v>
      </c>
      <c r="J50" t="s">
        <v>38</v>
      </c>
      <c r="K50" t="s">
        <v>98</v>
      </c>
      <c r="L50" t="s">
        <v>39</v>
      </c>
      <c r="M50">
        <v>0</v>
      </c>
      <c r="P50">
        <v>1</v>
      </c>
      <c r="Q50">
        <v>0</v>
      </c>
      <c r="S50" t="s">
        <v>40</v>
      </c>
      <c r="T50" s="10">
        <v>45695</v>
      </c>
      <c r="W50">
        <v>1</v>
      </c>
      <c r="Y50" t="s">
        <v>41</v>
      </c>
      <c r="AG50" t="s">
        <v>142</v>
      </c>
      <c r="AJ50" t="s">
        <v>234</v>
      </c>
    </row>
    <row r="51" spans="1:36" x14ac:dyDescent="0.25">
      <c r="A51">
        <v>2</v>
      </c>
      <c r="B51">
        <v>5000016308</v>
      </c>
      <c r="C51" t="s">
        <v>143</v>
      </c>
      <c r="D51">
        <v>10800655</v>
      </c>
      <c r="E51">
        <v>1</v>
      </c>
      <c r="F51" t="s">
        <v>35</v>
      </c>
      <c r="G51" s="10">
        <v>45702</v>
      </c>
      <c r="H51" t="s">
        <v>36</v>
      </c>
      <c r="I51" t="s">
        <v>37</v>
      </c>
      <c r="J51" t="s">
        <v>38</v>
      </c>
      <c r="K51" t="s">
        <v>98</v>
      </c>
      <c r="L51" t="s">
        <v>39</v>
      </c>
      <c r="M51">
        <v>0</v>
      </c>
      <c r="P51">
        <v>1</v>
      </c>
      <c r="Q51">
        <v>0</v>
      </c>
      <c r="S51" t="s">
        <v>40</v>
      </c>
      <c r="T51" s="10">
        <v>45695</v>
      </c>
      <c r="W51">
        <v>1</v>
      </c>
      <c r="Y51" t="s">
        <v>41</v>
      </c>
      <c r="AG51" t="s">
        <v>142</v>
      </c>
      <c r="AJ51" t="s">
        <v>235</v>
      </c>
    </row>
    <row r="52" spans="1:36" x14ac:dyDescent="0.25">
      <c r="A52">
        <v>3</v>
      </c>
      <c r="B52">
        <v>5000005059</v>
      </c>
      <c r="C52" t="s">
        <v>153</v>
      </c>
      <c r="D52">
        <v>10800655</v>
      </c>
      <c r="E52">
        <v>1</v>
      </c>
      <c r="F52" t="s">
        <v>93</v>
      </c>
      <c r="G52" s="10">
        <v>45702</v>
      </c>
      <c r="H52" t="s">
        <v>36</v>
      </c>
      <c r="I52" t="s">
        <v>37</v>
      </c>
      <c r="J52" t="s">
        <v>38</v>
      </c>
      <c r="K52" t="s">
        <v>98</v>
      </c>
      <c r="L52" t="s">
        <v>39</v>
      </c>
      <c r="M52">
        <v>0</v>
      </c>
      <c r="P52">
        <v>1</v>
      </c>
      <c r="Q52">
        <v>0</v>
      </c>
      <c r="S52" t="s">
        <v>40</v>
      </c>
      <c r="T52" s="10">
        <v>45695</v>
      </c>
      <c r="W52">
        <v>1</v>
      </c>
      <c r="Y52" t="s">
        <v>41</v>
      </c>
      <c r="AG52" t="s">
        <v>142</v>
      </c>
      <c r="AJ52" t="s">
        <v>236</v>
      </c>
    </row>
    <row r="53" spans="1:36" x14ac:dyDescent="0.25">
      <c r="A53">
        <v>4</v>
      </c>
      <c r="B53">
        <v>5000004248</v>
      </c>
      <c r="C53" t="s">
        <v>155</v>
      </c>
      <c r="D53">
        <v>10800655</v>
      </c>
      <c r="E53">
        <v>13</v>
      </c>
      <c r="F53" t="s">
        <v>93</v>
      </c>
      <c r="G53" s="10">
        <v>45702</v>
      </c>
      <c r="H53" t="s">
        <v>36</v>
      </c>
      <c r="I53" t="s">
        <v>37</v>
      </c>
      <c r="J53" t="s">
        <v>38</v>
      </c>
      <c r="K53" t="s">
        <v>98</v>
      </c>
      <c r="L53" t="s">
        <v>39</v>
      </c>
      <c r="M53">
        <v>0</v>
      </c>
      <c r="P53">
        <v>13</v>
      </c>
      <c r="Q53">
        <v>0</v>
      </c>
      <c r="S53" t="s">
        <v>40</v>
      </c>
      <c r="T53" s="10">
        <v>45695</v>
      </c>
      <c r="W53">
        <v>1</v>
      </c>
      <c r="Y53" t="s">
        <v>41</v>
      </c>
      <c r="AG53" t="s">
        <v>142</v>
      </c>
      <c r="AJ53" t="s">
        <v>237</v>
      </c>
    </row>
    <row r="54" spans="1:36" x14ac:dyDescent="0.25">
      <c r="A54">
        <v>5</v>
      </c>
      <c r="B54">
        <v>5000012021</v>
      </c>
      <c r="C54" t="s">
        <v>188</v>
      </c>
      <c r="D54">
        <v>10800655</v>
      </c>
      <c r="E54">
        <v>1</v>
      </c>
      <c r="F54" t="s">
        <v>93</v>
      </c>
      <c r="G54" s="10">
        <v>45702</v>
      </c>
      <c r="H54" t="s">
        <v>36</v>
      </c>
      <c r="I54" t="s">
        <v>37</v>
      </c>
      <c r="J54" t="s">
        <v>38</v>
      </c>
      <c r="K54" t="s">
        <v>98</v>
      </c>
      <c r="L54" t="s">
        <v>39</v>
      </c>
      <c r="M54">
        <v>0</v>
      </c>
      <c r="P54">
        <v>1</v>
      </c>
      <c r="Q54">
        <v>0</v>
      </c>
      <c r="S54" t="s">
        <v>40</v>
      </c>
      <c r="T54" s="10">
        <v>45695</v>
      </c>
      <c r="V54" s="10"/>
      <c r="W54">
        <v>1</v>
      </c>
      <c r="Y54" t="s">
        <v>41</v>
      </c>
      <c r="AG54" t="s">
        <v>142</v>
      </c>
      <c r="AJ54" t="s">
        <v>238</v>
      </c>
    </row>
    <row r="55" spans="1:36" x14ac:dyDescent="0.25">
      <c r="A55">
        <v>1</v>
      </c>
      <c r="B55">
        <v>5000008843</v>
      </c>
      <c r="C55" t="s">
        <v>150</v>
      </c>
      <c r="D55">
        <v>10800676</v>
      </c>
      <c r="E55">
        <v>1</v>
      </c>
      <c r="F55" t="s">
        <v>35</v>
      </c>
      <c r="G55" s="10">
        <v>45705</v>
      </c>
      <c r="H55" t="s">
        <v>36</v>
      </c>
      <c r="I55" t="s">
        <v>37</v>
      </c>
      <c r="J55" t="s">
        <v>38</v>
      </c>
      <c r="K55" t="s">
        <v>98</v>
      </c>
      <c r="L55" t="s">
        <v>39</v>
      </c>
      <c r="M55">
        <v>0</v>
      </c>
      <c r="P55">
        <v>1</v>
      </c>
      <c r="Q55">
        <v>0</v>
      </c>
      <c r="S55" t="s">
        <v>40</v>
      </c>
      <c r="T55" s="10">
        <v>45698</v>
      </c>
      <c r="V55" s="10"/>
      <c r="W55">
        <v>1</v>
      </c>
      <c r="Y55" t="s">
        <v>41</v>
      </c>
      <c r="AG55" t="s">
        <v>142</v>
      </c>
      <c r="AJ55" t="s">
        <v>239</v>
      </c>
    </row>
    <row r="56" spans="1:36" x14ac:dyDescent="0.25">
      <c r="A56">
        <v>2</v>
      </c>
      <c r="B56">
        <v>5000016308</v>
      </c>
      <c r="C56" t="s">
        <v>143</v>
      </c>
      <c r="D56">
        <v>10800676</v>
      </c>
      <c r="E56">
        <v>1</v>
      </c>
      <c r="F56" t="s">
        <v>35</v>
      </c>
      <c r="G56" s="10">
        <v>45705</v>
      </c>
      <c r="H56" t="s">
        <v>36</v>
      </c>
      <c r="I56" t="s">
        <v>37</v>
      </c>
      <c r="J56" t="s">
        <v>38</v>
      </c>
      <c r="K56" t="s">
        <v>98</v>
      </c>
      <c r="L56" t="s">
        <v>39</v>
      </c>
      <c r="M56">
        <v>0</v>
      </c>
      <c r="P56">
        <v>1</v>
      </c>
      <c r="Q56">
        <v>0</v>
      </c>
      <c r="S56" t="s">
        <v>40</v>
      </c>
      <c r="T56" s="10">
        <v>45698</v>
      </c>
      <c r="W56">
        <v>1</v>
      </c>
      <c r="Y56" t="s">
        <v>41</v>
      </c>
      <c r="AG56" t="s">
        <v>142</v>
      </c>
      <c r="AJ56" t="s">
        <v>240</v>
      </c>
    </row>
    <row r="57" spans="1:36" x14ac:dyDescent="0.25">
      <c r="A57">
        <v>3</v>
      </c>
      <c r="B57">
        <v>5000005059</v>
      </c>
      <c r="C57" t="s">
        <v>153</v>
      </c>
      <c r="D57">
        <v>10800676</v>
      </c>
      <c r="E57">
        <v>1</v>
      </c>
      <c r="F57" t="s">
        <v>93</v>
      </c>
      <c r="G57" s="10">
        <v>45705</v>
      </c>
      <c r="H57" t="s">
        <v>36</v>
      </c>
      <c r="I57" t="s">
        <v>37</v>
      </c>
      <c r="J57" t="s">
        <v>38</v>
      </c>
      <c r="K57" t="s">
        <v>98</v>
      </c>
      <c r="L57" t="s">
        <v>39</v>
      </c>
      <c r="M57">
        <v>0</v>
      </c>
      <c r="P57">
        <v>1</v>
      </c>
      <c r="Q57">
        <v>0</v>
      </c>
      <c r="S57" t="s">
        <v>40</v>
      </c>
      <c r="T57" s="10">
        <v>45698</v>
      </c>
      <c r="W57">
        <v>1</v>
      </c>
      <c r="Y57" t="s">
        <v>41</v>
      </c>
      <c r="AG57" t="s">
        <v>142</v>
      </c>
      <c r="AJ57" t="s">
        <v>241</v>
      </c>
    </row>
    <row r="58" spans="1:36" x14ac:dyDescent="0.25">
      <c r="A58">
        <v>4</v>
      </c>
      <c r="B58">
        <v>5000004248</v>
      </c>
      <c r="C58" t="s">
        <v>155</v>
      </c>
      <c r="D58">
        <v>10800676</v>
      </c>
      <c r="E58">
        <v>1</v>
      </c>
      <c r="F58" t="s">
        <v>93</v>
      </c>
      <c r="G58" s="10">
        <v>45705</v>
      </c>
      <c r="H58" t="s">
        <v>36</v>
      </c>
      <c r="I58" t="s">
        <v>37</v>
      </c>
      <c r="J58" t="s">
        <v>38</v>
      </c>
      <c r="K58" t="s">
        <v>98</v>
      </c>
      <c r="L58" t="s">
        <v>39</v>
      </c>
      <c r="M58">
        <v>0</v>
      </c>
      <c r="P58">
        <v>1</v>
      </c>
      <c r="Q58">
        <v>0</v>
      </c>
      <c r="S58" t="s">
        <v>40</v>
      </c>
      <c r="T58" s="10">
        <v>45698</v>
      </c>
      <c r="W58">
        <v>1</v>
      </c>
      <c r="Y58" t="s">
        <v>41</v>
      </c>
      <c r="AG58" t="s">
        <v>142</v>
      </c>
      <c r="AJ58" t="s">
        <v>242</v>
      </c>
    </row>
    <row r="59" spans="1:36" x14ac:dyDescent="0.25">
      <c r="A59">
        <v>5</v>
      </c>
      <c r="B59">
        <v>5000012021</v>
      </c>
      <c r="C59" t="s">
        <v>188</v>
      </c>
      <c r="D59">
        <v>10800676</v>
      </c>
      <c r="E59">
        <v>1</v>
      </c>
      <c r="F59" t="s">
        <v>93</v>
      </c>
      <c r="G59" s="10">
        <v>45705</v>
      </c>
      <c r="H59" t="s">
        <v>36</v>
      </c>
      <c r="I59" t="s">
        <v>37</v>
      </c>
      <c r="J59" t="s">
        <v>38</v>
      </c>
      <c r="K59" t="s">
        <v>98</v>
      </c>
      <c r="L59" t="s">
        <v>39</v>
      </c>
      <c r="M59">
        <v>0</v>
      </c>
      <c r="P59">
        <v>1</v>
      </c>
      <c r="Q59">
        <v>0</v>
      </c>
      <c r="S59" t="s">
        <v>40</v>
      </c>
      <c r="T59" s="10">
        <v>45698</v>
      </c>
      <c r="W59">
        <v>1</v>
      </c>
      <c r="Y59" t="s">
        <v>41</v>
      </c>
      <c r="AG59" t="s">
        <v>142</v>
      </c>
      <c r="AJ59" t="s">
        <v>243</v>
      </c>
    </row>
    <row r="60" spans="1:36" x14ac:dyDescent="0.25">
      <c r="A60">
        <v>6</v>
      </c>
      <c r="B60">
        <v>5000011754</v>
      </c>
      <c r="C60" t="s">
        <v>99</v>
      </c>
      <c r="D60">
        <v>10800676</v>
      </c>
      <c r="E60">
        <v>1</v>
      </c>
      <c r="F60" t="s">
        <v>93</v>
      </c>
      <c r="G60" s="10">
        <v>45705</v>
      </c>
      <c r="H60" t="s">
        <v>36</v>
      </c>
      <c r="I60" t="s">
        <v>37</v>
      </c>
      <c r="J60" t="s">
        <v>38</v>
      </c>
      <c r="K60" t="s">
        <v>98</v>
      </c>
      <c r="L60" t="s">
        <v>39</v>
      </c>
      <c r="M60">
        <v>0</v>
      </c>
      <c r="P60">
        <v>1</v>
      </c>
      <c r="Q60">
        <v>0</v>
      </c>
      <c r="S60" t="s">
        <v>40</v>
      </c>
      <c r="T60" s="10">
        <v>45698</v>
      </c>
      <c r="W60">
        <v>1</v>
      </c>
      <c r="Y60" t="s">
        <v>41</v>
      </c>
      <c r="AG60" t="s">
        <v>142</v>
      </c>
      <c r="AJ60" t="s">
        <v>242</v>
      </c>
    </row>
    <row r="61" spans="1:36" x14ac:dyDescent="0.25">
      <c r="A61">
        <v>7</v>
      </c>
      <c r="B61">
        <v>5000013499</v>
      </c>
      <c r="C61" t="s">
        <v>244</v>
      </c>
      <c r="D61">
        <v>10800676</v>
      </c>
      <c r="E61">
        <v>1</v>
      </c>
      <c r="F61" t="s">
        <v>93</v>
      </c>
      <c r="G61" s="10">
        <v>45705</v>
      </c>
      <c r="H61" t="s">
        <v>160</v>
      </c>
      <c r="I61" t="s">
        <v>37</v>
      </c>
      <c r="J61" t="s">
        <v>38</v>
      </c>
      <c r="K61" t="s">
        <v>98</v>
      </c>
      <c r="L61" t="s">
        <v>39</v>
      </c>
      <c r="M61">
        <v>0</v>
      </c>
      <c r="P61">
        <v>1</v>
      </c>
      <c r="Q61">
        <v>0</v>
      </c>
      <c r="S61" t="s">
        <v>40</v>
      </c>
      <c r="T61" s="10">
        <v>45698</v>
      </c>
      <c r="W61">
        <v>1</v>
      </c>
      <c r="Y61" t="s">
        <v>41</v>
      </c>
      <c r="AG61" t="s">
        <v>142</v>
      </c>
      <c r="AJ61" t="s">
        <v>245</v>
      </c>
    </row>
    <row r="62" spans="1:36" x14ac:dyDescent="0.25">
      <c r="A62">
        <v>8</v>
      </c>
      <c r="B62">
        <v>5000016428</v>
      </c>
      <c r="C62" t="s">
        <v>157</v>
      </c>
      <c r="D62">
        <v>10800676</v>
      </c>
      <c r="E62">
        <v>1</v>
      </c>
      <c r="F62" t="s">
        <v>35</v>
      </c>
      <c r="G62" s="10">
        <v>45705</v>
      </c>
      <c r="H62" t="s">
        <v>36</v>
      </c>
      <c r="I62" t="s">
        <v>37</v>
      </c>
      <c r="J62" t="s">
        <v>38</v>
      </c>
      <c r="K62" t="s">
        <v>98</v>
      </c>
      <c r="L62" t="s">
        <v>39</v>
      </c>
      <c r="M62">
        <v>0</v>
      </c>
      <c r="P62">
        <v>1</v>
      </c>
      <c r="Q62">
        <v>0</v>
      </c>
      <c r="S62" t="s">
        <v>40</v>
      </c>
      <c r="T62" s="10">
        <v>45698</v>
      </c>
      <c r="W62">
        <v>1</v>
      </c>
      <c r="Y62" t="s">
        <v>41</v>
      </c>
      <c r="AG62" t="s">
        <v>142</v>
      </c>
      <c r="AJ62" t="s">
        <v>246</v>
      </c>
    </row>
    <row r="63" spans="1:36" x14ac:dyDescent="0.25">
      <c r="A63">
        <v>1</v>
      </c>
      <c r="B63">
        <v>5000016642</v>
      </c>
      <c r="C63" t="s">
        <v>253</v>
      </c>
      <c r="D63">
        <v>10800691</v>
      </c>
      <c r="E63">
        <v>1</v>
      </c>
      <c r="F63" t="s">
        <v>93</v>
      </c>
      <c r="G63" s="10">
        <v>45706</v>
      </c>
      <c r="H63" t="s">
        <v>36</v>
      </c>
      <c r="I63" t="s">
        <v>37</v>
      </c>
      <c r="J63" t="s">
        <v>38</v>
      </c>
      <c r="K63" t="s">
        <v>98</v>
      </c>
      <c r="L63" t="s">
        <v>39</v>
      </c>
      <c r="M63">
        <v>0</v>
      </c>
      <c r="P63">
        <v>1</v>
      </c>
      <c r="Q63">
        <v>0</v>
      </c>
      <c r="S63" t="s">
        <v>40</v>
      </c>
      <c r="T63" s="10">
        <v>45699</v>
      </c>
      <c r="W63">
        <v>1</v>
      </c>
      <c r="Y63" t="s">
        <v>41</v>
      </c>
      <c r="AG63" t="s">
        <v>142</v>
      </c>
      <c r="AJ63" t="s">
        <v>254</v>
      </c>
    </row>
    <row r="64" spans="1:36" x14ac:dyDescent="0.25">
      <c r="A64">
        <v>2</v>
      </c>
      <c r="B64">
        <v>5000016255</v>
      </c>
      <c r="C64" t="s">
        <v>110</v>
      </c>
      <c r="D64">
        <v>10800691</v>
      </c>
      <c r="E64">
        <v>1</v>
      </c>
      <c r="F64" t="s">
        <v>93</v>
      </c>
      <c r="G64" s="10">
        <v>45706</v>
      </c>
      <c r="H64" t="s">
        <v>36</v>
      </c>
      <c r="I64" t="s">
        <v>37</v>
      </c>
      <c r="J64" t="s">
        <v>38</v>
      </c>
      <c r="K64" t="s">
        <v>98</v>
      </c>
      <c r="L64" t="s">
        <v>39</v>
      </c>
      <c r="M64">
        <v>0</v>
      </c>
      <c r="P64">
        <v>1</v>
      </c>
      <c r="Q64">
        <v>0</v>
      </c>
      <c r="S64" t="s">
        <v>40</v>
      </c>
      <c r="T64" s="10">
        <v>45699</v>
      </c>
      <c r="W64">
        <v>1</v>
      </c>
      <c r="Y64" t="s">
        <v>41</v>
      </c>
      <c r="AG64" t="s">
        <v>142</v>
      </c>
      <c r="AJ64" t="s">
        <v>255</v>
      </c>
    </row>
    <row r="65" spans="1:36" x14ac:dyDescent="0.25">
      <c r="A65">
        <v>3</v>
      </c>
      <c r="B65">
        <v>5000012021</v>
      </c>
      <c r="C65" t="s">
        <v>188</v>
      </c>
      <c r="D65">
        <v>10800691</v>
      </c>
      <c r="E65">
        <v>1</v>
      </c>
      <c r="F65" t="s">
        <v>93</v>
      </c>
      <c r="G65" s="10">
        <v>45706</v>
      </c>
      <c r="H65" t="s">
        <v>36</v>
      </c>
      <c r="I65" t="s">
        <v>37</v>
      </c>
      <c r="J65" t="s">
        <v>38</v>
      </c>
      <c r="K65" t="s">
        <v>98</v>
      </c>
      <c r="L65" t="s">
        <v>39</v>
      </c>
      <c r="M65">
        <v>0</v>
      </c>
      <c r="P65">
        <v>1</v>
      </c>
      <c r="Q65">
        <v>0</v>
      </c>
      <c r="S65" t="s">
        <v>40</v>
      </c>
      <c r="T65" s="10">
        <v>45700</v>
      </c>
      <c r="W65">
        <v>1</v>
      </c>
      <c r="Y65" t="s">
        <v>41</v>
      </c>
      <c r="AG65" t="s">
        <v>142</v>
      </c>
      <c r="AJ65" t="s">
        <v>256</v>
      </c>
    </row>
    <row r="66" spans="1:36" x14ac:dyDescent="0.25">
      <c r="A66">
        <v>1</v>
      </c>
      <c r="B66">
        <v>5000016671</v>
      </c>
      <c r="C66" t="s">
        <v>216</v>
      </c>
      <c r="D66">
        <v>10800744</v>
      </c>
      <c r="E66">
        <v>1</v>
      </c>
      <c r="F66" t="s">
        <v>93</v>
      </c>
      <c r="G66" s="10">
        <v>45708</v>
      </c>
      <c r="H66" t="s">
        <v>36</v>
      </c>
      <c r="I66" t="s">
        <v>37</v>
      </c>
      <c r="J66" t="s">
        <v>38</v>
      </c>
      <c r="K66" t="s">
        <v>98</v>
      </c>
      <c r="L66" t="s">
        <v>39</v>
      </c>
      <c r="M66">
        <v>0</v>
      </c>
      <c r="P66">
        <v>1</v>
      </c>
      <c r="Q66">
        <v>0</v>
      </c>
      <c r="S66" t="s">
        <v>40</v>
      </c>
      <c r="T66" s="10">
        <v>45701</v>
      </c>
      <c r="W66">
        <v>1</v>
      </c>
      <c r="Y66" t="s">
        <v>41</v>
      </c>
      <c r="AG66" t="s">
        <v>142</v>
      </c>
      <c r="AJ66" t="s">
        <v>257</v>
      </c>
    </row>
    <row r="67" spans="1:36" x14ac:dyDescent="0.25">
      <c r="A67">
        <v>2</v>
      </c>
      <c r="B67">
        <v>5000016308</v>
      </c>
      <c r="C67" t="s">
        <v>143</v>
      </c>
      <c r="D67">
        <v>10800744</v>
      </c>
      <c r="E67">
        <v>1</v>
      </c>
      <c r="F67" t="s">
        <v>35</v>
      </c>
      <c r="G67" s="10">
        <v>45708</v>
      </c>
      <c r="H67" t="s">
        <v>36</v>
      </c>
      <c r="I67" t="s">
        <v>37</v>
      </c>
      <c r="J67" t="s">
        <v>38</v>
      </c>
      <c r="K67" t="s">
        <v>98</v>
      </c>
      <c r="L67" t="s">
        <v>39</v>
      </c>
      <c r="M67">
        <v>0</v>
      </c>
      <c r="P67">
        <v>1</v>
      </c>
      <c r="Q67">
        <v>0</v>
      </c>
      <c r="S67" t="s">
        <v>40</v>
      </c>
      <c r="T67" s="10">
        <v>45702</v>
      </c>
      <c r="W67">
        <v>1</v>
      </c>
      <c r="Y67" t="s">
        <v>41</v>
      </c>
      <c r="AG67" t="s">
        <v>142</v>
      </c>
      <c r="AJ67" t="s">
        <v>258</v>
      </c>
    </row>
    <row r="68" spans="1:36" x14ac:dyDescent="0.25">
      <c r="A68">
        <v>3</v>
      </c>
      <c r="B68">
        <v>5000017258</v>
      </c>
      <c r="C68" t="s">
        <v>259</v>
      </c>
      <c r="D68">
        <v>10800744</v>
      </c>
      <c r="E68">
        <v>1</v>
      </c>
      <c r="F68" t="s">
        <v>35</v>
      </c>
      <c r="G68" s="10">
        <v>45708</v>
      </c>
      <c r="H68" t="s">
        <v>36</v>
      </c>
      <c r="I68" t="s">
        <v>37</v>
      </c>
      <c r="J68" t="s">
        <v>38</v>
      </c>
      <c r="K68" t="s">
        <v>98</v>
      </c>
      <c r="L68" t="s">
        <v>39</v>
      </c>
      <c r="M68">
        <v>0</v>
      </c>
      <c r="P68">
        <v>1</v>
      </c>
      <c r="Q68">
        <v>0</v>
      </c>
      <c r="S68" t="s">
        <v>40</v>
      </c>
      <c r="T68" s="10">
        <v>45702</v>
      </c>
      <c r="W68">
        <v>1</v>
      </c>
      <c r="Y68" t="s">
        <v>41</v>
      </c>
      <c r="AG68" t="s">
        <v>142</v>
      </c>
      <c r="AJ68" t="s">
        <v>260</v>
      </c>
    </row>
    <row r="69" spans="1:36" x14ac:dyDescent="0.25">
      <c r="A69">
        <v>7</v>
      </c>
      <c r="B69">
        <v>5000000739</v>
      </c>
      <c r="C69" t="s">
        <v>261</v>
      </c>
      <c r="D69">
        <v>10800744</v>
      </c>
      <c r="E69">
        <v>1</v>
      </c>
      <c r="F69" t="s">
        <v>262</v>
      </c>
      <c r="G69" s="10">
        <v>45708</v>
      </c>
      <c r="H69" t="s">
        <v>36</v>
      </c>
      <c r="I69" t="s">
        <v>37</v>
      </c>
      <c r="J69" t="s">
        <v>38</v>
      </c>
      <c r="K69" t="s">
        <v>98</v>
      </c>
      <c r="L69" t="s">
        <v>39</v>
      </c>
      <c r="M69">
        <v>0</v>
      </c>
      <c r="P69">
        <v>1</v>
      </c>
      <c r="Q69">
        <v>0</v>
      </c>
      <c r="S69" t="s">
        <v>40</v>
      </c>
      <c r="T69" s="10">
        <v>45702</v>
      </c>
      <c r="W69">
        <v>1</v>
      </c>
      <c r="Y69" t="s">
        <v>41</v>
      </c>
      <c r="AG69" t="s">
        <v>142</v>
      </c>
      <c r="AJ69" t="s">
        <v>263</v>
      </c>
    </row>
    <row r="70" spans="1:36" x14ac:dyDescent="0.25">
      <c r="A70">
        <v>5</v>
      </c>
      <c r="B70">
        <v>5000013640</v>
      </c>
      <c r="C70" t="s">
        <v>159</v>
      </c>
      <c r="D70">
        <v>10800744</v>
      </c>
      <c r="E70">
        <v>10</v>
      </c>
      <c r="F70" t="s">
        <v>93</v>
      </c>
      <c r="G70" s="10">
        <v>45708</v>
      </c>
      <c r="H70" t="s">
        <v>160</v>
      </c>
      <c r="I70" t="s">
        <v>37</v>
      </c>
      <c r="J70" t="s">
        <v>38</v>
      </c>
      <c r="K70" t="s">
        <v>98</v>
      </c>
      <c r="L70" t="s">
        <v>39</v>
      </c>
      <c r="M70">
        <v>0</v>
      </c>
      <c r="P70">
        <v>10</v>
      </c>
      <c r="Q70">
        <v>0</v>
      </c>
      <c r="S70" t="s">
        <v>40</v>
      </c>
      <c r="T70" s="10">
        <v>45702</v>
      </c>
      <c r="W70">
        <v>1</v>
      </c>
      <c r="Y70" t="s">
        <v>41</v>
      </c>
      <c r="AG70" t="s">
        <v>142</v>
      </c>
      <c r="AJ70" t="s">
        <v>264</v>
      </c>
    </row>
    <row r="71" spans="1:36" x14ac:dyDescent="0.25">
      <c r="A71">
        <v>6</v>
      </c>
      <c r="B71">
        <v>5000016248</v>
      </c>
      <c r="C71" t="s">
        <v>265</v>
      </c>
      <c r="D71">
        <v>10800744</v>
      </c>
      <c r="E71">
        <v>1</v>
      </c>
      <c r="F71" t="s">
        <v>35</v>
      </c>
      <c r="G71" s="10">
        <v>45708</v>
      </c>
      <c r="H71" t="s">
        <v>36</v>
      </c>
      <c r="I71" t="s">
        <v>37</v>
      </c>
      <c r="J71" t="s">
        <v>38</v>
      </c>
      <c r="K71" t="s">
        <v>98</v>
      </c>
      <c r="L71" t="s">
        <v>39</v>
      </c>
      <c r="M71">
        <v>0</v>
      </c>
      <c r="P71">
        <v>1</v>
      </c>
      <c r="Q71">
        <v>0</v>
      </c>
      <c r="S71" t="s">
        <v>40</v>
      </c>
      <c r="T71" s="10">
        <v>45702</v>
      </c>
      <c r="W71">
        <v>1</v>
      </c>
      <c r="Y71" t="s">
        <v>41</v>
      </c>
      <c r="AG71" t="s">
        <v>142</v>
      </c>
      <c r="AJ71" t="s">
        <v>266</v>
      </c>
    </row>
    <row r="72" spans="1:36" x14ac:dyDescent="0.25">
      <c r="A72">
        <v>4</v>
      </c>
      <c r="B72">
        <v>5000016779</v>
      </c>
      <c r="C72" t="s">
        <v>267</v>
      </c>
      <c r="D72">
        <v>10800744</v>
      </c>
      <c r="E72">
        <v>2</v>
      </c>
      <c r="F72" t="s">
        <v>35</v>
      </c>
      <c r="G72" s="10">
        <v>45708</v>
      </c>
      <c r="H72" t="s">
        <v>36</v>
      </c>
      <c r="I72" t="s">
        <v>37</v>
      </c>
      <c r="J72" t="s">
        <v>38</v>
      </c>
      <c r="K72" t="s">
        <v>98</v>
      </c>
      <c r="L72" t="s">
        <v>39</v>
      </c>
      <c r="M72">
        <v>0</v>
      </c>
      <c r="P72">
        <v>2</v>
      </c>
      <c r="Q72">
        <v>0</v>
      </c>
      <c r="S72" t="s">
        <v>40</v>
      </c>
      <c r="T72" s="10">
        <v>45702</v>
      </c>
      <c r="W72">
        <v>1</v>
      </c>
      <c r="Y72" t="s">
        <v>41</v>
      </c>
      <c r="AG72" t="s">
        <v>142</v>
      </c>
      <c r="AJ72" t="s">
        <v>278</v>
      </c>
    </row>
    <row r="73" spans="1:36" x14ac:dyDescent="0.25">
      <c r="A73">
        <v>1</v>
      </c>
      <c r="B73">
        <v>5000016930</v>
      </c>
      <c r="C73" t="s">
        <v>203</v>
      </c>
      <c r="D73">
        <v>10800819</v>
      </c>
      <c r="E73">
        <v>1</v>
      </c>
      <c r="F73" t="s">
        <v>93</v>
      </c>
      <c r="G73" s="10">
        <v>45712</v>
      </c>
      <c r="H73" t="s">
        <v>36</v>
      </c>
      <c r="I73" t="s">
        <v>37</v>
      </c>
      <c r="J73" t="s">
        <v>38</v>
      </c>
      <c r="K73" t="s">
        <v>98</v>
      </c>
      <c r="L73" t="s">
        <v>39</v>
      </c>
      <c r="M73">
        <v>0</v>
      </c>
      <c r="P73">
        <v>1</v>
      </c>
      <c r="Q73">
        <v>0</v>
      </c>
      <c r="S73" t="s">
        <v>40</v>
      </c>
      <c r="T73" s="10">
        <v>45705</v>
      </c>
      <c r="W73">
        <v>1</v>
      </c>
      <c r="Y73" t="s">
        <v>41</v>
      </c>
      <c r="AG73" t="s">
        <v>142</v>
      </c>
      <c r="AJ73" t="s">
        <v>279</v>
      </c>
    </row>
    <row r="74" spans="1:36" x14ac:dyDescent="0.25">
      <c r="A74">
        <v>1</v>
      </c>
      <c r="B74">
        <v>5000015000</v>
      </c>
      <c r="C74" t="s">
        <v>176</v>
      </c>
      <c r="D74">
        <v>10800830</v>
      </c>
      <c r="E74">
        <v>3</v>
      </c>
      <c r="F74" t="s">
        <v>35</v>
      </c>
      <c r="G74" s="10">
        <v>45713</v>
      </c>
      <c r="H74" t="s">
        <v>36</v>
      </c>
      <c r="I74" t="s">
        <v>37</v>
      </c>
      <c r="J74" t="s">
        <v>38</v>
      </c>
      <c r="K74" t="s">
        <v>98</v>
      </c>
      <c r="L74" t="s">
        <v>39</v>
      </c>
      <c r="M74">
        <v>0</v>
      </c>
      <c r="P74">
        <v>3</v>
      </c>
      <c r="Q74">
        <v>0</v>
      </c>
      <c r="S74" t="s">
        <v>40</v>
      </c>
      <c r="T74" s="10">
        <v>45706</v>
      </c>
      <c r="W74">
        <v>1</v>
      </c>
      <c r="Y74" t="s">
        <v>41</v>
      </c>
      <c r="AG74" t="s">
        <v>142</v>
      </c>
      <c r="AJ74" t="s">
        <v>280</v>
      </c>
    </row>
    <row r="75" spans="1:36" x14ac:dyDescent="0.25">
      <c r="A75">
        <v>2</v>
      </c>
      <c r="B75">
        <v>5000017258</v>
      </c>
      <c r="C75" t="s">
        <v>259</v>
      </c>
      <c r="D75">
        <v>10800830</v>
      </c>
      <c r="E75">
        <v>1</v>
      </c>
      <c r="F75" t="s">
        <v>35</v>
      </c>
      <c r="G75" s="10">
        <v>45713</v>
      </c>
      <c r="H75" t="s">
        <v>36</v>
      </c>
      <c r="I75" t="s">
        <v>37</v>
      </c>
      <c r="J75" t="s">
        <v>38</v>
      </c>
      <c r="K75" t="s">
        <v>98</v>
      </c>
      <c r="L75" t="s">
        <v>39</v>
      </c>
      <c r="M75">
        <v>0</v>
      </c>
      <c r="P75">
        <v>1</v>
      </c>
      <c r="Q75">
        <v>0</v>
      </c>
      <c r="S75" t="s">
        <v>40</v>
      </c>
      <c r="T75" s="10">
        <v>45706</v>
      </c>
      <c r="W75">
        <v>1</v>
      </c>
      <c r="Y75" t="s">
        <v>41</v>
      </c>
      <c r="AG75" t="s">
        <v>142</v>
      </c>
      <c r="AJ75" t="s">
        <v>281</v>
      </c>
    </row>
    <row r="76" spans="1:36" x14ac:dyDescent="0.25">
      <c r="A76">
        <v>3</v>
      </c>
      <c r="B76">
        <v>5000008843</v>
      </c>
      <c r="C76" t="s">
        <v>150</v>
      </c>
      <c r="D76">
        <v>10800830</v>
      </c>
      <c r="E76">
        <v>1</v>
      </c>
      <c r="F76" t="s">
        <v>35</v>
      </c>
      <c r="G76" s="10">
        <v>45713</v>
      </c>
      <c r="H76" t="s">
        <v>36</v>
      </c>
      <c r="I76" t="s">
        <v>37</v>
      </c>
      <c r="J76" t="s">
        <v>38</v>
      </c>
      <c r="K76" t="s">
        <v>98</v>
      </c>
      <c r="L76" t="s">
        <v>39</v>
      </c>
      <c r="M76">
        <v>0</v>
      </c>
      <c r="P76">
        <v>1</v>
      </c>
      <c r="Q76">
        <v>0</v>
      </c>
      <c r="S76" t="s">
        <v>40</v>
      </c>
      <c r="T76" s="10">
        <v>45706</v>
      </c>
      <c r="W76">
        <v>1</v>
      </c>
      <c r="Y76" t="s">
        <v>41</v>
      </c>
      <c r="AG76" t="s">
        <v>142</v>
      </c>
      <c r="AJ76" t="s">
        <v>282</v>
      </c>
    </row>
    <row r="77" spans="1:36" x14ac:dyDescent="0.25">
      <c r="A77">
        <v>4</v>
      </c>
      <c r="B77">
        <v>5000016308</v>
      </c>
      <c r="C77" t="s">
        <v>143</v>
      </c>
      <c r="D77">
        <v>10800830</v>
      </c>
      <c r="E77">
        <v>1</v>
      </c>
      <c r="F77" t="s">
        <v>35</v>
      </c>
      <c r="G77" s="10">
        <v>45713</v>
      </c>
      <c r="H77" t="s">
        <v>36</v>
      </c>
      <c r="I77" t="s">
        <v>37</v>
      </c>
      <c r="J77" t="s">
        <v>38</v>
      </c>
      <c r="K77" t="s">
        <v>98</v>
      </c>
      <c r="L77" t="s">
        <v>39</v>
      </c>
      <c r="M77">
        <v>0</v>
      </c>
      <c r="P77">
        <v>1</v>
      </c>
      <c r="Q77">
        <v>0</v>
      </c>
      <c r="S77" t="s">
        <v>40</v>
      </c>
      <c r="T77" s="10">
        <v>45706</v>
      </c>
      <c r="W77">
        <v>1</v>
      </c>
      <c r="Y77" t="s">
        <v>41</v>
      </c>
      <c r="AG77" t="s">
        <v>142</v>
      </c>
      <c r="AJ77" t="s">
        <v>283</v>
      </c>
    </row>
    <row r="78" spans="1:36" x14ac:dyDescent="0.25">
      <c r="A78">
        <v>5</v>
      </c>
      <c r="B78">
        <v>5000005059</v>
      </c>
      <c r="C78" t="s">
        <v>153</v>
      </c>
      <c r="D78">
        <v>10800830</v>
      </c>
      <c r="E78">
        <v>1</v>
      </c>
      <c r="F78" t="s">
        <v>93</v>
      </c>
      <c r="G78" s="10">
        <v>45713</v>
      </c>
      <c r="H78" t="s">
        <v>36</v>
      </c>
      <c r="I78" t="s">
        <v>37</v>
      </c>
      <c r="J78" t="s">
        <v>38</v>
      </c>
      <c r="K78" t="s">
        <v>98</v>
      </c>
      <c r="L78" t="s">
        <v>39</v>
      </c>
      <c r="M78">
        <v>0</v>
      </c>
      <c r="P78">
        <v>1</v>
      </c>
      <c r="Q78">
        <v>0</v>
      </c>
      <c r="S78" t="s">
        <v>40</v>
      </c>
      <c r="T78" s="10">
        <v>45706</v>
      </c>
      <c r="W78">
        <v>1</v>
      </c>
      <c r="Y78" t="s">
        <v>41</v>
      </c>
      <c r="AG78" t="s">
        <v>142</v>
      </c>
      <c r="AJ78" t="s">
        <v>284</v>
      </c>
    </row>
    <row r="79" spans="1:36" x14ac:dyDescent="0.25">
      <c r="A79">
        <v>6</v>
      </c>
      <c r="B79">
        <v>5000004248</v>
      </c>
      <c r="C79" t="s">
        <v>155</v>
      </c>
      <c r="D79">
        <v>10800830</v>
      </c>
      <c r="E79">
        <v>1</v>
      </c>
      <c r="F79" t="s">
        <v>93</v>
      </c>
      <c r="G79" s="10">
        <v>45713</v>
      </c>
      <c r="H79" t="s">
        <v>36</v>
      </c>
      <c r="I79" t="s">
        <v>37</v>
      </c>
      <c r="J79" t="s">
        <v>38</v>
      </c>
      <c r="K79" t="s">
        <v>98</v>
      </c>
      <c r="L79" t="s">
        <v>39</v>
      </c>
      <c r="M79">
        <v>0</v>
      </c>
      <c r="P79">
        <v>1</v>
      </c>
      <c r="Q79">
        <v>0</v>
      </c>
      <c r="S79" t="s">
        <v>40</v>
      </c>
      <c r="T79" s="10">
        <v>45706</v>
      </c>
      <c r="W79">
        <v>1</v>
      </c>
      <c r="Y79" t="s">
        <v>41</v>
      </c>
      <c r="AG79" t="s">
        <v>142</v>
      </c>
      <c r="AJ79" t="s">
        <v>285</v>
      </c>
    </row>
    <row r="80" spans="1:36" x14ac:dyDescent="0.25">
      <c r="A80">
        <v>7</v>
      </c>
      <c r="B80">
        <v>5000012021</v>
      </c>
      <c r="C80" t="s">
        <v>188</v>
      </c>
      <c r="D80">
        <v>10800830</v>
      </c>
      <c r="E80">
        <v>1</v>
      </c>
      <c r="F80" t="s">
        <v>93</v>
      </c>
      <c r="G80" s="10">
        <v>45713</v>
      </c>
      <c r="H80" t="s">
        <v>36</v>
      </c>
      <c r="I80" t="s">
        <v>37</v>
      </c>
      <c r="J80" t="s">
        <v>38</v>
      </c>
      <c r="K80" t="s">
        <v>98</v>
      </c>
      <c r="L80" t="s">
        <v>39</v>
      </c>
      <c r="M80">
        <v>0</v>
      </c>
      <c r="P80">
        <v>1</v>
      </c>
      <c r="Q80">
        <v>0</v>
      </c>
      <c r="S80" t="s">
        <v>40</v>
      </c>
      <c r="T80" s="10">
        <v>45706</v>
      </c>
      <c r="W80">
        <v>1</v>
      </c>
      <c r="Y80" t="s">
        <v>41</v>
      </c>
      <c r="AG80" t="s">
        <v>142</v>
      </c>
      <c r="AJ80" t="s">
        <v>286</v>
      </c>
    </row>
    <row r="81" spans="1:36" x14ac:dyDescent="0.25">
      <c r="A81">
        <v>1</v>
      </c>
      <c r="B81">
        <v>5000015916</v>
      </c>
      <c r="C81" t="s">
        <v>293</v>
      </c>
      <c r="D81">
        <v>10800880</v>
      </c>
      <c r="E81">
        <v>1</v>
      </c>
      <c r="F81" t="s">
        <v>93</v>
      </c>
      <c r="G81" s="10">
        <v>45715</v>
      </c>
      <c r="H81" t="s">
        <v>36</v>
      </c>
      <c r="I81" t="s">
        <v>37</v>
      </c>
      <c r="J81" t="s">
        <v>38</v>
      </c>
      <c r="K81" t="s">
        <v>98</v>
      </c>
      <c r="L81" t="s">
        <v>39</v>
      </c>
      <c r="M81">
        <v>0</v>
      </c>
      <c r="P81">
        <v>1</v>
      </c>
      <c r="Q81">
        <v>0</v>
      </c>
      <c r="S81" t="s">
        <v>40</v>
      </c>
      <c r="T81" s="10">
        <v>45708</v>
      </c>
      <c r="W81">
        <v>1</v>
      </c>
      <c r="Y81" t="s">
        <v>41</v>
      </c>
      <c r="AG81" t="s">
        <v>142</v>
      </c>
      <c r="AJ81" t="s">
        <v>294</v>
      </c>
    </row>
    <row r="82" spans="1:36" x14ac:dyDescent="0.25">
      <c r="A82">
        <v>2</v>
      </c>
      <c r="B82">
        <v>5000005340</v>
      </c>
      <c r="C82" t="s">
        <v>199</v>
      </c>
      <c r="D82">
        <v>10800880</v>
      </c>
      <c r="E82">
        <v>1</v>
      </c>
      <c r="F82" t="s">
        <v>35</v>
      </c>
      <c r="G82" s="10">
        <v>45715</v>
      </c>
      <c r="H82" t="s">
        <v>36</v>
      </c>
      <c r="I82" t="s">
        <v>37</v>
      </c>
      <c r="J82" t="s">
        <v>38</v>
      </c>
      <c r="K82" t="s">
        <v>98</v>
      </c>
      <c r="L82" t="s">
        <v>39</v>
      </c>
      <c r="M82">
        <v>0</v>
      </c>
      <c r="P82">
        <v>1</v>
      </c>
      <c r="Q82">
        <v>0</v>
      </c>
      <c r="S82" t="s">
        <v>40</v>
      </c>
      <c r="T82" s="10">
        <v>45708</v>
      </c>
      <c r="W82">
        <v>1</v>
      </c>
      <c r="Y82" t="s">
        <v>41</v>
      </c>
      <c r="AG82" t="s">
        <v>142</v>
      </c>
      <c r="AJ82" t="s">
        <v>295</v>
      </c>
    </row>
    <row r="83" spans="1:36" x14ac:dyDescent="0.25">
      <c r="A83">
        <v>3</v>
      </c>
      <c r="B83">
        <v>5000014237</v>
      </c>
      <c r="C83" t="s">
        <v>305</v>
      </c>
      <c r="D83">
        <v>10800880</v>
      </c>
      <c r="E83">
        <v>2</v>
      </c>
      <c r="F83" t="s">
        <v>296</v>
      </c>
      <c r="G83" s="10">
        <v>45715</v>
      </c>
      <c r="H83" t="s">
        <v>36</v>
      </c>
      <c r="I83" t="s">
        <v>37</v>
      </c>
      <c r="J83" t="s">
        <v>38</v>
      </c>
      <c r="K83" t="s">
        <v>98</v>
      </c>
      <c r="L83" t="s">
        <v>39</v>
      </c>
      <c r="M83">
        <v>0</v>
      </c>
      <c r="P83">
        <v>2</v>
      </c>
      <c r="Q83">
        <v>0</v>
      </c>
      <c r="S83" t="s">
        <v>40</v>
      </c>
      <c r="T83" s="10">
        <v>45708</v>
      </c>
      <c r="W83">
        <v>1</v>
      </c>
      <c r="Y83" t="s">
        <v>41</v>
      </c>
      <c r="AG83" t="s">
        <v>142</v>
      </c>
      <c r="AJ83" t="s">
        <v>297</v>
      </c>
    </row>
    <row r="84" spans="1:36" x14ac:dyDescent="0.25">
      <c r="A84">
        <v>4</v>
      </c>
      <c r="B84">
        <v>5000005059</v>
      </c>
      <c r="C84" t="s">
        <v>153</v>
      </c>
      <c r="D84">
        <v>10800880</v>
      </c>
      <c r="E84">
        <v>10</v>
      </c>
      <c r="F84" t="s">
        <v>93</v>
      </c>
      <c r="G84" s="10">
        <v>45715</v>
      </c>
      <c r="H84" t="s">
        <v>36</v>
      </c>
      <c r="I84" t="s">
        <v>37</v>
      </c>
      <c r="J84" t="s">
        <v>38</v>
      </c>
      <c r="K84" t="s">
        <v>98</v>
      </c>
      <c r="L84" t="s">
        <v>39</v>
      </c>
      <c r="M84">
        <v>0</v>
      </c>
      <c r="P84">
        <v>10</v>
      </c>
      <c r="Q84">
        <v>0</v>
      </c>
      <c r="S84" t="s">
        <v>40</v>
      </c>
      <c r="T84" s="10">
        <v>45708</v>
      </c>
      <c r="W84">
        <v>1</v>
      </c>
      <c r="Y84" t="s">
        <v>41</v>
      </c>
      <c r="AG84" t="s">
        <v>142</v>
      </c>
      <c r="AJ84" t="s">
        <v>298</v>
      </c>
    </row>
    <row r="85" spans="1:36" x14ac:dyDescent="0.25">
      <c r="A85">
        <v>1</v>
      </c>
      <c r="B85">
        <v>5000017677</v>
      </c>
      <c r="C85" t="s">
        <v>299</v>
      </c>
      <c r="D85">
        <v>10800909</v>
      </c>
      <c r="E85">
        <v>3</v>
      </c>
      <c r="F85" t="s">
        <v>300</v>
      </c>
      <c r="G85" s="10">
        <v>45717</v>
      </c>
      <c r="H85" t="s">
        <v>36</v>
      </c>
      <c r="I85" t="s">
        <v>37</v>
      </c>
      <c r="J85" t="s">
        <v>38</v>
      </c>
      <c r="K85" t="s">
        <v>98</v>
      </c>
      <c r="L85" t="s">
        <v>39</v>
      </c>
      <c r="M85">
        <v>0</v>
      </c>
      <c r="P85">
        <v>3</v>
      </c>
      <c r="Q85">
        <v>0</v>
      </c>
      <c r="S85" t="s">
        <v>40</v>
      </c>
      <c r="T85" s="10">
        <v>45710</v>
      </c>
      <c r="U85" t="s">
        <v>40</v>
      </c>
      <c r="V85" s="25">
        <v>45710</v>
      </c>
      <c r="W85">
        <v>1</v>
      </c>
      <c r="Y85" t="s">
        <v>41</v>
      </c>
      <c r="AG85" t="s">
        <v>142</v>
      </c>
      <c r="AJ85" t="s">
        <v>301</v>
      </c>
    </row>
    <row r="86" spans="1:36" x14ac:dyDescent="0.25">
      <c r="A86">
        <v>2</v>
      </c>
      <c r="B86">
        <v>5000016779</v>
      </c>
      <c r="C86" t="s">
        <v>267</v>
      </c>
      <c r="D86">
        <v>10800909</v>
      </c>
      <c r="E86">
        <v>1</v>
      </c>
      <c r="F86" t="s">
        <v>35</v>
      </c>
      <c r="G86" s="10">
        <v>45717</v>
      </c>
      <c r="H86" t="s">
        <v>36</v>
      </c>
      <c r="I86" t="s">
        <v>37</v>
      </c>
      <c r="J86" t="s">
        <v>38</v>
      </c>
      <c r="K86" t="s">
        <v>98</v>
      </c>
      <c r="L86" t="s">
        <v>39</v>
      </c>
      <c r="M86">
        <v>0</v>
      </c>
      <c r="P86">
        <v>1</v>
      </c>
      <c r="Q86">
        <v>0</v>
      </c>
      <c r="S86" t="s">
        <v>40</v>
      </c>
      <c r="T86" s="10">
        <v>45710</v>
      </c>
      <c r="W86">
        <v>1</v>
      </c>
      <c r="Y86" t="s">
        <v>41</v>
      </c>
      <c r="AG86" t="s">
        <v>142</v>
      </c>
      <c r="AJ86" t="s">
        <v>302</v>
      </c>
    </row>
    <row r="87" spans="1:36" x14ac:dyDescent="0.25">
      <c r="A87">
        <v>3</v>
      </c>
      <c r="B87">
        <v>5000017676</v>
      </c>
      <c r="C87" t="s">
        <v>303</v>
      </c>
      <c r="D87">
        <v>10800909</v>
      </c>
      <c r="E87">
        <v>3</v>
      </c>
      <c r="F87" t="s">
        <v>93</v>
      </c>
      <c r="G87" s="10">
        <v>45717</v>
      </c>
      <c r="H87" t="s">
        <v>36</v>
      </c>
      <c r="I87" t="s">
        <v>37</v>
      </c>
      <c r="J87" t="s">
        <v>38</v>
      </c>
      <c r="K87" t="s">
        <v>98</v>
      </c>
      <c r="L87" t="s">
        <v>39</v>
      </c>
      <c r="M87">
        <v>0</v>
      </c>
      <c r="P87">
        <v>3</v>
      </c>
      <c r="Q87">
        <v>0</v>
      </c>
      <c r="S87" t="s">
        <v>40</v>
      </c>
      <c r="T87" s="10">
        <v>45710</v>
      </c>
      <c r="W87">
        <v>1</v>
      </c>
      <c r="Y87" t="s">
        <v>41</v>
      </c>
      <c r="AG87" t="s">
        <v>142</v>
      </c>
      <c r="AJ87" t="s">
        <v>304</v>
      </c>
    </row>
    <row r="88" spans="1:36" x14ac:dyDescent="0.25">
      <c r="A88">
        <v>1</v>
      </c>
      <c r="B88">
        <v>5000016585</v>
      </c>
      <c r="C88" t="s">
        <v>306</v>
      </c>
      <c r="D88">
        <v>10800926</v>
      </c>
      <c r="E88">
        <v>1</v>
      </c>
      <c r="F88" t="s">
        <v>35</v>
      </c>
      <c r="G88" s="10">
        <v>45719</v>
      </c>
      <c r="H88" t="s">
        <v>36</v>
      </c>
      <c r="I88" t="s">
        <v>37</v>
      </c>
      <c r="J88" t="s">
        <v>38</v>
      </c>
      <c r="K88" t="s">
        <v>98</v>
      </c>
      <c r="L88" t="s">
        <v>39</v>
      </c>
      <c r="M88">
        <v>0</v>
      </c>
      <c r="P88">
        <v>1</v>
      </c>
      <c r="Q88">
        <v>0</v>
      </c>
      <c r="S88" t="s">
        <v>40</v>
      </c>
      <c r="T88" s="10">
        <v>45712</v>
      </c>
      <c r="W88">
        <v>1</v>
      </c>
      <c r="Y88" t="s">
        <v>41</v>
      </c>
      <c r="AG88" t="s">
        <v>142</v>
      </c>
      <c r="AJ88" t="s">
        <v>307</v>
      </c>
    </row>
    <row r="89" spans="1:36" x14ac:dyDescent="0.25">
      <c r="A89">
        <v>1</v>
      </c>
      <c r="B89">
        <v>5000016375</v>
      </c>
      <c r="C89" t="s">
        <v>114</v>
      </c>
      <c r="D89">
        <v>10800953</v>
      </c>
      <c r="E89">
        <v>1</v>
      </c>
      <c r="F89" t="s">
        <v>35</v>
      </c>
      <c r="G89" s="10">
        <v>45720</v>
      </c>
      <c r="H89" t="s">
        <v>36</v>
      </c>
      <c r="I89" t="s">
        <v>37</v>
      </c>
      <c r="J89" t="s">
        <v>38</v>
      </c>
      <c r="K89" t="s">
        <v>98</v>
      </c>
      <c r="L89" t="s">
        <v>39</v>
      </c>
      <c r="M89">
        <v>0</v>
      </c>
      <c r="P89">
        <v>1</v>
      </c>
      <c r="Q89">
        <v>0</v>
      </c>
      <c r="S89" t="s">
        <v>40</v>
      </c>
      <c r="T89" s="10">
        <v>45713</v>
      </c>
      <c r="W89">
        <v>1</v>
      </c>
      <c r="Y89" t="s">
        <v>41</v>
      </c>
      <c r="AG89" t="s">
        <v>142</v>
      </c>
      <c r="AJ89" t="s">
        <v>308</v>
      </c>
    </row>
    <row r="90" spans="1:36" x14ac:dyDescent="0.25">
      <c r="A90">
        <v>2</v>
      </c>
      <c r="B90">
        <v>5000017376</v>
      </c>
      <c r="C90" t="s">
        <v>309</v>
      </c>
      <c r="D90">
        <v>10800953</v>
      </c>
      <c r="E90">
        <v>1</v>
      </c>
      <c r="F90" t="s">
        <v>93</v>
      </c>
      <c r="G90" s="10">
        <v>45720</v>
      </c>
      <c r="H90" t="s">
        <v>36</v>
      </c>
      <c r="I90" t="s">
        <v>37</v>
      </c>
      <c r="J90" t="s">
        <v>38</v>
      </c>
      <c r="K90" t="s">
        <v>98</v>
      </c>
      <c r="L90" t="s">
        <v>39</v>
      </c>
      <c r="M90">
        <v>0</v>
      </c>
      <c r="P90">
        <v>1</v>
      </c>
      <c r="Q90">
        <v>0</v>
      </c>
      <c r="S90" t="s">
        <v>40</v>
      </c>
      <c r="T90" s="10">
        <v>45713</v>
      </c>
      <c r="W90">
        <v>1</v>
      </c>
      <c r="Y90" t="s">
        <v>41</v>
      </c>
      <c r="AG90" t="s">
        <v>142</v>
      </c>
      <c r="AJ90" t="s">
        <v>310</v>
      </c>
    </row>
    <row r="91" spans="1:36" x14ac:dyDescent="0.25">
      <c r="A91">
        <v>1</v>
      </c>
      <c r="B91">
        <v>5000015560</v>
      </c>
      <c r="C91" t="s">
        <v>319</v>
      </c>
      <c r="D91">
        <v>10801030</v>
      </c>
      <c r="E91">
        <v>2</v>
      </c>
      <c r="F91" t="s">
        <v>93</v>
      </c>
      <c r="G91" s="10">
        <v>45724</v>
      </c>
      <c r="H91" t="s">
        <v>36</v>
      </c>
      <c r="I91" t="s">
        <v>37</v>
      </c>
      <c r="J91" t="s">
        <v>38</v>
      </c>
      <c r="K91" t="s">
        <v>98</v>
      </c>
      <c r="L91" t="s">
        <v>39</v>
      </c>
      <c r="M91">
        <v>0</v>
      </c>
      <c r="P91">
        <v>2</v>
      </c>
      <c r="Q91">
        <v>0</v>
      </c>
      <c r="S91" t="s">
        <v>40</v>
      </c>
      <c r="T91" s="10">
        <v>45717</v>
      </c>
      <c r="W91">
        <v>1</v>
      </c>
      <c r="Y91" t="s">
        <v>41</v>
      </c>
      <c r="AG91" t="s">
        <v>142</v>
      </c>
      <c r="AJ91" t="s">
        <v>320</v>
      </c>
    </row>
    <row r="92" spans="1:36" x14ac:dyDescent="0.25">
      <c r="A92">
        <v>2</v>
      </c>
      <c r="B92">
        <v>5000017695</v>
      </c>
      <c r="C92" t="s">
        <v>345</v>
      </c>
      <c r="D92">
        <v>10801030</v>
      </c>
      <c r="E92">
        <v>1</v>
      </c>
      <c r="F92" t="s">
        <v>35</v>
      </c>
      <c r="G92" s="10">
        <v>45724</v>
      </c>
      <c r="H92" t="s">
        <v>36</v>
      </c>
      <c r="I92" t="s">
        <v>37</v>
      </c>
      <c r="J92" t="s">
        <v>38</v>
      </c>
      <c r="K92" t="s">
        <v>98</v>
      </c>
      <c r="L92" t="s">
        <v>39</v>
      </c>
      <c r="M92">
        <v>0</v>
      </c>
      <c r="P92">
        <v>1</v>
      </c>
      <c r="Q92">
        <v>0</v>
      </c>
      <c r="S92" t="s">
        <v>40</v>
      </c>
      <c r="T92" s="10">
        <v>45717</v>
      </c>
      <c r="W92">
        <v>1</v>
      </c>
      <c r="Y92" t="s">
        <v>41</v>
      </c>
      <c r="AG92" t="s">
        <v>142</v>
      </c>
      <c r="AJ92" t="s">
        <v>321</v>
      </c>
    </row>
    <row r="93" spans="1:36" x14ac:dyDescent="0.25">
      <c r="A93">
        <v>3</v>
      </c>
      <c r="B93">
        <v>5000017481</v>
      </c>
      <c r="C93" t="s">
        <v>322</v>
      </c>
      <c r="D93">
        <v>10801030</v>
      </c>
      <c r="E93">
        <v>1</v>
      </c>
      <c r="F93" t="s">
        <v>35</v>
      </c>
      <c r="G93" s="10">
        <v>45724</v>
      </c>
      <c r="H93" t="s">
        <v>36</v>
      </c>
      <c r="I93" t="s">
        <v>37</v>
      </c>
      <c r="J93" t="s">
        <v>38</v>
      </c>
      <c r="K93" t="s">
        <v>98</v>
      </c>
      <c r="L93" t="s">
        <v>39</v>
      </c>
      <c r="M93">
        <v>0</v>
      </c>
      <c r="P93">
        <v>1</v>
      </c>
      <c r="Q93">
        <v>0</v>
      </c>
      <c r="S93" t="s">
        <v>40</v>
      </c>
      <c r="T93" s="10">
        <v>45717</v>
      </c>
      <c r="W93">
        <v>1</v>
      </c>
      <c r="Y93" t="s">
        <v>41</v>
      </c>
      <c r="AG93" t="s">
        <v>142</v>
      </c>
      <c r="AJ93" t="s">
        <v>323</v>
      </c>
    </row>
    <row r="94" spans="1:36" x14ac:dyDescent="0.25">
      <c r="A94">
        <v>4</v>
      </c>
      <c r="B94">
        <v>5000016583</v>
      </c>
      <c r="C94" t="s">
        <v>324</v>
      </c>
      <c r="D94">
        <v>10801030</v>
      </c>
      <c r="E94">
        <v>1</v>
      </c>
      <c r="F94" t="s">
        <v>35</v>
      </c>
      <c r="G94" s="10">
        <v>45724</v>
      </c>
      <c r="H94" t="s">
        <v>36</v>
      </c>
      <c r="I94" t="s">
        <v>37</v>
      </c>
      <c r="J94" t="s">
        <v>38</v>
      </c>
      <c r="K94" t="s">
        <v>325</v>
      </c>
      <c r="L94" t="s">
        <v>39</v>
      </c>
      <c r="M94">
        <v>0</v>
      </c>
      <c r="P94">
        <v>1</v>
      </c>
      <c r="Q94">
        <v>0</v>
      </c>
      <c r="S94" t="s">
        <v>40</v>
      </c>
      <c r="T94" s="10">
        <v>45719</v>
      </c>
      <c r="W94">
        <v>1</v>
      </c>
      <c r="Y94" t="s">
        <v>41</v>
      </c>
      <c r="AG94" t="s">
        <v>142</v>
      </c>
      <c r="AJ94" t="s">
        <v>330</v>
      </c>
    </row>
    <row r="95" spans="1:36" x14ac:dyDescent="0.25">
      <c r="A95">
        <v>5</v>
      </c>
      <c r="B95">
        <v>5000005340</v>
      </c>
      <c r="C95" t="s">
        <v>199</v>
      </c>
      <c r="D95">
        <v>10801030</v>
      </c>
      <c r="E95">
        <v>1</v>
      </c>
      <c r="F95" t="s">
        <v>35</v>
      </c>
      <c r="G95" s="10">
        <v>45724</v>
      </c>
      <c r="H95" t="s">
        <v>36</v>
      </c>
      <c r="I95" t="s">
        <v>37</v>
      </c>
      <c r="J95" t="s">
        <v>38</v>
      </c>
      <c r="K95" t="s">
        <v>98</v>
      </c>
      <c r="L95" t="s">
        <v>39</v>
      </c>
      <c r="M95">
        <v>0</v>
      </c>
      <c r="P95">
        <v>1</v>
      </c>
      <c r="Q95">
        <v>0</v>
      </c>
      <c r="S95" t="s">
        <v>40</v>
      </c>
      <c r="T95" s="10">
        <v>45719</v>
      </c>
      <c r="W95">
        <v>1</v>
      </c>
      <c r="Y95" t="s">
        <v>41</v>
      </c>
      <c r="AG95" t="s">
        <v>142</v>
      </c>
      <c r="AJ95" t="s">
        <v>326</v>
      </c>
    </row>
    <row r="96" spans="1:36" x14ac:dyDescent="0.25">
      <c r="A96">
        <v>6</v>
      </c>
      <c r="B96">
        <v>5000016659</v>
      </c>
      <c r="C96" t="s">
        <v>327</v>
      </c>
      <c r="D96">
        <v>10801030</v>
      </c>
      <c r="E96">
        <v>2</v>
      </c>
      <c r="F96" t="s">
        <v>93</v>
      </c>
      <c r="G96" s="10">
        <v>45727</v>
      </c>
      <c r="H96" t="s">
        <v>36</v>
      </c>
      <c r="I96" t="s">
        <v>37</v>
      </c>
      <c r="J96" t="s">
        <v>38</v>
      </c>
      <c r="K96" t="s">
        <v>98</v>
      </c>
      <c r="L96" t="s">
        <v>39</v>
      </c>
      <c r="M96">
        <v>0</v>
      </c>
      <c r="P96">
        <v>2</v>
      </c>
      <c r="Q96">
        <v>0</v>
      </c>
      <c r="S96" t="s">
        <v>40</v>
      </c>
      <c r="T96" s="10">
        <v>45720</v>
      </c>
      <c r="W96">
        <v>1</v>
      </c>
      <c r="Y96" t="s">
        <v>41</v>
      </c>
      <c r="AG96" t="s">
        <v>142</v>
      </c>
      <c r="AJ96" t="s">
        <v>331</v>
      </c>
    </row>
    <row r="97" spans="1:36" x14ac:dyDescent="0.25">
      <c r="A97">
        <v>7</v>
      </c>
      <c r="B97">
        <v>5000012006</v>
      </c>
      <c r="C97" t="s">
        <v>328</v>
      </c>
      <c r="D97">
        <v>10801030</v>
      </c>
      <c r="E97">
        <v>1</v>
      </c>
      <c r="F97" t="s">
        <v>35</v>
      </c>
      <c r="G97" s="10">
        <v>45727</v>
      </c>
      <c r="H97" t="s">
        <v>36</v>
      </c>
      <c r="I97" t="s">
        <v>37</v>
      </c>
      <c r="J97" t="s">
        <v>38</v>
      </c>
      <c r="K97" t="s">
        <v>98</v>
      </c>
      <c r="L97" t="s">
        <v>39</v>
      </c>
      <c r="M97">
        <v>0</v>
      </c>
      <c r="P97">
        <v>1</v>
      </c>
      <c r="Q97">
        <v>0</v>
      </c>
      <c r="S97" t="s">
        <v>40</v>
      </c>
      <c r="T97" s="10">
        <v>45720</v>
      </c>
      <c r="W97">
        <v>1</v>
      </c>
      <c r="Y97" t="s">
        <v>41</v>
      </c>
      <c r="AG97" t="s">
        <v>142</v>
      </c>
      <c r="AJ97" t="s">
        <v>329</v>
      </c>
    </row>
    <row r="98" spans="1:36" x14ac:dyDescent="0.25">
      <c r="A98">
        <v>1</v>
      </c>
      <c r="B98" s="26">
        <v>5000016930</v>
      </c>
      <c r="C98" t="s">
        <v>203</v>
      </c>
      <c r="D98" s="26">
        <v>10801117</v>
      </c>
      <c r="E98">
        <v>1</v>
      </c>
      <c r="F98" t="s">
        <v>93</v>
      </c>
      <c r="G98" s="10">
        <v>45728</v>
      </c>
      <c r="H98" t="s">
        <v>36</v>
      </c>
      <c r="I98" t="s">
        <v>37</v>
      </c>
      <c r="J98" t="s">
        <v>38</v>
      </c>
      <c r="K98" t="s">
        <v>98</v>
      </c>
      <c r="L98" t="s">
        <v>39</v>
      </c>
      <c r="M98" s="26">
        <v>0</v>
      </c>
      <c r="P98">
        <v>1</v>
      </c>
      <c r="Q98">
        <v>0</v>
      </c>
      <c r="S98" t="s">
        <v>40</v>
      </c>
      <c r="T98" s="10">
        <v>45721</v>
      </c>
      <c r="W98" s="26">
        <v>1</v>
      </c>
      <c r="Y98" t="s">
        <v>41</v>
      </c>
      <c r="AG98" t="s">
        <v>142</v>
      </c>
      <c r="AJ98" t="s">
        <v>335</v>
      </c>
    </row>
    <row r="99" spans="1:36" x14ac:dyDescent="0.25">
      <c r="A99">
        <v>2</v>
      </c>
      <c r="B99" s="26">
        <v>5000017686</v>
      </c>
      <c r="C99" t="s">
        <v>336</v>
      </c>
      <c r="D99" s="26">
        <v>10801117</v>
      </c>
      <c r="E99">
        <v>1</v>
      </c>
      <c r="F99" t="s">
        <v>93</v>
      </c>
      <c r="G99" s="10">
        <v>45724</v>
      </c>
      <c r="H99" t="s">
        <v>36</v>
      </c>
      <c r="I99" t="s">
        <v>37</v>
      </c>
      <c r="J99" t="s">
        <v>38</v>
      </c>
      <c r="K99" t="s">
        <v>98</v>
      </c>
      <c r="L99" t="s">
        <v>39</v>
      </c>
      <c r="M99" s="26">
        <v>0</v>
      </c>
      <c r="P99">
        <v>1</v>
      </c>
      <c r="Q99">
        <v>0</v>
      </c>
      <c r="S99" t="s">
        <v>40</v>
      </c>
      <c r="T99" s="10">
        <v>45721</v>
      </c>
      <c r="W99" s="26">
        <v>1</v>
      </c>
      <c r="Y99" t="s">
        <v>41</v>
      </c>
      <c r="AG99" t="s">
        <v>142</v>
      </c>
      <c r="AJ99" t="s">
        <v>337</v>
      </c>
    </row>
    <row r="100" spans="1:36" x14ac:dyDescent="0.25">
      <c r="A100">
        <v>1</v>
      </c>
      <c r="B100">
        <v>5000004248</v>
      </c>
      <c r="C100" t="s">
        <v>155</v>
      </c>
      <c r="D100">
        <v>10801134</v>
      </c>
      <c r="E100">
        <v>10</v>
      </c>
      <c r="F100" t="s">
        <v>93</v>
      </c>
      <c r="G100" s="10">
        <v>45729</v>
      </c>
      <c r="H100" t="s">
        <v>36</v>
      </c>
      <c r="I100" t="s">
        <v>37</v>
      </c>
      <c r="J100" t="s">
        <v>38</v>
      </c>
      <c r="K100" t="s">
        <v>98</v>
      </c>
      <c r="L100" t="s">
        <v>39</v>
      </c>
      <c r="M100">
        <v>0</v>
      </c>
      <c r="P100">
        <v>10</v>
      </c>
      <c r="Q100">
        <v>0</v>
      </c>
      <c r="S100" t="s">
        <v>40</v>
      </c>
      <c r="T100" s="10">
        <v>45722</v>
      </c>
      <c r="W100">
        <v>1</v>
      </c>
      <c r="Y100" t="s">
        <v>41</v>
      </c>
      <c r="AG100" t="s">
        <v>142</v>
      </c>
      <c r="AJ100" t="s">
        <v>338</v>
      </c>
    </row>
    <row r="101" spans="1:36" x14ac:dyDescent="0.25">
      <c r="A101">
        <v>2</v>
      </c>
      <c r="B101">
        <v>5000010980</v>
      </c>
      <c r="C101" t="s">
        <v>342</v>
      </c>
      <c r="D101">
        <v>10801134</v>
      </c>
      <c r="E101">
        <v>1</v>
      </c>
      <c r="F101" t="s">
        <v>93</v>
      </c>
      <c r="G101" s="10">
        <v>45730</v>
      </c>
      <c r="H101" t="s">
        <v>36</v>
      </c>
      <c r="I101" t="s">
        <v>37</v>
      </c>
      <c r="J101" t="s">
        <v>38</v>
      </c>
      <c r="K101" t="s">
        <v>98</v>
      </c>
      <c r="L101" t="s">
        <v>39</v>
      </c>
      <c r="M101">
        <v>0</v>
      </c>
      <c r="P101">
        <v>1</v>
      </c>
      <c r="Q101">
        <v>0</v>
      </c>
      <c r="S101" t="s">
        <v>40</v>
      </c>
      <c r="T101" s="10">
        <v>45723</v>
      </c>
      <c r="W101">
        <v>1</v>
      </c>
      <c r="Y101" t="s">
        <v>41</v>
      </c>
      <c r="AG101" t="s">
        <v>142</v>
      </c>
      <c r="AJ101" t="s">
        <v>343</v>
      </c>
    </row>
    <row r="102" spans="1:36" x14ac:dyDescent="0.25">
      <c r="A102">
        <v>1</v>
      </c>
      <c r="B102">
        <v>5000015000</v>
      </c>
      <c r="C102" t="s">
        <v>176</v>
      </c>
      <c r="D102">
        <v>10801185</v>
      </c>
      <c r="E102">
        <v>2</v>
      </c>
      <c r="F102" t="s">
        <v>35</v>
      </c>
      <c r="G102" s="10">
        <v>45733</v>
      </c>
      <c r="H102" t="s">
        <v>36</v>
      </c>
      <c r="I102" t="s">
        <v>37</v>
      </c>
      <c r="J102" t="s">
        <v>38</v>
      </c>
      <c r="K102" t="s">
        <v>98</v>
      </c>
      <c r="L102" t="s">
        <v>39</v>
      </c>
      <c r="M102">
        <v>0</v>
      </c>
      <c r="P102">
        <v>2</v>
      </c>
      <c r="Q102">
        <v>0</v>
      </c>
      <c r="S102" t="s">
        <v>40</v>
      </c>
      <c r="T102" s="10">
        <v>45726</v>
      </c>
      <c r="W102">
        <v>1</v>
      </c>
      <c r="Y102" t="s">
        <v>41</v>
      </c>
      <c r="AG102" t="s">
        <v>142</v>
      </c>
      <c r="AJ102" t="s">
        <v>344</v>
      </c>
    </row>
    <row r="103" spans="1:36" x14ac:dyDescent="0.25">
      <c r="A103">
        <v>2</v>
      </c>
      <c r="B103">
        <v>5000008843</v>
      </c>
      <c r="C103" t="s">
        <v>150</v>
      </c>
      <c r="D103">
        <v>10801185</v>
      </c>
      <c r="E103">
        <v>1</v>
      </c>
      <c r="F103" t="s">
        <v>35</v>
      </c>
      <c r="G103" s="10">
        <v>45733</v>
      </c>
      <c r="H103" t="s">
        <v>36</v>
      </c>
      <c r="I103" t="s">
        <v>37</v>
      </c>
      <c r="J103" t="s">
        <v>38</v>
      </c>
      <c r="K103" t="s">
        <v>98</v>
      </c>
      <c r="L103" t="s">
        <v>39</v>
      </c>
      <c r="M103">
        <v>0</v>
      </c>
      <c r="P103">
        <v>1</v>
      </c>
      <c r="Q103">
        <v>0</v>
      </c>
      <c r="S103" t="s">
        <v>40</v>
      </c>
      <c r="T103" s="10">
        <v>45726</v>
      </c>
      <c r="W103">
        <v>1</v>
      </c>
      <c r="Y103" t="s">
        <v>41</v>
      </c>
      <c r="AG103" t="s">
        <v>142</v>
      </c>
      <c r="AJ103" t="s">
        <v>346</v>
      </c>
    </row>
    <row r="104" spans="1:36" x14ac:dyDescent="0.25">
      <c r="A104">
        <v>3</v>
      </c>
      <c r="B104">
        <v>5000016255</v>
      </c>
      <c r="C104" t="s">
        <v>110</v>
      </c>
      <c r="D104">
        <v>10801185</v>
      </c>
      <c r="E104">
        <v>1</v>
      </c>
      <c r="F104" t="s">
        <v>93</v>
      </c>
      <c r="G104" s="10">
        <v>45733</v>
      </c>
      <c r="H104" t="s">
        <v>36</v>
      </c>
      <c r="I104" t="s">
        <v>37</v>
      </c>
      <c r="J104" t="s">
        <v>38</v>
      </c>
      <c r="K104" t="s">
        <v>98</v>
      </c>
      <c r="L104" t="s">
        <v>39</v>
      </c>
      <c r="M104">
        <v>0</v>
      </c>
      <c r="P104">
        <v>1</v>
      </c>
      <c r="Q104">
        <v>0</v>
      </c>
      <c r="S104" t="s">
        <v>40</v>
      </c>
      <c r="T104" s="10">
        <v>45726</v>
      </c>
      <c r="W104">
        <v>1</v>
      </c>
      <c r="Y104" t="s">
        <v>41</v>
      </c>
      <c r="AG104" t="s">
        <v>142</v>
      </c>
      <c r="AJ104" t="s">
        <v>347</v>
      </c>
    </row>
    <row r="105" spans="1:36" x14ac:dyDescent="0.25">
      <c r="A105">
        <v>1</v>
      </c>
      <c r="B105">
        <v>5000011754</v>
      </c>
      <c r="C105" t="s">
        <v>99</v>
      </c>
      <c r="D105">
        <v>10801201</v>
      </c>
      <c r="E105">
        <v>1</v>
      </c>
      <c r="F105" t="s">
        <v>93</v>
      </c>
      <c r="G105" s="10">
        <v>45734</v>
      </c>
      <c r="H105" t="s">
        <v>36</v>
      </c>
      <c r="I105" t="s">
        <v>37</v>
      </c>
      <c r="J105" t="s">
        <v>38</v>
      </c>
      <c r="K105" t="s">
        <v>98</v>
      </c>
      <c r="L105" t="s">
        <v>39</v>
      </c>
      <c r="M105">
        <v>0</v>
      </c>
      <c r="P105">
        <v>1</v>
      </c>
      <c r="Q105">
        <v>0</v>
      </c>
      <c r="S105" t="s">
        <v>40</v>
      </c>
      <c r="T105" s="10">
        <v>45727</v>
      </c>
      <c r="W105">
        <v>1</v>
      </c>
      <c r="Y105" t="s">
        <v>41</v>
      </c>
      <c r="AG105" t="s">
        <v>142</v>
      </c>
      <c r="AJ105" t="s">
        <v>348</v>
      </c>
    </row>
    <row r="106" spans="1:36" x14ac:dyDescent="0.25">
      <c r="A106">
        <v>2</v>
      </c>
      <c r="B106">
        <v>5000015916</v>
      </c>
      <c r="C106" t="s">
        <v>293</v>
      </c>
      <c r="D106">
        <v>10801201</v>
      </c>
      <c r="E106">
        <v>1</v>
      </c>
      <c r="F106" t="s">
        <v>93</v>
      </c>
      <c r="G106" s="10">
        <v>45734</v>
      </c>
      <c r="H106" t="s">
        <v>36</v>
      </c>
      <c r="I106" t="s">
        <v>37</v>
      </c>
      <c r="J106" t="s">
        <v>38</v>
      </c>
      <c r="K106" t="s">
        <v>98</v>
      </c>
      <c r="L106" t="s">
        <v>39</v>
      </c>
      <c r="M106">
        <v>0</v>
      </c>
      <c r="P106">
        <v>1</v>
      </c>
      <c r="Q106">
        <v>0</v>
      </c>
      <c r="S106" t="s">
        <v>40</v>
      </c>
      <c r="T106" s="10">
        <v>45727</v>
      </c>
      <c r="W106">
        <v>1</v>
      </c>
      <c r="Y106" t="s">
        <v>41</v>
      </c>
      <c r="AG106" t="s">
        <v>142</v>
      </c>
      <c r="AJ106" t="s">
        <v>349</v>
      </c>
    </row>
    <row r="107" spans="1:36" x14ac:dyDescent="0.25">
      <c r="A107">
        <v>3</v>
      </c>
      <c r="B107">
        <v>5000000740</v>
      </c>
      <c r="C107" t="s">
        <v>360</v>
      </c>
      <c r="D107">
        <v>10801201</v>
      </c>
      <c r="E107">
        <v>600</v>
      </c>
      <c r="F107" t="s">
        <v>93</v>
      </c>
      <c r="G107" s="10">
        <v>45736</v>
      </c>
      <c r="H107" t="s">
        <v>36</v>
      </c>
      <c r="I107" t="s">
        <v>37</v>
      </c>
      <c r="J107" t="s">
        <v>38</v>
      </c>
      <c r="K107" t="s">
        <v>98</v>
      </c>
      <c r="L107" t="s">
        <v>39</v>
      </c>
      <c r="M107">
        <v>0</v>
      </c>
      <c r="P107">
        <v>600</v>
      </c>
      <c r="Q107">
        <v>0</v>
      </c>
      <c r="S107" t="s">
        <v>40</v>
      </c>
      <c r="T107" s="10">
        <v>45729</v>
      </c>
      <c r="W107">
        <v>1</v>
      </c>
      <c r="Y107" t="s">
        <v>41</v>
      </c>
      <c r="AG107" t="s">
        <v>142</v>
      </c>
      <c r="AJ107" t="s">
        <v>361</v>
      </c>
    </row>
    <row r="108" spans="1:36" x14ac:dyDescent="0.25">
      <c r="A108">
        <v>1</v>
      </c>
      <c r="B108">
        <v>5000016930</v>
      </c>
      <c r="C108" t="s">
        <v>203</v>
      </c>
      <c r="D108">
        <v>10801283</v>
      </c>
      <c r="E108">
        <v>2</v>
      </c>
      <c r="F108" t="s">
        <v>93</v>
      </c>
      <c r="G108" s="10">
        <v>45740</v>
      </c>
      <c r="H108" t="s">
        <v>36</v>
      </c>
      <c r="I108" t="s">
        <v>37</v>
      </c>
      <c r="J108" t="s">
        <v>38</v>
      </c>
      <c r="K108" t="s">
        <v>98</v>
      </c>
      <c r="L108" t="s">
        <v>39</v>
      </c>
      <c r="M108">
        <v>0</v>
      </c>
      <c r="P108">
        <v>2</v>
      </c>
      <c r="Q108">
        <v>0</v>
      </c>
      <c r="S108" t="s">
        <v>40</v>
      </c>
      <c r="T108" s="10">
        <v>45733</v>
      </c>
      <c r="W108">
        <v>1</v>
      </c>
      <c r="Y108" t="s">
        <v>41</v>
      </c>
      <c r="AG108" t="s">
        <v>142</v>
      </c>
      <c r="AJ108" t="s">
        <v>362</v>
      </c>
    </row>
    <row r="109" spans="1:36" x14ac:dyDescent="0.25">
      <c r="A109">
        <v>2</v>
      </c>
      <c r="B109">
        <v>5000000739</v>
      </c>
      <c r="C109" t="s">
        <v>261</v>
      </c>
      <c r="D109">
        <v>10801283</v>
      </c>
      <c r="E109">
        <v>4</v>
      </c>
      <c r="F109" t="s">
        <v>262</v>
      </c>
      <c r="G109" s="10">
        <v>45741</v>
      </c>
      <c r="H109" t="s">
        <v>36</v>
      </c>
      <c r="I109" t="s">
        <v>37</v>
      </c>
      <c r="J109" t="s">
        <v>38</v>
      </c>
      <c r="K109" t="s">
        <v>98</v>
      </c>
      <c r="L109" t="s">
        <v>39</v>
      </c>
      <c r="M109">
        <v>1</v>
      </c>
      <c r="P109">
        <v>0</v>
      </c>
      <c r="Q109">
        <v>4</v>
      </c>
      <c r="S109" t="s">
        <v>40</v>
      </c>
      <c r="T109" s="10">
        <v>45734</v>
      </c>
      <c r="U109" t="s">
        <v>40</v>
      </c>
      <c r="V109" s="25">
        <v>45735</v>
      </c>
      <c r="W109">
        <v>1</v>
      </c>
      <c r="Y109" t="s">
        <v>41</v>
      </c>
      <c r="AG109" t="s">
        <v>142</v>
      </c>
      <c r="AJ109" t="s">
        <v>363</v>
      </c>
    </row>
    <row r="110" spans="1:36" x14ac:dyDescent="0.25">
      <c r="A110">
        <v>3</v>
      </c>
      <c r="B110">
        <v>5000016554</v>
      </c>
      <c r="C110" t="s">
        <v>364</v>
      </c>
      <c r="D110">
        <v>10801283</v>
      </c>
      <c r="E110">
        <v>400</v>
      </c>
      <c r="F110" t="s">
        <v>93</v>
      </c>
      <c r="G110" s="10">
        <v>45742</v>
      </c>
      <c r="H110" t="s">
        <v>36</v>
      </c>
      <c r="I110" t="s">
        <v>37</v>
      </c>
      <c r="J110" t="s">
        <v>38</v>
      </c>
      <c r="K110" t="s">
        <v>98</v>
      </c>
      <c r="L110" t="s">
        <v>39</v>
      </c>
      <c r="M110">
        <v>0</v>
      </c>
      <c r="P110">
        <v>400</v>
      </c>
      <c r="Q110">
        <v>0</v>
      </c>
      <c r="S110" t="s">
        <v>40</v>
      </c>
      <c r="T110" s="10">
        <v>45735</v>
      </c>
      <c r="U110" t="s">
        <v>40</v>
      </c>
      <c r="V110" s="25">
        <v>45735</v>
      </c>
      <c r="W110">
        <v>1</v>
      </c>
      <c r="Y110" t="s">
        <v>41</v>
      </c>
      <c r="AG110" t="s">
        <v>142</v>
      </c>
      <c r="AJ110" t="s">
        <v>365</v>
      </c>
    </row>
    <row r="111" spans="1:36" x14ac:dyDescent="0.25">
      <c r="A111">
        <v>1</v>
      </c>
      <c r="B111">
        <v>5000000739</v>
      </c>
      <c r="C111" t="s">
        <v>261</v>
      </c>
      <c r="D111">
        <v>10801338</v>
      </c>
      <c r="E111">
        <v>3</v>
      </c>
      <c r="F111" t="s">
        <v>262</v>
      </c>
      <c r="G111" s="10">
        <v>45742</v>
      </c>
      <c r="H111" t="s">
        <v>36</v>
      </c>
      <c r="I111" t="s">
        <v>37</v>
      </c>
      <c r="J111" t="s">
        <v>38</v>
      </c>
      <c r="K111" t="s">
        <v>98</v>
      </c>
      <c r="L111" t="s">
        <v>39</v>
      </c>
      <c r="M111">
        <v>1</v>
      </c>
      <c r="P111">
        <v>0</v>
      </c>
      <c r="Q111">
        <v>3</v>
      </c>
      <c r="S111" t="s">
        <v>40</v>
      </c>
      <c r="T111" s="10">
        <v>45735</v>
      </c>
      <c r="W111">
        <v>1</v>
      </c>
      <c r="Y111" t="s">
        <v>41</v>
      </c>
      <c r="AG111" t="s">
        <v>142</v>
      </c>
      <c r="AJ111" t="s">
        <v>366</v>
      </c>
    </row>
    <row r="112" spans="1:36" x14ac:dyDescent="0.25">
      <c r="A112">
        <v>2</v>
      </c>
      <c r="B112">
        <v>5000000740</v>
      </c>
      <c r="C112" t="s">
        <v>360</v>
      </c>
      <c r="D112">
        <v>10801338</v>
      </c>
      <c r="E112">
        <v>100</v>
      </c>
      <c r="F112" t="s">
        <v>93</v>
      </c>
      <c r="G112" s="10">
        <v>45742</v>
      </c>
      <c r="H112" t="s">
        <v>36</v>
      </c>
      <c r="I112" t="s">
        <v>37</v>
      </c>
      <c r="J112" t="s">
        <v>38</v>
      </c>
      <c r="K112" t="s">
        <v>98</v>
      </c>
      <c r="L112" t="s">
        <v>39</v>
      </c>
      <c r="M112">
        <v>1</v>
      </c>
      <c r="P112">
        <v>99</v>
      </c>
      <c r="Q112">
        <v>1</v>
      </c>
      <c r="S112" t="s">
        <v>40</v>
      </c>
      <c r="T112" s="10">
        <v>45735</v>
      </c>
      <c r="W112">
        <v>1</v>
      </c>
      <c r="Y112" t="s">
        <v>41</v>
      </c>
      <c r="AG112" t="s">
        <v>142</v>
      </c>
      <c r="AJ112" t="s">
        <v>367</v>
      </c>
    </row>
    <row r="113" spans="1:36" x14ac:dyDescent="0.25">
      <c r="A113">
        <v>3</v>
      </c>
      <c r="B113">
        <v>5000014668</v>
      </c>
      <c r="C113" t="s">
        <v>368</v>
      </c>
      <c r="D113">
        <v>10801338</v>
      </c>
      <c r="E113">
        <v>1</v>
      </c>
      <c r="F113" t="s">
        <v>35</v>
      </c>
      <c r="G113" s="10">
        <v>45742</v>
      </c>
      <c r="H113" t="s">
        <v>36</v>
      </c>
      <c r="I113" t="s">
        <v>37</v>
      </c>
      <c r="J113" t="s">
        <v>38</v>
      </c>
      <c r="K113" t="s">
        <v>98</v>
      </c>
      <c r="L113" t="s">
        <v>39</v>
      </c>
      <c r="M113">
        <v>1</v>
      </c>
      <c r="P113">
        <v>0</v>
      </c>
      <c r="Q113">
        <v>1</v>
      </c>
      <c r="S113" t="s">
        <v>40</v>
      </c>
      <c r="T113" s="10">
        <v>45735</v>
      </c>
      <c r="W113">
        <v>1</v>
      </c>
      <c r="Y113" t="s">
        <v>41</v>
      </c>
      <c r="AG113" t="s">
        <v>142</v>
      </c>
      <c r="AJ113" t="s">
        <v>369</v>
      </c>
    </row>
    <row r="114" spans="1:36" x14ac:dyDescent="0.25">
      <c r="A114">
        <v>4</v>
      </c>
      <c r="B114">
        <v>5000015833</v>
      </c>
      <c r="C114" t="s">
        <v>370</v>
      </c>
      <c r="D114">
        <v>10801338</v>
      </c>
      <c r="E114">
        <v>1</v>
      </c>
      <c r="F114" t="s">
        <v>35</v>
      </c>
      <c r="G114" s="10">
        <v>45742</v>
      </c>
      <c r="H114" t="s">
        <v>36</v>
      </c>
      <c r="I114" t="s">
        <v>37</v>
      </c>
      <c r="J114" t="s">
        <v>38</v>
      </c>
      <c r="K114" t="s">
        <v>98</v>
      </c>
      <c r="L114" t="s">
        <v>39</v>
      </c>
      <c r="M114">
        <v>1</v>
      </c>
      <c r="P114">
        <v>0</v>
      </c>
      <c r="Q114">
        <v>1</v>
      </c>
      <c r="S114" t="s">
        <v>40</v>
      </c>
      <c r="T114" s="10">
        <v>45735</v>
      </c>
      <c r="V114" s="10"/>
      <c r="W114">
        <v>1</v>
      </c>
      <c r="Y114" t="s">
        <v>41</v>
      </c>
      <c r="AG114" t="s">
        <v>142</v>
      </c>
      <c r="AJ114" t="s">
        <v>371</v>
      </c>
    </row>
    <row r="115" spans="1:36" x14ac:dyDescent="0.25">
      <c r="A115">
        <v>1</v>
      </c>
      <c r="B115">
        <v>5000016541</v>
      </c>
      <c r="C115" t="s">
        <v>181</v>
      </c>
      <c r="D115">
        <v>10801342</v>
      </c>
      <c r="E115">
        <v>2</v>
      </c>
      <c r="F115" t="s">
        <v>93</v>
      </c>
      <c r="G115" s="10">
        <v>45743</v>
      </c>
      <c r="H115" t="s">
        <v>36</v>
      </c>
      <c r="I115" t="s">
        <v>37</v>
      </c>
      <c r="J115" t="s">
        <v>38</v>
      </c>
      <c r="K115" t="s">
        <v>98</v>
      </c>
      <c r="L115" t="s">
        <v>39</v>
      </c>
      <c r="M115">
        <v>0</v>
      </c>
      <c r="P115">
        <v>2</v>
      </c>
      <c r="Q115">
        <v>0</v>
      </c>
      <c r="S115" t="s">
        <v>40</v>
      </c>
      <c r="T115" s="10">
        <v>45736</v>
      </c>
      <c r="W115">
        <v>1</v>
      </c>
      <c r="Y115" t="s">
        <v>41</v>
      </c>
      <c r="AG115" t="s">
        <v>142</v>
      </c>
      <c r="AJ115" t="s">
        <v>372</v>
      </c>
    </row>
    <row r="116" spans="1:36" x14ac:dyDescent="0.25">
      <c r="A116">
        <v>2</v>
      </c>
      <c r="B116">
        <v>5000015861</v>
      </c>
      <c r="C116" t="s">
        <v>174</v>
      </c>
      <c r="D116">
        <v>10801342</v>
      </c>
      <c r="E116">
        <v>8</v>
      </c>
      <c r="F116" t="s">
        <v>35</v>
      </c>
      <c r="G116" s="10">
        <v>45743</v>
      </c>
      <c r="H116" t="s">
        <v>36</v>
      </c>
      <c r="I116" t="s">
        <v>37</v>
      </c>
      <c r="J116" t="s">
        <v>38</v>
      </c>
      <c r="K116" t="s">
        <v>98</v>
      </c>
      <c r="L116" t="s">
        <v>39</v>
      </c>
      <c r="M116">
        <v>0</v>
      </c>
      <c r="P116">
        <v>8</v>
      </c>
      <c r="Q116">
        <v>0</v>
      </c>
      <c r="S116" t="s">
        <v>40</v>
      </c>
      <c r="T116" s="10">
        <v>45736</v>
      </c>
      <c r="W116">
        <v>1</v>
      </c>
      <c r="Y116" t="s">
        <v>41</v>
      </c>
      <c r="AG116" t="s">
        <v>142</v>
      </c>
      <c r="AJ116" t="s">
        <v>373</v>
      </c>
    </row>
    <row r="117" spans="1:36" x14ac:dyDescent="0.25">
      <c r="A117">
        <v>3</v>
      </c>
      <c r="B117">
        <v>5000015000</v>
      </c>
      <c r="C117" t="s">
        <v>176</v>
      </c>
      <c r="D117">
        <v>10801342</v>
      </c>
      <c r="E117">
        <v>8</v>
      </c>
      <c r="F117" t="s">
        <v>35</v>
      </c>
      <c r="G117" s="10">
        <v>45743</v>
      </c>
      <c r="H117" t="s">
        <v>36</v>
      </c>
      <c r="I117" t="s">
        <v>37</v>
      </c>
      <c r="J117" t="s">
        <v>38</v>
      </c>
      <c r="K117" t="s">
        <v>98</v>
      </c>
      <c r="L117" t="s">
        <v>39</v>
      </c>
      <c r="M117">
        <v>0</v>
      </c>
      <c r="P117">
        <v>8</v>
      </c>
      <c r="Q117">
        <v>0</v>
      </c>
      <c r="S117" t="s">
        <v>40</v>
      </c>
      <c r="T117" s="10">
        <v>45736</v>
      </c>
      <c r="W117">
        <v>1</v>
      </c>
      <c r="Y117" t="s">
        <v>41</v>
      </c>
      <c r="AG117" t="s">
        <v>142</v>
      </c>
      <c r="AJ117" t="s">
        <v>374</v>
      </c>
    </row>
    <row r="118" spans="1:36" x14ac:dyDescent="0.25">
      <c r="A118">
        <v>4</v>
      </c>
      <c r="B118">
        <v>5000008843</v>
      </c>
      <c r="C118" t="s">
        <v>150</v>
      </c>
      <c r="D118">
        <v>10801342</v>
      </c>
      <c r="E118">
        <v>1</v>
      </c>
      <c r="F118" t="s">
        <v>35</v>
      </c>
      <c r="G118" s="10">
        <v>45743</v>
      </c>
      <c r="H118" t="s">
        <v>36</v>
      </c>
      <c r="I118" t="s">
        <v>37</v>
      </c>
      <c r="J118" t="s">
        <v>38</v>
      </c>
      <c r="K118" t="s">
        <v>98</v>
      </c>
      <c r="L118" t="s">
        <v>39</v>
      </c>
      <c r="M118">
        <v>0</v>
      </c>
      <c r="P118">
        <v>1</v>
      </c>
      <c r="Q118">
        <v>0</v>
      </c>
      <c r="S118" t="s">
        <v>40</v>
      </c>
      <c r="T118" s="10">
        <v>45736</v>
      </c>
      <c r="W118">
        <v>1</v>
      </c>
      <c r="Y118" t="s">
        <v>41</v>
      </c>
      <c r="AG118" t="s">
        <v>142</v>
      </c>
      <c r="AJ118" t="s">
        <v>375</v>
      </c>
    </row>
    <row r="119" spans="1:36" x14ac:dyDescent="0.25">
      <c r="A119">
        <v>5</v>
      </c>
      <c r="B119">
        <v>5000016308</v>
      </c>
      <c r="C119" t="s">
        <v>143</v>
      </c>
      <c r="D119">
        <v>10801342</v>
      </c>
      <c r="E119">
        <v>1</v>
      </c>
      <c r="F119" t="s">
        <v>35</v>
      </c>
      <c r="G119" s="10">
        <v>45743</v>
      </c>
      <c r="H119" t="s">
        <v>36</v>
      </c>
      <c r="I119" t="s">
        <v>37</v>
      </c>
      <c r="J119" t="s">
        <v>38</v>
      </c>
      <c r="K119" t="s">
        <v>98</v>
      </c>
      <c r="L119" t="s">
        <v>39</v>
      </c>
      <c r="M119">
        <v>0</v>
      </c>
      <c r="P119">
        <v>1</v>
      </c>
      <c r="Q119">
        <v>0</v>
      </c>
      <c r="S119" t="s">
        <v>40</v>
      </c>
      <c r="T119" s="10">
        <v>45736</v>
      </c>
      <c r="W119">
        <v>1</v>
      </c>
      <c r="Y119" t="s">
        <v>41</v>
      </c>
      <c r="AG119" t="s">
        <v>142</v>
      </c>
      <c r="AJ119" t="s">
        <v>376</v>
      </c>
    </row>
    <row r="120" spans="1:36" x14ac:dyDescent="0.25">
      <c r="A120">
        <v>6</v>
      </c>
      <c r="B120">
        <v>5000005059</v>
      </c>
      <c r="C120" t="s">
        <v>153</v>
      </c>
      <c r="D120">
        <v>10801342</v>
      </c>
      <c r="E120">
        <v>1</v>
      </c>
      <c r="F120" t="s">
        <v>93</v>
      </c>
      <c r="G120" s="10">
        <v>45743</v>
      </c>
      <c r="H120" t="s">
        <v>36</v>
      </c>
      <c r="I120" t="s">
        <v>37</v>
      </c>
      <c r="J120" t="s">
        <v>38</v>
      </c>
      <c r="K120" t="s">
        <v>98</v>
      </c>
      <c r="L120" t="s">
        <v>39</v>
      </c>
      <c r="M120">
        <v>0</v>
      </c>
      <c r="P120">
        <v>1</v>
      </c>
      <c r="Q120">
        <v>0</v>
      </c>
      <c r="S120" t="s">
        <v>40</v>
      </c>
      <c r="T120" s="10">
        <v>45736</v>
      </c>
      <c r="W120">
        <v>1</v>
      </c>
      <c r="Y120" t="s">
        <v>41</v>
      </c>
      <c r="AG120" t="s">
        <v>142</v>
      </c>
      <c r="AJ120" t="s">
        <v>377</v>
      </c>
    </row>
    <row r="121" spans="1:36" x14ac:dyDescent="0.25">
      <c r="A121">
        <v>7</v>
      </c>
      <c r="B121">
        <v>5000004248</v>
      </c>
      <c r="C121" t="s">
        <v>155</v>
      </c>
      <c r="D121">
        <v>10801342</v>
      </c>
      <c r="E121">
        <v>1</v>
      </c>
      <c r="F121" t="s">
        <v>93</v>
      </c>
      <c r="G121" s="10">
        <v>45743</v>
      </c>
      <c r="H121" t="s">
        <v>36</v>
      </c>
      <c r="I121" t="s">
        <v>37</v>
      </c>
      <c r="J121" t="s">
        <v>38</v>
      </c>
      <c r="K121" t="s">
        <v>98</v>
      </c>
      <c r="L121" t="s">
        <v>39</v>
      </c>
      <c r="M121">
        <v>0</v>
      </c>
      <c r="P121">
        <v>1</v>
      </c>
      <c r="Q121">
        <v>0</v>
      </c>
      <c r="S121" t="s">
        <v>40</v>
      </c>
      <c r="T121" s="10">
        <v>45736</v>
      </c>
      <c r="W121">
        <v>1</v>
      </c>
      <c r="Y121" t="s">
        <v>41</v>
      </c>
      <c r="AG121" t="s">
        <v>142</v>
      </c>
      <c r="AJ121" t="s">
        <v>378</v>
      </c>
    </row>
    <row r="122" spans="1:36" x14ac:dyDescent="0.25">
      <c r="A122">
        <v>8</v>
      </c>
      <c r="B122">
        <v>5000014904</v>
      </c>
      <c r="C122" t="s">
        <v>204</v>
      </c>
      <c r="D122">
        <v>10801342</v>
      </c>
      <c r="E122">
        <v>1</v>
      </c>
      <c r="F122" t="s">
        <v>35</v>
      </c>
      <c r="G122" s="10">
        <v>45743</v>
      </c>
      <c r="H122" t="s">
        <v>36</v>
      </c>
      <c r="I122" t="s">
        <v>37</v>
      </c>
      <c r="J122" t="s">
        <v>38</v>
      </c>
      <c r="K122" t="s">
        <v>98</v>
      </c>
      <c r="L122" t="s">
        <v>39</v>
      </c>
      <c r="M122">
        <v>0</v>
      </c>
      <c r="P122">
        <v>1</v>
      </c>
      <c r="Q122">
        <v>0</v>
      </c>
      <c r="S122" t="s">
        <v>40</v>
      </c>
      <c r="T122" s="10">
        <v>45736</v>
      </c>
      <c r="V122" s="25"/>
      <c r="W122">
        <v>1</v>
      </c>
      <c r="Y122" t="s">
        <v>41</v>
      </c>
      <c r="AG122" t="s">
        <v>142</v>
      </c>
      <c r="AJ122" t="s">
        <v>379</v>
      </c>
    </row>
    <row r="123" spans="1:36" x14ac:dyDescent="0.25">
      <c r="A123">
        <v>9</v>
      </c>
      <c r="B123">
        <v>5000011754</v>
      </c>
      <c r="C123" t="s">
        <v>99</v>
      </c>
      <c r="D123">
        <v>10801342</v>
      </c>
      <c r="E123">
        <v>2</v>
      </c>
      <c r="F123" t="s">
        <v>93</v>
      </c>
      <c r="G123" s="10">
        <v>45743</v>
      </c>
      <c r="H123" t="s">
        <v>36</v>
      </c>
      <c r="I123" t="s">
        <v>37</v>
      </c>
      <c r="J123" t="s">
        <v>38</v>
      </c>
      <c r="K123" t="s">
        <v>98</v>
      </c>
      <c r="L123" t="s">
        <v>39</v>
      </c>
      <c r="M123">
        <v>0</v>
      </c>
      <c r="P123">
        <v>2</v>
      </c>
      <c r="Q123">
        <v>0</v>
      </c>
      <c r="S123" t="s">
        <v>40</v>
      </c>
      <c r="T123" s="10">
        <v>45736</v>
      </c>
      <c r="V123" s="25"/>
      <c r="W123">
        <v>1</v>
      </c>
      <c r="Y123" t="s">
        <v>41</v>
      </c>
      <c r="AG123" t="s">
        <v>142</v>
      </c>
      <c r="AJ123" t="s">
        <v>348</v>
      </c>
    </row>
    <row r="124" spans="1:36" x14ac:dyDescent="0.25">
      <c r="A124">
        <v>10</v>
      </c>
      <c r="B124">
        <v>5000016428</v>
      </c>
      <c r="C124" t="s">
        <v>157</v>
      </c>
      <c r="D124">
        <v>10801342</v>
      </c>
      <c r="E124">
        <v>1</v>
      </c>
      <c r="F124" t="s">
        <v>35</v>
      </c>
      <c r="G124" s="10">
        <v>45743</v>
      </c>
      <c r="H124" t="s">
        <v>36</v>
      </c>
      <c r="I124" t="s">
        <v>37</v>
      </c>
      <c r="J124" t="s">
        <v>38</v>
      </c>
      <c r="K124" t="s">
        <v>98</v>
      </c>
      <c r="L124" t="s">
        <v>39</v>
      </c>
      <c r="M124">
        <v>0</v>
      </c>
      <c r="P124">
        <v>1</v>
      </c>
      <c r="Q124">
        <v>0</v>
      </c>
      <c r="S124" t="s">
        <v>40</v>
      </c>
      <c r="T124" s="10">
        <v>45736</v>
      </c>
      <c r="W124">
        <v>1</v>
      </c>
      <c r="Y124" t="s">
        <v>41</v>
      </c>
      <c r="AG124" t="s">
        <v>142</v>
      </c>
      <c r="AJ124" t="s">
        <v>380</v>
      </c>
    </row>
    <row r="125" spans="1:36" x14ac:dyDescent="0.25">
      <c r="A125">
        <v>11</v>
      </c>
      <c r="B125">
        <v>5000017717</v>
      </c>
      <c r="C125" t="s">
        <v>381</v>
      </c>
      <c r="D125">
        <v>10801342</v>
      </c>
      <c r="E125">
        <v>4</v>
      </c>
      <c r="F125" t="s">
        <v>93</v>
      </c>
      <c r="G125" s="10">
        <v>45743</v>
      </c>
      <c r="H125" t="s">
        <v>382</v>
      </c>
      <c r="I125" t="s">
        <v>37</v>
      </c>
      <c r="J125" t="s">
        <v>38</v>
      </c>
      <c r="K125" t="s">
        <v>98</v>
      </c>
      <c r="L125" t="s">
        <v>39</v>
      </c>
      <c r="M125">
        <v>0</v>
      </c>
      <c r="P125">
        <v>4</v>
      </c>
      <c r="Q125">
        <v>0</v>
      </c>
      <c r="S125" t="s">
        <v>40</v>
      </c>
      <c r="T125" s="10">
        <v>45736</v>
      </c>
      <c r="W125">
        <v>1</v>
      </c>
      <c r="Y125" t="s">
        <v>41</v>
      </c>
      <c r="AG125" t="s">
        <v>142</v>
      </c>
      <c r="AJ125" t="s">
        <v>387</v>
      </c>
    </row>
    <row r="126" spans="1:36" x14ac:dyDescent="0.25">
      <c r="A126">
        <v>12</v>
      </c>
      <c r="B126">
        <v>5000013911</v>
      </c>
      <c r="C126" t="s">
        <v>385</v>
      </c>
      <c r="D126">
        <v>10801342</v>
      </c>
      <c r="E126">
        <v>1</v>
      </c>
      <c r="F126" t="s">
        <v>93</v>
      </c>
      <c r="G126" s="10">
        <v>45743</v>
      </c>
      <c r="H126" t="s">
        <v>36</v>
      </c>
      <c r="I126" t="s">
        <v>37</v>
      </c>
      <c r="J126" t="s">
        <v>38</v>
      </c>
      <c r="K126" t="s">
        <v>98</v>
      </c>
      <c r="L126" t="s">
        <v>39</v>
      </c>
      <c r="M126">
        <v>0</v>
      </c>
      <c r="P126">
        <v>1</v>
      </c>
      <c r="Q126">
        <v>0</v>
      </c>
      <c r="S126" t="s">
        <v>40</v>
      </c>
      <c r="T126" s="10">
        <v>45736</v>
      </c>
      <c r="W126">
        <v>1</v>
      </c>
      <c r="Y126" t="s">
        <v>41</v>
      </c>
      <c r="AG126" t="s">
        <v>142</v>
      </c>
      <c r="AJ126" t="s">
        <v>386</v>
      </c>
    </row>
    <row r="127" spans="1:36" x14ac:dyDescent="0.25">
      <c r="A127">
        <v>1</v>
      </c>
      <c r="B127">
        <v>5000016322</v>
      </c>
      <c r="C127" t="s">
        <v>388</v>
      </c>
      <c r="D127">
        <v>10801360</v>
      </c>
      <c r="E127">
        <v>10</v>
      </c>
      <c r="F127" t="s">
        <v>93</v>
      </c>
      <c r="G127" s="10">
        <v>45744</v>
      </c>
      <c r="H127" t="s">
        <v>36</v>
      </c>
      <c r="I127" t="s">
        <v>37</v>
      </c>
      <c r="J127" t="s">
        <v>38</v>
      </c>
      <c r="K127" t="s">
        <v>98</v>
      </c>
      <c r="L127" t="s">
        <v>39</v>
      </c>
      <c r="M127">
        <v>0</v>
      </c>
      <c r="P127">
        <v>10</v>
      </c>
      <c r="Q127">
        <v>0</v>
      </c>
      <c r="S127" t="s">
        <v>40</v>
      </c>
      <c r="T127" s="10">
        <v>45737</v>
      </c>
      <c r="W127">
        <v>1</v>
      </c>
      <c r="Y127" t="s">
        <v>41</v>
      </c>
      <c r="AG127" t="s">
        <v>142</v>
      </c>
      <c r="AJ127" t="s">
        <v>389</v>
      </c>
    </row>
    <row r="128" spans="1:36" x14ac:dyDescent="0.25">
      <c r="A128">
        <v>1</v>
      </c>
      <c r="B128">
        <v>5000017047</v>
      </c>
      <c r="C128" t="s">
        <v>393</v>
      </c>
      <c r="D128">
        <v>10801446</v>
      </c>
      <c r="E128">
        <v>1</v>
      </c>
      <c r="F128" t="s">
        <v>93</v>
      </c>
      <c r="G128" s="10">
        <v>45749</v>
      </c>
      <c r="H128" t="s">
        <v>36</v>
      </c>
      <c r="I128" t="s">
        <v>37</v>
      </c>
      <c r="J128" t="s">
        <v>38</v>
      </c>
      <c r="K128" t="s">
        <v>98</v>
      </c>
      <c r="L128" t="s">
        <v>39</v>
      </c>
      <c r="M128">
        <v>0</v>
      </c>
      <c r="P128">
        <v>1</v>
      </c>
      <c r="Q128">
        <v>0</v>
      </c>
      <c r="S128" t="s">
        <v>40</v>
      </c>
      <c r="T128" s="10">
        <v>45742</v>
      </c>
      <c r="W128">
        <v>1</v>
      </c>
      <c r="Y128" t="s">
        <v>41</v>
      </c>
      <c r="AG128" t="s">
        <v>142</v>
      </c>
      <c r="AJ128" t="s">
        <v>394</v>
      </c>
    </row>
    <row r="129" spans="1:36" x14ac:dyDescent="0.25">
      <c r="A129">
        <v>2</v>
      </c>
      <c r="B129">
        <v>5000015861</v>
      </c>
      <c r="C129" t="s">
        <v>174</v>
      </c>
      <c r="D129">
        <v>10801446</v>
      </c>
      <c r="E129">
        <v>1</v>
      </c>
      <c r="F129" t="s">
        <v>35</v>
      </c>
      <c r="G129" s="10">
        <v>45750</v>
      </c>
      <c r="H129" t="s">
        <v>36</v>
      </c>
      <c r="I129" t="s">
        <v>37</v>
      </c>
      <c r="J129" t="s">
        <v>38</v>
      </c>
      <c r="K129" t="s">
        <v>98</v>
      </c>
      <c r="L129" t="s">
        <v>39</v>
      </c>
      <c r="M129">
        <v>0</v>
      </c>
      <c r="P129">
        <v>1</v>
      </c>
      <c r="Q129">
        <v>0</v>
      </c>
      <c r="S129" t="s">
        <v>40</v>
      </c>
      <c r="T129" s="10">
        <v>45743</v>
      </c>
      <c r="W129">
        <v>1</v>
      </c>
      <c r="Y129" t="s">
        <v>41</v>
      </c>
      <c r="AG129" t="s">
        <v>142</v>
      </c>
      <c r="AJ129" t="s">
        <v>395</v>
      </c>
    </row>
    <row r="130" spans="1:36" x14ac:dyDescent="0.25">
      <c r="A130">
        <v>3</v>
      </c>
      <c r="B130">
        <v>5000015000</v>
      </c>
      <c r="C130" t="s">
        <v>176</v>
      </c>
      <c r="D130">
        <v>10801446</v>
      </c>
      <c r="E130">
        <v>2</v>
      </c>
      <c r="F130" t="s">
        <v>35</v>
      </c>
      <c r="G130" s="10">
        <v>45750</v>
      </c>
      <c r="H130" t="s">
        <v>36</v>
      </c>
      <c r="I130" t="s">
        <v>37</v>
      </c>
      <c r="J130" t="s">
        <v>38</v>
      </c>
      <c r="K130" t="s">
        <v>98</v>
      </c>
      <c r="L130" t="s">
        <v>39</v>
      </c>
      <c r="M130">
        <v>0</v>
      </c>
      <c r="P130">
        <v>2</v>
      </c>
      <c r="Q130">
        <v>0</v>
      </c>
      <c r="S130" t="s">
        <v>40</v>
      </c>
      <c r="T130" s="10">
        <v>45743</v>
      </c>
      <c r="W130">
        <v>1</v>
      </c>
      <c r="Y130" t="s">
        <v>41</v>
      </c>
      <c r="AG130" t="s">
        <v>142</v>
      </c>
      <c r="AJ130" t="s">
        <v>396</v>
      </c>
    </row>
    <row r="131" spans="1:36" x14ac:dyDescent="0.25">
      <c r="A131">
        <v>4</v>
      </c>
      <c r="B131">
        <v>5000004248</v>
      </c>
      <c r="C131" t="s">
        <v>155</v>
      </c>
      <c r="D131">
        <v>10801446</v>
      </c>
      <c r="E131">
        <v>10</v>
      </c>
      <c r="F131" t="s">
        <v>93</v>
      </c>
      <c r="G131" s="10">
        <v>45750</v>
      </c>
      <c r="H131" t="s">
        <v>36</v>
      </c>
      <c r="I131" t="s">
        <v>37</v>
      </c>
      <c r="J131" t="s">
        <v>38</v>
      </c>
      <c r="K131" t="s">
        <v>98</v>
      </c>
      <c r="L131" t="s">
        <v>39</v>
      </c>
      <c r="M131">
        <v>0</v>
      </c>
      <c r="P131">
        <v>10</v>
      </c>
      <c r="Q131">
        <v>0</v>
      </c>
      <c r="S131" t="s">
        <v>40</v>
      </c>
      <c r="T131" s="10">
        <v>45743</v>
      </c>
      <c r="W131">
        <v>1</v>
      </c>
      <c r="Y131" t="s">
        <v>41</v>
      </c>
      <c r="AG131" t="s">
        <v>142</v>
      </c>
      <c r="AJ131" t="s">
        <v>397</v>
      </c>
    </row>
    <row r="132" spans="1:36" x14ac:dyDescent="0.25">
      <c r="A132">
        <v>5</v>
      </c>
      <c r="B132">
        <v>5000016930</v>
      </c>
      <c r="C132" t="s">
        <v>203</v>
      </c>
      <c r="D132">
        <v>10801446</v>
      </c>
      <c r="E132">
        <v>1</v>
      </c>
      <c r="F132" t="s">
        <v>93</v>
      </c>
      <c r="G132" s="10">
        <v>45750</v>
      </c>
      <c r="H132" t="s">
        <v>36</v>
      </c>
      <c r="I132" t="s">
        <v>37</v>
      </c>
      <c r="J132" t="s">
        <v>38</v>
      </c>
      <c r="K132" t="s">
        <v>98</v>
      </c>
      <c r="L132" t="s">
        <v>39</v>
      </c>
      <c r="M132">
        <v>0</v>
      </c>
      <c r="P132">
        <v>1</v>
      </c>
      <c r="Q132">
        <v>0</v>
      </c>
      <c r="S132" t="s">
        <v>40</v>
      </c>
      <c r="T132" s="10">
        <v>45743</v>
      </c>
      <c r="W132">
        <v>1</v>
      </c>
      <c r="Y132" t="s">
        <v>41</v>
      </c>
      <c r="AG132" t="s">
        <v>142</v>
      </c>
      <c r="AJ132" t="s">
        <v>398</v>
      </c>
    </row>
    <row r="133" spans="1:36" x14ac:dyDescent="0.25">
      <c r="A133">
        <v>1</v>
      </c>
      <c r="B133">
        <v>5000016728</v>
      </c>
      <c r="C133" t="s">
        <v>146</v>
      </c>
      <c r="D133">
        <v>10801463</v>
      </c>
      <c r="E133">
        <v>1</v>
      </c>
      <c r="F133" t="s">
        <v>35</v>
      </c>
      <c r="G133" s="10">
        <v>45761</v>
      </c>
      <c r="H133" t="s">
        <v>36</v>
      </c>
      <c r="I133" t="s">
        <v>37</v>
      </c>
      <c r="J133" t="s">
        <v>38</v>
      </c>
      <c r="K133" t="s">
        <v>98</v>
      </c>
      <c r="L133" t="s">
        <v>39</v>
      </c>
      <c r="M133">
        <v>0</v>
      </c>
      <c r="P133">
        <v>1</v>
      </c>
      <c r="Q133">
        <v>0</v>
      </c>
      <c r="S133" t="s">
        <v>40</v>
      </c>
      <c r="T133" s="10">
        <v>45754</v>
      </c>
      <c r="W133">
        <v>1</v>
      </c>
      <c r="Y133" t="s">
        <v>41</v>
      </c>
      <c r="AG133" t="s">
        <v>142</v>
      </c>
      <c r="AJ133" t="s">
        <v>399</v>
      </c>
    </row>
    <row r="134" spans="1:36" x14ac:dyDescent="0.25">
      <c r="A134">
        <v>2</v>
      </c>
      <c r="B134">
        <v>5000016779</v>
      </c>
      <c r="C134" t="s">
        <v>267</v>
      </c>
      <c r="D134">
        <v>10801463</v>
      </c>
      <c r="E134">
        <v>1</v>
      </c>
      <c r="F134" t="s">
        <v>35</v>
      </c>
      <c r="G134" s="10">
        <v>45761</v>
      </c>
      <c r="H134" t="s">
        <v>36</v>
      </c>
      <c r="I134" t="s">
        <v>37</v>
      </c>
      <c r="J134" t="s">
        <v>38</v>
      </c>
      <c r="K134" t="s">
        <v>98</v>
      </c>
      <c r="L134" t="s">
        <v>39</v>
      </c>
      <c r="M134">
        <v>0</v>
      </c>
      <c r="P134">
        <v>1</v>
      </c>
      <c r="Q134">
        <v>0</v>
      </c>
      <c r="S134" t="s">
        <v>40</v>
      </c>
      <c r="T134" s="10">
        <v>45754</v>
      </c>
      <c r="U134" t="s">
        <v>40</v>
      </c>
      <c r="V134" s="25">
        <v>45754</v>
      </c>
      <c r="W134">
        <v>1</v>
      </c>
      <c r="Y134" t="s">
        <v>41</v>
      </c>
      <c r="AG134" t="s">
        <v>142</v>
      </c>
      <c r="AJ134" t="s">
        <v>400</v>
      </c>
    </row>
    <row r="135" spans="1:36" x14ac:dyDescent="0.25">
      <c r="A135">
        <v>1</v>
      </c>
      <c r="B135">
        <v>5000016930</v>
      </c>
      <c r="C135" t="s">
        <v>203</v>
      </c>
      <c r="D135">
        <v>10801473</v>
      </c>
      <c r="E135">
        <v>1</v>
      </c>
      <c r="F135" t="s">
        <v>93</v>
      </c>
      <c r="G135" s="10">
        <v>45762</v>
      </c>
      <c r="H135" t="s">
        <v>36</v>
      </c>
      <c r="I135" t="s">
        <v>37</v>
      </c>
      <c r="J135" t="s">
        <v>38</v>
      </c>
      <c r="K135" t="s">
        <v>98</v>
      </c>
      <c r="L135" t="s">
        <v>39</v>
      </c>
      <c r="M135">
        <v>0</v>
      </c>
      <c r="P135">
        <v>1</v>
      </c>
      <c r="Q135">
        <v>0</v>
      </c>
      <c r="S135" t="s">
        <v>40</v>
      </c>
      <c r="T135" s="10">
        <v>45755</v>
      </c>
      <c r="W135">
        <v>1</v>
      </c>
      <c r="Y135" t="s">
        <v>41</v>
      </c>
      <c r="AG135" t="s">
        <v>142</v>
      </c>
      <c r="AJ135" t="s">
        <v>401</v>
      </c>
    </row>
    <row r="136" spans="1:36" x14ac:dyDescent="0.25">
      <c r="A136">
        <v>2</v>
      </c>
      <c r="B136">
        <v>5000016693</v>
      </c>
      <c r="C136" t="s">
        <v>402</v>
      </c>
      <c r="D136">
        <v>10801473</v>
      </c>
      <c r="E136">
        <v>1</v>
      </c>
      <c r="F136" t="s">
        <v>93</v>
      </c>
      <c r="G136" s="10">
        <v>45762</v>
      </c>
      <c r="H136" t="s">
        <v>36</v>
      </c>
      <c r="I136" t="s">
        <v>37</v>
      </c>
      <c r="J136" t="s">
        <v>38</v>
      </c>
      <c r="K136" t="s">
        <v>98</v>
      </c>
      <c r="L136" t="s">
        <v>39</v>
      </c>
      <c r="M136">
        <v>0</v>
      </c>
      <c r="P136">
        <v>1</v>
      </c>
      <c r="Q136">
        <v>0</v>
      </c>
      <c r="S136" t="s">
        <v>40</v>
      </c>
      <c r="T136" s="10">
        <v>45755</v>
      </c>
      <c r="W136">
        <v>1</v>
      </c>
      <c r="Y136" t="s">
        <v>41</v>
      </c>
      <c r="AG136" t="s">
        <v>142</v>
      </c>
      <c r="AJ136" t="s">
        <v>403</v>
      </c>
    </row>
    <row r="137" spans="1:36" x14ac:dyDescent="0.25">
      <c r="A137">
        <v>3</v>
      </c>
      <c r="B137">
        <v>5000016692</v>
      </c>
      <c r="C137" t="s">
        <v>404</v>
      </c>
      <c r="D137">
        <v>10801473</v>
      </c>
      <c r="E137">
        <v>1</v>
      </c>
      <c r="F137" t="s">
        <v>35</v>
      </c>
      <c r="G137" s="10">
        <v>45762</v>
      </c>
      <c r="H137" t="s">
        <v>36</v>
      </c>
      <c r="I137" t="s">
        <v>37</v>
      </c>
      <c r="J137" t="s">
        <v>38</v>
      </c>
      <c r="K137" t="s">
        <v>98</v>
      </c>
      <c r="L137" t="s">
        <v>39</v>
      </c>
      <c r="M137">
        <v>0</v>
      </c>
      <c r="P137">
        <v>1</v>
      </c>
      <c r="Q137">
        <v>0</v>
      </c>
      <c r="S137" t="s">
        <v>40</v>
      </c>
      <c r="T137" s="10">
        <v>45755</v>
      </c>
      <c r="W137">
        <v>1</v>
      </c>
      <c r="Y137" t="s">
        <v>41</v>
      </c>
      <c r="AG137" t="s">
        <v>142</v>
      </c>
      <c r="AJ137" t="s">
        <v>405</v>
      </c>
    </row>
    <row r="138" spans="1:36" x14ac:dyDescent="0.25">
      <c r="A138">
        <v>1</v>
      </c>
      <c r="B138">
        <v>5000014291</v>
      </c>
      <c r="C138" t="s">
        <v>406</v>
      </c>
      <c r="D138">
        <v>10801580</v>
      </c>
      <c r="E138">
        <v>1</v>
      </c>
      <c r="F138" t="s">
        <v>296</v>
      </c>
      <c r="G138" s="10">
        <v>45766</v>
      </c>
      <c r="H138" t="s">
        <v>36</v>
      </c>
      <c r="I138" t="s">
        <v>37</v>
      </c>
      <c r="J138" t="s">
        <v>38</v>
      </c>
      <c r="K138" t="s">
        <v>98</v>
      </c>
      <c r="L138" t="s">
        <v>39</v>
      </c>
      <c r="M138">
        <v>0</v>
      </c>
      <c r="P138">
        <v>1</v>
      </c>
      <c r="Q138">
        <v>0</v>
      </c>
      <c r="S138" t="s">
        <v>40</v>
      </c>
      <c r="T138" s="10">
        <v>45759</v>
      </c>
      <c r="W138">
        <v>1</v>
      </c>
      <c r="Y138" t="s">
        <v>41</v>
      </c>
      <c r="AG138" t="s">
        <v>142</v>
      </c>
      <c r="AJ138" t="s">
        <v>407</v>
      </c>
    </row>
    <row r="139" spans="1:36" x14ac:dyDescent="0.25">
      <c r="A139">
        <v>2</v>
      </c>
      <c r="B139">
        <v>5000015382</v>
      </c>
      <c r="C139" t="s">
        <v>408</v>
      </c>
      <c r="D139">
        <v>10801580</v>
      </c>
      <c r="E139">
        <v>1</v>
      </c>
      <c r="F139" t="s">
        <v>296</v>
      </c>
      <c r="G139" s="10">
        <v>45766</v>
      </c>
      <c r="H139" t="s">
        <v>36</v>
      </c>
      <c r="I139" t="s">
        <v>37</v>
      </c>
      <c r="J139" t="s">
        <v>38</v>
      </c>
      <c r="K139" t="s">
        <v>98</v>
      </c>
      <c r="L139" t="s">
        <v>39</v>
      </c>
      <c r="M139">
        <v>0</v>
      </c>
      <c r="P139">
        <v>1</v>
      </c>
      <c r="Q139">
        <v>0</v>
      </c>
      <c r="S139" t="s">
        <v>40</v>
      </c>
      <c r="T139" s="10">
        <v>45759</v>
      </c>
      <c r="W139">
        <v>1</v>
      </c>
      <c r="Y139" t="s">
        <v>41</v>
      </c>
      <c r="AG139" t="s">
        <v>142</v>
      </c>
      <c r="AJ139" t="s">
        <v>409</v>
      </c>
    </row>
    <row r="140" spans="1:36" x14ac:dyDescent="0.25">
      <c r="A140">
        <v>1</v>
      </c>
      <c r="B140">
        <v>5000017752</v>
      </c>
      <c r="C140" t="s">
        <v>412</v>
      </c>
      <c r="D140">
        <v>10801637</v>
      </c>
      <c r="E140">
        <v>2</v>
      </c>
      <c r="F140" t="s">
        <v>93</v>
      </c>
      <c r="G140" s="10">
        <v>45769</v>
      </c>
      <c r="H140" t="s">
        <v>36</v>
      </c>
      <c r="I140" t="s">
        <v>37</v>
      </c>
      <c r="J140" t="s">
        <v>38</v>
      </c>
      <c r="K140" t="s">
        <v>98</v>
      </c>
      <c r="L140" t="s">
        <v>39</v>
      </c>
      <c r="M140">
        <v>0</v>
      </c>
      <c r="P140">
        <v>2</v>
      </c>
      <c r="Q140">
        <v>0</v>
      </c>
      <c r="S140" t="s">
        <v>40</v>
      </c>
      <c r="T140" s="10">
        <v>45762</v>
      </c>
      <c r="W140">
        <v>1</v>
      </c>
      <c r="Y140" t="s">
        <v>41</v>
      </c>
      <c r="AG140" t="s">
        <v>142</v>
      </c>
      <c r="AJ140" t="s">
        <v>413</v>
      </c>
    </row>
    <row r="141" spans="1:36" x14ac:dyDescent="0.25">
      <c r="A141">
        <v>2</v>
      </c>
      <c r="B141">
        <v>5000015861</v>
      </c>
      <c r="C141" t="s">
        <v>174</v>
      </c>
      <c r="D141">
        <v>10801637</v>
      </c>
      <c r="E141">
        <v>1</v>
      </c>
      <c r="F141" t="s">
        <v>35</v>
      </c>
      <c r="G141" s="10">
        <v>45770</v>
      </c>
      <c r="H141" t="s">
        <v>36</v>
      </c>
      <c r="I141" t="s">
        <v>37</v>
      </c>
      <c r="J141" t="s">
        <v>38</v>
      </c>
      <c r="K141" t="s">
        <v>98</v>
      </c>
      <c r="L141" t="s">
        <v>39</v>
      </c>
      <c r="M141">
        <v>0</v>
      </c>
      <c r="P141">
        <v>1</v>
      </c>
      <c r="Q141">
        <v>0</v>
      </c>
      <c r="S141" t="s">
        <v>40</v>
      </c>
      <c r="T141" s="10">
        <v>45763</v>
      </c>
      <c r="W141">
        <v>1</v>
      </c>
      <c r="Y141" t="s">
        <v>41</v>
      </c>
      <c r="AG141" t="s">
        <v>142</v>
      </c>
      <c r="AJ141" t="s">
        <v>414</v>
      </c>
    </row>
    <row r="142" spans="1:36" x14ac:dyDescent="0.25">
      <c r="A142">
        <v>3</v>
      </c>
      <c r="B142">
        <v>5000015000</v>
      </c>
      <c r="C142" t="s">
        <v>176</v>
      </c>
      <c r="D142">
        <v>10801637</v>
      </c>
      <c r="E142">
        <v>1</v>
      </c>
      <c r="F142" t="s">
        <v>35</v>
      </c>
      <c r="G142" s="10">
        <v>45770</v>
      </c>
      <c r="H142" t="s">
        <v>36</v>
      </c>
      <c r="I142" t="s">
        <v>37</v>
      </c>
      <c r="J142" t="s">
        <v>38</v>
      </c>
      <c r="K142" t="s">
        <v>98</v>
      </c>
      <c r="L142" t="s">
        <v>39</v>
      </c>
      <c r="M142">
        <v>0</v>
      </c>
      <c r="P142">
        <v>1</v>
      </c>
      <c r="Q142">
        <v>0</v>
      </c>
      <c r="S142" t="s">
        <v>40</v>
      </c>
      <c r="T142" s="10">
        <v>45763</v>
      </c>
      <c r="W142">
        <v>1</v>
      </c>
      <c r="Y142" t="s">
        <v>41</v>
      </c>
      <c r="AG142" t="s">
        <v>142</v>
      </c>
      <c r="AJ142" t="s">
        <v>415</v>
      </c>
    </row>
    <row r="143" spans="1:36" x14ac:dyDescent="0.25">
      <c r="A143">
        <v>1</v>
      </c>
      <c r="B143">
        <v>5000008843</v>
      </c>
      <c r="C143" t="s">
        <v>150</v>
      </c>
      <c r="D143">
        <v>10801659</v>
      </c>
      <c r="E143">
        <v>1</v>
      </c>
      <c r="F143" t="s">
        <v>35</v>
      </c>
      <c r="G143" s="10">
        <v>45771</v>
      </c>
      <c r="H143" t="s">
        <v>36</v>
      </c>
      <c r="I143" t="s">
        <v>37</v>
      </c>
      <c r="J143" t="s">
        <v>38</v>
      </c>
      <c r="K143" t="s">
        <v>98</v>
      </c>
      <c r="L143" t="s">
        <v>39</v>
      </c>
      <c r="M143">
        <v>0</v>
      </c>
      <c r="P143">
        <v>1</v>
      </c>
      <c r="Q143">
        <v>0</v>
      </c>
      <c r="S143" t="s">
        <v>40</v>
      </c>
      <c r="T143" s="10">
        <v>45764</v>
      </c>
      <c r="W143">
        <v>1</v>
      </c>
      <c r="Y143" t="s">
        <v>41</v>
      </c>
      <c r="AG143" t="s">
        <v>142</v>
      </c>
      <c r="AJ143" t="s">
        <v>416</v>
      </c>
    </row>
    <row r="144" spans="1:36" x14ac:dyDescent="0.25">
      <c r="A144">
        <v>2</v>
      </c>
      <c r="B144">
        <v>5000016308</v>
      </c>
      <c r="C144" t="s">
        <v>143</v>
      </c>
      <c r="D144">
        <v>10801659</v>
      </c>
      <c r="E144">
        <v>1</v>
      </c>
      <c r="F144" t="s">
        <v>35</v>
      </c>
      <c r="G144" s="10">
        <v>45771</v>
      </c>
      <c r="H144" t="s">
        <v>36</v>
      </c>
      <c r="I144" t="s">
        <v>37</v>
      </c>
      <c r="J144" t="s">
        <v>38</v>
      </c>
      <c r="K144" t="s">
        <v>98</v>
      </c>
      <c r="L144" t="s">
        <v>39</v>
      </c>
      <c r="M144">
        <v>0</v>
      </c>
      <c r="P144">
        <v>1</v>
      </c>
      <c r="Q144">
        <v>0</v>
      </c>
      <c r="S144" t="s">
        <v>40</v>
      </c>
      <c r="T144" s="10">
        <v>45764</v>
      </c>
      <c r="W144">
        <v>1</v>
      </c>
      <c r="Y144" t="s">
        <v>41</v>
      </c>
      <c r="AG144" t="s">
        <v>142</v>
      </c>
      <c r="AJ144" t="s">
        <v>417</v>
      </c>
    </row>
    <row r="145" spans="1:36" x14ac:dyDescent="0.25">
      <c r="A145">
        <v>3</v>
      </c>
      <c r="B145">
        <v>5000005059</v>
      </c>
      <c r="C145" t="s">
        <v>153</v>
      </c>
      <c r="D145">
        <v>10801659</v>
      </c>
      <c r="E145">
        <v>1</v>
      </c>
      <c r="F145" t="s">
        <v>93</v>
      </c>
      <c r="G145" s="10">
        <v>45771</v>
      </c>
      <c r="H145" t="s">
        <v>36</v>
      </c>
      <c r="I145" t="s">
        <v>37</v>
      </c>
      <c r="J145" t="s">
        <v>38</v>
      </c>
      <c r="K145" t="s">
        <v>98</v>
      </c>
      <c r="L145" t="s">
        <v>39</v>
      </c>
      <c r="M145">
        <v>0</v>
      </c>
      <c r="P145">
        <v>1</v>
      </c>
      <c r="Q145">
        <v>0</v>
      </c>
      <c r="S145" t="s">
        <v>40</v>
      </c>
      <c r="T145" s="10">
        <v>45764</v>
      </c>
      <c r="W145">
        <v>1</v>
      </c>
      <c r="Y145" t="s">
        <v>41</v>
      </c>
      <c r="AG145" t="s">
        <v>142</v>
      </c>
      <c r="AJ145" t="s">
        <v>418</v>
      </c>
    </row>
    <row r="146" spans="1:36" x14ac:dyDescent="0.25">
      <c r="A146">
        <v>4</v>
      </c>
      <c r="B146">
        <v>5000004248</v>
      </c>
      <c r="C146" t="s">
        <v>155</v>
      </c>
      <c r="D146">
        <v>10801659</v>
      </c>
      <c r="E146">
        <v>1</v>
      </c>
      <c r="F146" t="s">
        <v>93</v>
      </c>
      <c r="G146" s="10">
        <v>45771</v>
      </c>
      <c r="H146" t="s">
        <v>36</v>
      </c>
      <c r="I146" t="s">
        <v>37</v>
      </c>
      <c r="J146" t="s">
        <v>38</v>
      </c>
      <c r="K146" t="s">
        <v>98</v>
      </c>
      <c r="L146" t="s">
        <v>39</v>
      </c>
      <c r="M146">
        <v>0</v>
      </c>
      <c r="P146">
        <v>1</v>
      </c>
      <c r="Q146">
        <v>0</v>
      </c>
      <c r="S146" t="s">
        <v>40</v>
      </c>
      <c r="T146" s="10">
        <v>45764</v>
      </c>
      <c r="W146">
        <v>1</v>
      </c>
      <c r="Y146" t="s">
        <v>41</v>
      </c>
      <c r="AG146" t="s">
        <v>142</v>
      </c>
      <c r="AJ146" t="s">
        <v>419</v>
      </c>
    </row>
    <row r="147" spans="1:36" x14ac:dyDescent="0.25">
      <c r="A147">
        <v>5</v>
      </c>
      <c r="B147">
        <v>5000012021</v>
      </c>
      <c r="C147" t="s">
        <v>188</v>
      </c>
      <c r="D147">
        <v>10801659</v>
      </c>
      <c r="E147">
        <v>1</v>
      </c>
      <c r="F147" t="s">
        <v>93</v>
      </c>
      <c r="G147" s="10">
        <v>45771</v>
      </c>
      <c r="H147" t="s">
        <v>36</v>
      </c>
      <c r="I147" t="s">
        <v>37</v>
      </c>
      <c r="J147" t="s">
        <v>38</v>
      </c>
      <c r="K147" t="s">
        <v>98</v>
      </c>
      <c r="L147" t="s">
        <v>39</v>
      </c>
      <c r="M147">
        <v>0</v>
      </c>
      <c r="P147">
        <v>1</v>
      </c>
      <c r="Q147">
        <v>0</v>
      </c>
      <c r="S147" t="s">
        <v>40</v>
      </c>
      <c r="T147" s="10">
        <v>45764</v>
      </c>
      <c r="W147">
        <v>1</v>
      </c>
      <c r="Y147" t="s">
        <v>41</v>
      </c>
      <c r="AG147" t="s">
        <v>142</v>
      </c>
      <c r="AJ147" t="s">
        <v>420</v>
      </c>
    </row>
    <row r="148" spans="1:36" x14ac:dyDescent="0.25">
      <c r="A148">
        <v>6</v>
      </c>
      <c r="B148">
        <v>5000016728</v>
      </c>
      <c r="C148" t="s">
        <v>146</v>
      </c>
      <c r="D148">
        <v>10801659</v>
      </c>
      <c r="E148">
        <v>3</v>
      </c>
      <c r="F148" t="s">
        <v>35</v>
      </c>
      <c r="G148" s="10">
        <v>45771</v>
      </c>
      <c r="H148" t="s">
        <v>36</v>
      </c>
      <c r="I148" t="s">
        <v>37</v>
      </c>
      <c r="J148" t="s">
        <v>38</v>
      </c>
      <c r="K148" t="s">
        <v>98</v>
      </c>
      <c r="L148" t="s">
        <v>39</v>
      </c>
      <c r="M148">
        <v>0</v>
      </c>
      <c r="P148">
        <v>3</v>
      </c>
      <c r="Q148">
        <v>0</v>
      </c>
      <c r="S148" t="s">
        <v>40</v>
      </c>
      <c r="T148" s="10">
        <v>45764</v>
      </c>
      <c r="W148">
        <v>1</v>
      </c>
      <c r="Y148" t="s">
        <v>41</v>
      </c>
      <c r="AG148" t="s">
        <v>142</v>
      </c>
      <c r="AJ148" t="s">
        <v>421</v>
      </c>
    </row>
    <row r="149" spans="1:36" x14ac:dyDescent="0.25">
      <c r="A149">
        <v>1</v>
      </c>
      <c r="B149">
        <v>5000013499</v>
      </c>
      <c r="C149" t="s">
        <v>244</v>
      </c>
      <c r="D149">
        <v>10801705</v>
      </c>
      <c r="E149">
        <v>1</v>
      </c>
      <c r="F149" t="s">
        <v>35</v>
      </c>
      <c r="G149" s="10">
        <v>45773</v>
      </c>
      <c r="H149" t="s">
        <v>160</v>
      </c>
      <c r="I149" t="s">
        <v>37</v>
      </c>
      <c r="J149" t="s">
        <v>38</v>
      </c>
      <c r="K149" t="s">
        <v>98</v>
      </c>
      <c r="L149" t="s">
        <v>39</v>
      </c>
      <c r="M149">
        <v>0</v>
      </c>
      <c r="P149">
        <v>1</v>
      </c>
      <c r="Q149">
        <v>0</v>
      </c>
      <c r="S149" t="s">
        <v>40</v>
      </c>
      <c r="T149" s="10">
        <v>45766</v>
      </c>
      <c r="W149">
        <v>1</v>
      </c>
      <c r="Y149" t="s">
        <v>41</v>
      </c>
      <c r="AG149" t="s">
        <v>142</v>
      </c>
      <c r="AJ149" t="s">
        <v>422</v>
      </c>
    </row>
    <row r="150" spans="1:36" x14ac:dyDescent="0.25">
      <c r="A150">
        <v>1</v>
      </c>
      <c r="B150">
        <v>5000016375</v>
      </c>
      <c r="C150" t="s">
        <v>114</v>
      </c>
      <c r="D150">
        <v>10801723</v>
      </c>
      <c r="E150">
        <v>1</v>
      </c>
      <c r="F150" t="s">
        <v>35</v>
      </c>
      <c r="G150" s="10">
        <v>45775</v>
      </c>
      <c r="H150" t="s">
        <v>36</v>
      </c>
      <c r="I150" t="s">
        <v>37</v>
      </c>
      <c r="J150" t="s">
        <v>38</v>
      </c>
      <c r="K150" t="s">
        <v>98</v>
      </c>
      <c r="L150" t="s">
        <v>39</v>
      </c>
      <c r="M150">
        <v>1</v>
      </c>
      <c r="P150">
        <v>0</v>
      </c>
      <c r="Q150">
        <v>1</v>
      </c>
      <c r="S150" t="s">
        <v>40</v>
      </c>
      <c r="T150" s="10">
        <v>45768</v>
      </c>
      <c r="W150">
        <v>1</v>
      </c>
      <c r="Y150" t="s">
        <v>41</v>
      </c>
      <c r="AG150" t="s">
        <v>142</v>
      </c>
      <c r="AJ150" t="s">
        <v>423</v>
      </c>
    </row>
    <row r="151" spans="1:36" x14ac:dyDescent="0.25">
      <c r="A151">
        <v>1</v>
      </c>
      <c r="B151">
        <v>5000016930</v>
      </c>
      <c r="C151" t="s">
        <v>203</v>
      </c>
      <c r="D151">
        <v>10801774</v>
      </c>
      <c r="E151">
        <v>1</v>
      </c>
      <c r="F151" t="s">
        <v>93</v>
      </c>
      <c r="G151" s="10">
        <v>45777</v>
      </c>
      <c r="H151" t="s">
        <v>36</v>
      </c>
      <c r="I151" t="s">
        <v>37</v>
      </c>
      <c r="J151" t="s">
        <v>38</v>
      </c>
      <c r="K151" t="s">
        <v>98</v>
      </c>
      <c r="L151" t="s">
        <v>39</v>
      </c>
      <c r="M151">
        <v>0</v>
      </c>
      <c r="P151">
        <v>1</v>
      </c>
      <c r="Q151">
        <v>0</v>
      </c>
      <c r="S151" t="s">
        <v>40</v>
      </c>
      <c r="T151" s="10">
        <v>45770</v>
      </c>
      <c r="W151">
        <v>1</v>
      </c>
      <c r="Y151" t="s">
        <v>41</v>
      </c>
      <c r="AG151" t="s">
        <v>142</v>
      </c>
      <c r="AJ151" t="s">
        <v>424</v>
      </c>
    </row>
    <row r="152" spans="1:36" x14ac:dyDescent="0.25">
      <c r="A152">
        <v>2</v>
      </c>
      <c r="B152">
        <v>5000015919</v>
      </c>
      <c r="C152" t="s">
        <v>425</v>
      </c>
      <c r="D152">
        <v>10801774</v>
      </c>
      <c r="E152">
        <v>1</v>
      </c>
      <c r="F152" t="s">
        <v>35</v>
      </c>
      <c r="G152" s="10">
        <v>45777</v>
      </c>
      <c r="H152" t="s">
        <v>36</v>
      </c>
      <c r="I152" t="s">
        <v>37</v>
      </c>
      <c r="J152" t="s">
        <v>38</v>
      </c>
      <c r="K152" t="s">
        <v>98</v>
      </c>
      <c r="L152" t="s">
        <v>39</v>
      </c>
      <c r="M152">
        <v>0</v>
      </c>
      <c r="P152">
        <v>1</v>
      </c>
      <c r="Q152">
        <v>0</v>
      </c>
      <c r="S152" t="s">
        <v>40</v>
      </c>
      <c r="T152" s="10">
        <v>45770</v>
      </c>
      <c r="V152" s="25"/>
      <c r="W152">
        <v>1</v>
      </c>
      <c r="Y152" t="s">
        <v>41</v>
      </c>
      <c r="AG152" t="s">
        <v>142</v>
      </c>
      <c r="AJ152" t="s">
        <v>426</v>
      </c>
    </row>
    <row r="153" spans="1:36" x14ac:dyDescent="0.25">
      <c r="A153">
        <v>3</v>
      </c>
      <c r="B153">
        <v>5000015970</v>
      </c>
      <c r="C153" t="s">
        <v>427</v>
      </c>
      <c r="D153">
        <v>10801774</v>
      </c>
      <c r="E153">
        <v>1</v>
      </c>
      <c r="F153" t="s">
        <v>35</v>
      </c>
      <c r="G153" s="10">
        <v>45777</v>
      </c>
      <c r="H153" t="s">
        <v>36</v>
      </c>
      <c r="I153" t="s">
        <v>37</v>
      </c>
      <c r="J153" t="s">
        <v>38</v>
      </c>
      <c r="K153" t="s">
        <v>98</v>
      </c>
      <c r="L153" t="s">
        <v>39</v>
      </c>
      <c r="M153">
        <v>0</v>
      </c>
      <c r="P153">
        <v>1</v>
      </c>
      <c r="Q153">
        <v>0</v>
      </c>
      <c r="S153" t="s">
        <v>40</v>
      </c>
      <c r="T153" s="10">
        <v>45770</v>
      </c>
      <c r="W153">
        <v>1</v>
      </c>
      <c r="Y153" t="s">
        <v>41</v>
      </c>
      <c r="AG153" t="s">
        <v>142</v>
      </c>
      <c r="AJ153" t="s">
        <v>428</v>
      </c>
    </row>
    <row r="154" spans="1:36" x14ac:dyDescent="0.25">
      <c r="A154">
        <v>4</v>
      </c>
      <c r="B154">
        <v>5000016063</v>
      </c>
      <c r="C154" t="s">
        <v>429</v>
      </c>
      <c r="D154">
        <v>10801774</v>
      </c>
      <c r="E154">
        <v>1</v>
      </c>
      <c r="F154" t="s">
        <v>93</v>
      </c>
      <c r="G154" s="10">
        <v>45777</v>
      </c>
      <c r="H154" t="s">
        <v>36</v>
      </c>
      <c r="I154" t="s">
        <v>37</v>
      </c>
      <c r="J154" t="s">
        <v>38</v>
      </c>
      <c r="K154" t="s">
        <v>98</v>
      </c>
      <c r="L154" t="s">
        <v>39</v>
      </c>
      <c r="M154">
        <v>0</v>
      </c>
      <c r="P154">
        <v>1</v>
      </c>
      <c r="Q154">
        <v>0</v>
      </c>
      <c r="S154" t="s">
        <v>40</v>
      </c>
      <c r="T154" s="10">
        <v>45770</v>
      </c>
      <c r="W154">
        <v>1</v>
      </c>
      <c r="Y154" t="s">
        <v>41</v>
      </c>
      <c r="AG154" t="s">
        <v>142</v>
      </c>
      <c r="AJ154" t="s">
        <v>430</v>
      </c>
    </row>
    <row r="155" spans="1:36" x14ac:dyDescent="0.25">
      <c r="A155">
        <v>5</v>
      </c>
      <c r="B155">
        <v>5000005059</v>
      </c>
      <c r="C155" t="s">
        <v>153</v>
      </c>
      <c r="D155">
        <v>10801774</v>
      </c>
      <c r="E155">
        <v>10</v>
      </c>
      <c r="F155" t="s">
        <v>93</v>
      </c>
      <c r="G155" s="10">
        <v>45779</v>
      </c>
      <c r="H155" t="s">
        <v>36</v>
      </c>
      <c r="I155" t="s">
        <v>37</v>
      </c>
      <c r="J155" t="s">
        <v>38</v>
      </c>
      <c r="K155" t="s">
        <v>98</v>
      </c>
      <c r="L155" t="s">
        <v>39</v>
      </c>
      <c r="M155">
        <v>0</v>
      </c>
      <c r="P155">
        <v>10</v>
      </c>
      <c r="Q155">
        <v>0</v>
      </c>
      <c r="S155" t="s">
        <v>40</v>
      </c>
      <c r="T155" s="10">
        <v>45772</v>
      </c>
      <c r="W155">
        <v>1</v>
      </c>
      <c r="Y155" t="s">
        <v>41</v>
      </c>
      <c r="AG155" t="s">
        <v>142</v>
      </c>
      <c r="AJ155" t="s">
        <v>431</v>
      </c>
    </row>
    <row r="156" spans="1:36" x14ac:dyDescent="0.25">
      <c r="A156">
        <v>1</v>
      </c>
      <c r="B156">
        <v>5000014291</v>
      </c>
      <c r="C156" t="s">
        <v>406</v>
      </c>
      <c r="D156">
        <v>10801842</v>
      </c>
      <c r="E156">
        <v>1</v>
      </c>
      <c r="F156" t="s">
        <v>296</v>
      </c>
      <c r="G156" s="10">
        <v>45782</v>
      </c>
      <c r="H156" t="s">
        <v>36</v>
      </c>
      <c r="I156" t="s">
        <v>37</v>
      </c>
      <c r="J156" t="s">
        <v>38</v>
      </c>
      <c r="K156" t="s">
        <v>98</v>
      </c>
      <c r="L156" t="s">
        <v>39</v>
      </c>
      <c r="M156">
        <v>0</v>
      </c>
      <c r="P156">
        <v>1</v>
      </c>
      <c r="Q156">
        <v>0</v>
      </c>
      <c r="S156" t="s">
        <v>40</v>
      </c>
      <c r="T156" s="10">
        <v>45775</v>
      </c>
      <c r="W156">
        <v>1</v>
      </c>
      <c r="Y156" t="s">
        <v>41</v>
      </c>
      <c r="AG156" t="s">
        <v>142</v>
      </c>
      <c r="AJ156" t="s">
        <v>432</v>
      </c>
    </row>
    <row r="157" spans="1:36" x14ac:dyDescent="0.25">
      <c r="A157">
        <v>2</v>
      </c>
      <c r="B157">
        <v>5000017786</v>
      </c>
      <c r="C157" t="s">
        <v>433</v>
      </c>
      <c r="D157">
        <v>10801842</v>
      </c>
      <c r="E157">
        <v>1</v>
      </c>
      <c r="F157" t="s">
        <v>93</v>
      </c>
      <c r="G157" s="10">
        <v>45782</v>
      </c>
      <c r="H157" t="s">
        <v>36</v>
      </c>
      <c r="I157" t="s">
        <v>37</v>
      </c>
      <c r="J157" t="s">
        <v>38</v>
      </c>
      <c r="K157" t="s">
        <v>98</v>
      </c>
      <c r="L157" t="s">
        <v>39</v>
      </c>
      <c r="M157">
        <v>0</v>
      </c>
      <c r="P157">
        <v>1</v>
      </c>
      <c r="Q157">
        <v>0</v>
      </c>
      <c r="S157" t="s">
        <v>40</v>
      </c>
      <c r="T157" s="10">
        <v>45775</v>
      </c>
      <c r="W157">
        <v>1</v>
      </c>
      <c r="Y157" t="s">
        <v>41</v>
      </c>
      <c r="AG157" t="s">
        <v>142</v>
      </c>
      <c r="AJ157" t="s">
        <v>434</v>
      </c>
    </row>
    <row r="158" spans="1:36" x14ac:dyDescent="0.25">
      <c r="A158">
        <v>3</v>
      </c>
      <c r="B158">
        <v>5000008843</v>
      </c>
      <c r="C158" t="s">
        <v>150</v>
      </c>
      <c r="D158">
        <v>10801842</v>
      </c>
      <c r="E158">
        <v>1</v>
      </c>
      <c r="F158" t="s">
        <v>35</v>
      </c>
      <c r="G158" s="10">
        <v>45782</v>
      </c>
      <c r="H158" t="s">
        <v>36</v>
      </c>
      <c r="I158" t="s">
        <v>37</v>
      </c>
      <c r="J158" t="s">
        <v>38</v>
      </c>
      <c r="K158" t="s">
        <v>98</v>
      </c>
      <c r="L158" t="s">
        <v>39</v>
      </c>
      <c r="M158">
        <v>1</v>
      </c>
      <c r="P158">
        <v>0</v>
      </c>
      <c r="Q158">
        <v>1</v>
      </c>
      <c r="S158" t="s">
        <v>40</v>
      </c>
      <c r="T158" s="10">
        <v>45775</v>
      </c>
      <c r="W158">
        <v>1</v>
      </c>
      <c r="Y158" t="s">
        <v>41</v>
      </c>
      <c r="AG158" t="s">
        <v>142</v>
      </c>
      <c r="AJ158" t="s">
        <v>440</v>
      </c>
    </row>
    <row r="159" spans="1:36" x14ac:dyDescent="0.25">
      <c r="A159">
        <v>4</v>
      </c>
      <c r="B159">
        <v>5000013080</v>
      </c>
      <c r="C159" t="s">
        <v>441</v>
      </c>
      <c r="D159">
        <v>10801842</v>
      </c>
      <c r="E159">
        <v>1</v>
      </c>
      <c r="F159" t="s">
        <v>35</v>
      </c>
      <c r="G159" s="10">
        <v>45783</v>
      </c>
      <c r="H159" t="s">
        <v>36</v>
      </c>
      <c r="I159" t="s">
        <v>37</v>
      </c>
      <c r="J159" t="s">
        <v>38</v>
      </c>
      <c r="K159" t="s">
        <v>98</v>
      </c>
      <c r="L159" t="s">
        <v>39</v>
      </c>
      <c r="M159">
        <v>0</v>
      </c>
      <c r="P159">
        <v>1</v>
      </c>
      <c r="Q159">
        <v>0</v>
      </c>
      <c r="S159" t="s">
        <v>40</v>
      </c>
      <c r="T159" s="10">
        <v>45776</v>
      </c>
      <c r="W159">
        <v>1</v>
      </c>
      <c r="Y159" t="s">
        <v>41</v>
      </c>
      <c r="AG159" t="s">
        <v>142</v>
      </c>
      <c r="AJ159" t="s">
        <v>442</v>
      </c>
    </row>
    <row r="160" spans="1:36" x14ac:dyDescent="0.25">
      <c r="A160">
        <v>5</v>
      </c>
      <c r="B160">
        <v>5000016255</v>
      </c>
      <c r="C160" t="s">
        <v>110</v>
      </c>
      <c r="D160">
        <v>10801842</v>
      </c>
      <c r="E160">
        <v>1</v>
      </c>
      <c r="F160" t="s">
        <v>93</v>
      </c>
      <c r="G160" s="10">
        <v>45783</v>
      </c>
      <c r="H160" t="s">
        <v>36</v>
      </c>
      <c r="I160" t="s">
        <v>37</v>
      </c>
      <c r="J160" t="s">
        <v>38</v>
      </c>
      <c r="K160" t="s">
        <v>98</v>
      </c>
      <c r="L160" t="s">
        <v>39</v>
      </c>
      <c r="M160">
        <v>1</v>
      </c>
      <c r="P160">
        <v>0</v>
      </c>
      <c r="Q160">
        <v>1</v>
      </c>
      <c r="S160" t="s">
        <v>40</v>
      </c>
      <c r="T160" s="10">
        <v>45776</v>
      </c>
      <c r="W160">
        <v>1</v>
      </c>
      <c r="Y160" t="s">
        <v>41</v>
      </c>
      <c r="AG160" t="s">
        <v>142</v>
      </c>
      <c r="AJ160" t="s">
        <v>443</v>
      </c>
    </row>
    <row r="161" spans="1:36" x14ac:dyDescent="0.25">
      <c r="A161">
        <v>1</v>
      </c>
      <c r="B161">
        <v>5000016248</v>
      </c>
      <c r="C161" t="s">
        <v>265</v>
      </c>
      <c r="D161">
        <v>10801892</v>
      </c>
      <c r="E161">
        <v>1</v>
      </c>
      <c r="F161" t="s">
        <v>35</v>
      </c>
      <c r="G161" s="10">
        <v>45784</v>
      </c>
      <c r="H161" t="s">
        <v>36</v>
      </c>
      <c r="I161" t="s">
        <v>37</v>
      </c>
      <c r="J161" t="s">
        <v>38</v>
      </c>
      <c r="K161" t="s">
        <v>98</v>
      </c>
      <c r="L161" t="s">
        <v>39</v>
      </c>
      <c r="M161">
        <v>1</v>
      </c>
      <c r="P161">
        <v>0</v>
      </c>
      <c r="Q161">
        <v>1</v>
      </c>
      <c r="S161" t="s">
        <v>40</v>
      </c>
      <c r="T161" s="10">
        <v>45777</v>
      </c>
      <c r="W161">
        <v>1</v>
      </c>
      <c r="Y161" t="s">
        <v>41</v>
      </c>
      <c r="AG161" t="s">
        <v>142</v>
      </c>
      <c r="AJ161" t="s">
        <v>444</v>
      </c>
    </row>
    <row r="162" spans="1:36" x14ac:dyDescent="0.25">
      <c r="A162">
        <v>2</v>
      </c>
      <c r="B162">
        <v>5000000739</v>
      </c>
      <c r="C162" t="s">
        <v>261</v>
      </c>
      <c r="D162">
        <v>10801892</v>
      </c>
      <c r="E162">
        <v>2</v>
      </c>
      <c r="F162" t="s">
        <v>262</v>
      </c>
      <c r="G162" s="10">
        <v>45784</v>
      </c>
      <c r="H162" t="s">
        <v>36</v>
      </c>
      <c r="I162" t="s">
        <v>37</v>
      </c>
      <c r="J162" t="s">
        <v>38</v>
      </c>
      <c r="K162" t="s">
        <v>98</v>
      </c>
      <c r="L162" t="s">
        <v>39</v>
      </c>
      <c r="M162">
        <v>1</v>
      </c>
      <c r="P162">
        <v>0</v>
      </c>
      <c r="Q162">
        <v>2</v>
      </c>
      <c r="S162" t="s">
        <v>40</v>
      </c>
      <c r="T162" s="10">
        <v>45777</v>
      </c>
      <c r="W162">
        <v>1</v>
      </c>
      <c r="Y162" t="s">
        <v>41</v>
      </c>
      <c r="AG162" t="s">
        <v>142</v>
      </c>
      <c r="AJ162" t="s">
        <v>445</v>
      </c>
    </row>
    <row r="163" spans="1:36" x14ac:dyDescent="0.25">
      <c r="A163">
        <v>3</v>
      </c>
      <c r="B163">
        <v>5000000740</v>
      </c>
      <c r="C163" t="s">
        <v>360</v>
      </c>
      <c r="D163">
        <v>10801892</v>
      </c>
      <c r="E163">
        <v>100</v>
      </c>
      <c r="F163" t="s">
        <v>93</v>
      </c>
      <c r="G163" s="10">
        <v>45784</v>
      </c>
      <c r="H163" t="s">
        <v>36</v>
      </c>
      <c r="I163" t="s">
        <v>37</v>
      </c>
      <c r="J163" t="s">
        <v>38</v>
      </c>
      <c r="K163" t="s">
        <v>98</v>
      </c>
      <c r="L163" t="s">
        <v>39</v>
      </c>
      <c r="M163">
        <v>1</v>
      </c>
      <c r="P163">
        <v>99</v>
      </c>
      <c r="Q163">
        <v>1</v>
      </c>
      <c r="S163" t="s">
        <v>40</v>
      </c>
      <c r="T163" s="10">
        <v>45777</v>
      </c>
      <c r="W163">
        <v>1</v>
      </c>
      <c r="Y163" t="s">
        <v>41</v>
      </c>
      <c r="AG163" t="s">
        <v>142</v>
      </c>
      <c r="AJ163" t="s">
        <v>446</v>
      </c>
    </row>
    <row r="164" spans="1:36" x14ac:dyDescent="0.25">
      <c r="A164">
        <v>4</v>
      </c>
      <c r="B164">
        <v>5000017258</v>
      </c>
      <c r="C164" t="s">
        <v>259</v>
      </c>
      <c r="D164">
        <v>10801892</v>
      </c>
      <c r="E164">
        <v>1</v>
      </c>
      <c r="F164" t="s">
        <v>35</v>
      </c>
      <c r="G164" s="10">
        <v>45784</v>
      </c>
      <c r="H164" t="s">
        <v>36</v>
      </c>
      <c r="I164" t="s">
        <v>37</v>
      </c>
      <c r="J164" t="s">
        <v>38</v>
      </c>
      <c r="K164" t="s">
        <v>98</v>
      </c>
      <c r="L164" t="s">
        <v>39</v>
      </c>
      <c r="M164">
        <v>1</v>
      </c>
      <c r="P164">
        <v>0</v>
      </c>
      <c r="Q164">
        <v>1</v>
      </c>
      <c r="S164" t="s">
        <v>40</v>
      </c>
      <c r="T164" s="10">
        <v>45777</v>
      </c>
      <c r="W164">
        <v>1</v>
      </c>
      <c r="Y164" t="s">
        <v>41</v>
      </c>
      <c r="AG164" t="s">
        <v>142</v>
      </c>
      <c r="AJ164" t="s">
        <v>447</v>
      </c>
    </row>
    <row r="165" spans="1:36" x14ac:dyDescent="0.25">
      <c r="A165">
        <v>1</v>
      </c>
      <c r="B165">
        <v>5000016930</v>
      </c>
      <c r="C165" t="s">
        <v>203</v>
      </c>
      <c r="D165">
        <v>10801935</v>
      </c>
      <c r="E165">
        <v>1</v>
      </c>
      <c r="F165" t="s">
        <v>93</v>
      </c>
      <c r="G165" s="10">
        <v>45787</v>
      </c>
      <c r="H165" t="s">
        <v>36</v>
      </c>
      <c r="I165" t="s">
        <v>37</v>
      </c>
      <c r="J165" t="s">
        <v>38</v>
      </c>
      <c r="K165" t="s">
        <v>98</v>
      </c>
      <c r="L165" t="s">
        <v>39</v>
      </c>
      <c r="M165">
        <v>0</v>
      </c>
      <c r="P165">
        <v>1</v>
      </c>
      <c r="Q165">
        <v>0</v>
      </c>
      <c r="S165" t="s">
        <v>40</v>
      </c>
      <c r="T165" s="10">
        <v>45780</v>
      </c>
      <c r="W165">
        <v>1</v>
      </c>
      <c r="Y165" t="s">
        <v>41</v>
      </c>
      <c r="AG165" t="s">
        <v>142</v>
      </c>
      <c r="AJ165" t="s">
        <v>448</v>
      </c>
    </row>
    <row r="166" spans="1:36" x14ac:dyDescent="0.25">
      <c r="A166" s="2">
        <v>1</v>
      </c>
      <c r="B166">
        <v>5000015970</v>
      </c>
      <c r="C166" t="s">
        <v>427</v>
      </c>
      <c r="D166">
        <v>10802020</v>
      </c>
      <c r="E166">
        <v>1</v>
      </c>
      <c r="F166" t="s">
        <v>35</v>
      </c>
      <c r="G166" s="10">
        <v>45786</v>
      </c>
      <c r="H166" t="s">
        <v>36</v>
      </c>
      <c r="I166" t="s">
        <v>37</v>
      </c>
      <c r="J166" t="s">
        <v>38</v>
      </c>
      <c r="K166" t="s">
        <v>98</v>
      </c>
      <c r="L166" t="s">
        <v>39</v>
      </c>
      <c r="M166">
        <v>0</v>
      </c>
      <c r="P166">
        <v>1</v>
      </c>
      <c r="Q166">
        <v>0</v>
      </c>
      <c r="S166" t="s">
        <v>40</v>
      </c>
      <c r="T166" s="10">
        <v>45786</v>
      </c>
      <c r="W166">
        <v>1</v>
      </c>
      <c r="Y166" t="s">
        <v>41</v>
      </c>
      <c r="AG166" t="s">
        <v>142</v>
      </c>
      <c r="AJ166" t="s">
        <v>449</v>
      </c>
    </row>
    <row r="167" spans="1:36" x14ac:dyDescent="0.25">
      <c r="A167">
        <v>1</v>
      </c>
      <c r="B167">
        <v>5000012021</v>
      </c>
      <c r="C167" t="s">
        <v>188</v>
      </c>
      <c r="D167">
        <v>10802040</v>
      </c>
      <c r="E167">
        <v>1</v>
      </c>
      <c r="F167" t="s">
        <v>93</v>
      </c>
      <c r="G167" s="10">
        <v>45787</v>
      </c>
      <c r="H167" t="s">
        <v>36</v>
      </c>
      <c r="I167" t="s">
        <v>37</v>
      </c>
      <c r="J167" t="s">
        <v>38</v>
      </c>
      <c r="K167" t="s">
        <v>98</v>
      </c>
      <c r="L167" t="s">
        <v>39</v>
      </c>
      <c r="M167">
        <v>0</v>
      </c>
      <c r="P167">
        <v>1</v>
      </c>
      <c r="Q167">
        <v>0</v>
      </c>
      <c r="S167" t="s">
        <v>40</v>
      </c>
      <c r="T167" s="10">
        <v>45786</v>
      </c>
      <c r="W167">
        <v>1</v>
      </c>
      <c r="Y167" t="s">
        <v>41</v>
      </c>
      <c r="AG167" t="s">
        <v>142</v>
      </c>
      <c r="AJ167" t="s">
        <v>450</v>
      </c>
    </row>
    <row r="168" spans="1:36" x14ac:dyDescent="0.25">
      <c r="A168">
        <v>1</v>
      </c>
      <c r="B168">
        <v>5000013499</v>
      </c>
      <c r="C168" t="s">
        <v>244</v>
      </c>
      <c r="D168">
        <v>10802042</v>
      </c>
      <c r="E168">
        <v>1</v>
      </c>
      <c r="F168" t="s">
        <v>35</v>
      </c>
      <c r="G168" s="10">
        <v>45787</v>
      </c>
      <c r="H168" t="s">
        <v>160</v>
      </c>
      <c r="I168" t="s">
        <v>37</v>
      </c>
      <c r="J168" t="s">
        <v>38</v>
      </c>
      <c r="K168" t="s">
        <v>451</v>
      </c>
      <c r="L168" t="s">
        <v>39</v>
      </c>
      <c r="M168">
        <v>0</v>
      </c>
      <c r="P168">
        <v>1</v>
      </c>
      <c r="Q168">
        <v>0</v>
      </c>
      <c r="S168" t="s">
        <v>40</v>
      </c>
      <c r="T168" s="10">
        <v>45787</v>
      </c>
      <c r="W168">
        <v>1</v>
      </c>
      <c r="Y168" t="s">
        <v>41</v>
      </c>
      <c r="AG168" t="s">
        <v>142</v>
      </c>
      <c r="AJ168" t="s">
        <v>452</v>
      </c>
    </row>
    <row r="169" spans="1:36" x14ac:dyDescent="0.25">
      <c r="A169">
        <v>1</v>
      </c>
      <c r="B169">
        <v>5000016308</v>
      </c>
      <c r="C169" t="s">
        <v>143</v>
      </c>
      <c r="D169">
        <v>10802044</v>
      </c>
      <c r="E169">
        <v>2</v>
      </c>
      <c r="F169" t="s">
        <v>35</v>
      </c>
      <c r="G169" s="10">
        <v>45787</v>
      </c>
      <c r="H169" t="s">
        <v>36</v>
      </c>
      <c r="I169" t="s">
        <v>37</v>
      </c>
      <c r="J169" t="s">
        <v>38</v>
      </c>
      <c r="K169" t="s">
        <v>98</v>
      </c>
      <c r="L169" t="s">
        <v>39</v>
      </c>
      <c r="M169">
        <v>0</v>
      </c>
      <c r="P169">
        <v>2</v>
      </c>
      <c r="Q169">
        <v>0</v>
      </c>
      <c r="S169" t="s">
        <v>40</v>
      </c>
      <c r="T169" s="10">
        <v>45787</v>
      </c>
      <c r="W169">
        <v>1</v>
      </c>
      <c r="Y169" t="s">
        <v>41</v>
      </c>
      <c r="AG169" t="s">
        <v>142</v>
      </c>
      <c r="AJ169" t="s">
        <v>453</v>
      </c>
    </row>
    <row r="170" spans="1:36" x14ac:dyDescent="0.25">
      <c r="A170">
        <v>2</v>
      </c>
      <c r="B170">
        <v>5000005059</v>
      </c>
      <c r="C170" t="s">
        <v>153</v>
      </c>
      <c r="D170">
        <v>10802044</v>
      </c>
      <c r="E170">
        <v>2</v>
      </c>
      <c r="F170" t="s">
        <v>93</v>
      </c>
      <c r="G170" s="10">
        <v>45787</v>
      </c>
      <c r="H170" t="s">
        <v>36</v>
      </c>
      <c r="I170" t="s">
        <v>37</v>
      </c>
      <c r="J170" t="s">
        <v>38</v>
      </c>
      <c r="K170" t="s">
        <v>98</v>
      </c>
      <c r="L170" t="s">
        <v>39</v>
      </c>
      <c r="M170">
        <v>0</v>
      </c>
      <c r="P170">
        <v>2</v>
      </c>
      <c r="Q170">
        <v>0</v>
      </c>
      <c r="S170" t="s">
        <v>40</v>
      </c>
      <c r="T170" s="10">
        <v>45787</v>
      </c>
      <c r="W170">
        <v>1</v>
      </c>
      <c r="Y170" t="s">
        <v>41</v>
      </c>
      <c r="AG170" t="s">
        <v>142</v>
      </c>
      <c r="AJ170" t="s">
        <v>454</v>
      </c>
    </row>
    <row r="171" spans="1:36" x14ac:dyDescent="0.25">
      <c r="A171">
        <v>3</v>
      </c>
      <c r="B171">
        <v>5000004248</v>
      </c>
      <c r="C171" t="s">
        <v>155</v>
      </c>
      <c r="D171">
        <v>10802044</v>
      </c>
      <c r="E171">
        <v>2</v>
      </c>
      <c r="F171" t="s">
        <v>93</v>
      </c>
      <c r="G171" s="10">
        <v>45787</v>
      </c>
      <c r="H171" t="s">
        <v>36</v>
      </c>
      <c r="I171" t="s">
        <v>37</v>
      </c>
      <c r="J171" t="s">
        <v>38</v>
      </c>
      <c r="K171" t="s">
        <v>98</v>
      </c>
      <c r="L171" t="s">
        <v>39</v>
      </c>
      <c r="M171">
        <v>0</v>
      </c>
      <c r="P171">
        <v>2</v>
      </c>
      <c r="Q171">
        <v>0</v>
      </c>
      <c r="S171" t="s">
        <v>40</v>
      </c>
      <c r="T171" s="10">
        <v>45787</v>
      </c>
      <c r="W171">
        <v>1</v>
      </c>
      <c r="Y171" t="s">
        <v>41</v>
      </c>
      <c r="AG171" t="s">
        <v>142</v>
      </c>
      <c r="AJ171" t="s">
        <v>455</v>
      </c>
    </row>
    <row r="172" spans="1:36" x14ac:dyDescent="0.25">
      <c r="A172">
        <v>4</v>
      </c>
      <c r="B172">
        <v>5000008843</v>
      </c>
      <c r="C172" t="s">
        <v>150</v>
      </c>
      <c r="D172">
        <v>10802044</v>
      </c>
      <c r="E172">
        <v>2</v>
      </c>
      <c r="F172" t="s">
        <v>35</v>
      </c>
      <c r="G172" s="10">
        <v>45787</v>
      </c>
      <c r="H172" t="s">
        <v>36</v>
      </c>
      <c r="I172" t="s">
        <v>37</v>
      </c>
      <c r="J172" t="s">
        <v>38</v>
      </c>
      <c r="K172" t="s">
        <v>98</v>
      </c>
      <c r="L172" t="s">
        <v>39</v>
      </c>
      <c r="M172">
        <v>0</v>
      </c>
      <c r="P172">
        <v>2</v>
      </c>
      <c r="Q172">
        <v>0</v>
      </c>
      <c r="S172" t="s">
        <v>40</v>
      </c>
      <c r="T172" s="10">
        <v>45787</v>
      </c>
      <c r="W172">
        <v>1</v>
      </c>
      <c r="Y172" t="s">
        <v>41</v>
      </c>
      <c r="AG172" t="s">
        <v>142</v>
      </c>
      <c r="AJ172" t="s">
        <v>456</v>
      </c>
    </row>
    <row r="173" spans="1:36" x14ac:dyDescent="0.25">
      <c r="A173">
        <v>1</v>
      </c>
      <c r="B173">
        <v>5000016930</v>
      </c>
      <c r="C173" t="s">
        <v>203</v>
      </c>
      <c r="D173">
        <v>10802046</v>
      </c>
      <c r="E173">
        <v>1</v>
      </c>
      <c r="F173" t="s">
        <v>93</v>
      </c>
      <c r="G173" s="10">
        <v>45787</v>
      </c>
      <c r="H173" t="s">
        <v>36</v>
      </c>
      <c r="I173" t="s">
        <v>37</v>
      </c>
      <c r="J173" t="s">
        <v>38</v>
      </c>
      <c r="K173" t="s">
        <v>98</v>
      </c>
      <c r="L173" t="s">
        <v>39</v>
      </c>
      <c r="M173">
        <v>0</v>
      </c>
      <c r="P173">
        <v>1</v>
      </c>
      <c r="Q173">
        <v>0</v>
      </c>
      <c r="S173" t="s">
        <v>40</v>
      </c>
      <c r="T173" s="10">
        <v>45787</v>
      </c>
      <c r="W173">
        <v>1</v>
      </c>
      <c r="Y173" t="s">
        <v>41</v>
      </c>
      <c r="AG173" t="s">
        <v>142</v>
      </c>
      <c r="AJ173" t="s">
        <v>457</v>
      </c>
    </row>
    <row r="174" spans="1:36" x14ac:dyDescent="0.25">
      <c r="A174">
        <v>1</v>
      </c>
      <c r="B174">
        <v>5000017612</v>
      </c>
      <c r="C174" t="s">
        <v>458</v>
      </c>
      <c r="D174">
        <v>10802047</v>
      </c>
      <c r="E174">
        <v>1</v>
      </c>
      <c r="F174" t="s">
        <v>93</v>
      </c>
      <c r="G174" s="10">
        <v>45787</v>
      </c>
      <c r="H174" t="s">
        <v>36</v>
      </c>
      <c r="I174" t="s">
        <v>37</v>
      </c>
      <c r="J174" t="s">
        <v>38</v>
      </c>
      <c r="K174" t="s">
        <v>98</v>
      </c>
      <c r="L174" t="s">
        <v>39</v>
      </c>
      <c r="M174">
        <v>0</v>
      </c>
      <c r="P174">
        <v>1</v>
      </c>
      <c r="Q174">
        <v>0</v>
      </c>
      <c r="S174" t="s">
        <v>40</v>
      </c>
      <c r="T174" s="10">
        <v>45787</v>
      </c>
      <c r="W174">
        <v>1</v>
      </c>
      <c r="Y174" t="s">
        <v>41</v>
      </c>
      <c r="AG174" t="s">
        <v>142</v>
      </c>
      <c r="AJ174" t="s">
        <v>459</v>
      </c>
    </row>
    <row r="175" spans="1:36" x14ac:dyDescent="0.25">
      <c r="A175">
        <v>5</v>
      </c>
      <c r="B175">
        <v>5000012021</v>
      </c>
      <c r="C175" t="s">
        <v>188</v>
      </c>
      <c r="D175">
        <v>10802044</v>
      </c>
      <c r="E175">
        <v>2</v>
      </c>
      <c r="F175" t="s">
        <v>93</v>
      </c>
      <c r="G175" s="10">
        <v>45787</v>
      </c>
      <c r="H175" t="s">
        <v>36</v>
      </c>
      <c r="I175" t="s">
        <v>37</v>
      </c>
      <c r="J175" t="s">
        <v>38</v>
      </c>
      <c r="K175" t="s">
        <v>98</v>
      </c>
      <c r="L175" t="s">
        <v>39</v>
      </c>
      <c r="M175">
        <v>0</v>
      </c>
      <c r="P175">
        <v>2</v>
      </c>
      <c r="Q175">
        <v>0</v>
      </c>
      <c r="S175" t="s">
        <v>40</v>
      </c>
      <c r="T175" s="10">
        <v>45790</v>
      </c>
      <c r="W175">
        <v>1</v>
      </c>
      <c r="Y175" t="s">
        <v>41</v>
      </c>
      <c r="AG175" t="s">
        <v>142</v>
      </c>
      <c r="AJ175" t="s">
        <v>460</v>
      </c>
    </row>
    <row r="176" spans="1:36" x14ac:dyDescent="0.25">
      <c r="A176">
        <v>1</v>
      </c>
      <c r="B176">
        <v>5000017258</v>
      </c>
      <c r="C176" t="s">
        <v>259</v>
      </c>
      <c r="D176">
        <v>10802086</v>
      </c>
      <c r="E176">
        <v>2</v>
      </c>
      <c r="F176" t="s">
        <v>35</v>
      </c>
      <c r="G176" s="10">
        <v>45797</v>
      </c>
      <c r="H176" t="s">
        <v>36</v>
      </c>
      <c r="I176" t="s">
        <v>37</v>
      </c>
      <c r="J176" t="s">
        <v>38</v>
      </c>
      <c r="K176" t="s">
        <v>98</v>
      </c>
      <c r="L176" t="s">
        <v>39</v>
      </c>
      <c r="M176">
        <v>0</v>
      </c>
      <c r="P176">
        <v>2</v>
      </c>
      <c r="Q176">
        <v>0</v>
      </c>
      <c r="S176" t="s">
        <v>40</v>
      </c>
      <c r="T176" s="10">
        <v>45790</v>
      </c>
      <c r="W176">
        <v>1</v>
      </c>
      <c r="Y176" t="s">
        <v>41</v>
      </c>
      <c r="AG176" t="s">
        <v>142</v>
      </c>
      <c r="AJ176" t="s">
        <v>461</v>
      </c>
    </row>
    <row r="177" spans="1:36" x14ac:dyDescent="0.25">
      <c r="A177">
        <v>2</v>
      </c>
      <c r="B177">
        <v>5000016728</v>
      </c>
      <c r="C177" t="s">
        <v>146</v>
      </c>
      <c r="D177">
        <v>10802086</v>
      </c>
      <c r="E177">
        <v>6</v>
      </c>
      <c r="F177" t="s">
        <v>35</v>
      </c>
      <c r="G177" s="10">
        <v>45797</v>
      </c>
      <c r="H177" t="s">
        <v>36</v>
      </c>
      <c r="I177" t="s">
        <v>37</v>
      </c>
      <c r="J177" t="s">
        <v>38</v>
      </c>
      <c r="K177" t="s">
        <v>98</v>
      </c>
      <c r="L177" t="s">
        <v>39</v>
      </c>
      <c r="M177">
        <v>0</v>
      </c>
      <c r="P177">
        <v>6</v>
      </c>
      <c r="Q177">
        <v>0</v>
      </c>
      <c r="S177" t="s">
        <v>40</v>
      </c>
      <c r="T177" s="10">
        <v>45790</v>
      </c>
      <c r="W177">
        <v>1</v>
      </c>
      <c r="Y177" t="s">
        <v>41</v>
      </c>
      <c r="AG177" t="s">
        <v>142</v>
      </c>
      <c r="AJ177" t="s">
        <v>461</v>
      </c>
    </row>
    <row r="178" spans="1:36" x14ac:dyDescent="0.25">
      <c r="A178">
        <v>3</v>
      </c>
      <c r="B178">
        <v>5000000739</v>
      </c>
      <c r="C178" t="s">
        <v>261</v>
      </c>
      <c r="D178">
        <v>10802086</v>
      </c>
      <c r="E178">
        <v>2</v>
      </c>
      <c r="F178" t="s">
        <v>262</v>
      </c>
      <c r="G178" s="10">
        <v>45797</v>
      </c>
      <c r="H178" t="s">
        <v>36</v>
      </c>
      <c r="I178" t="s">
        <v>37</v>
      </c>
      <c r="J178" t="s">
        <v>38</v>
      </c>
      <c r="K178" t="s">
        <v>98</v>
      </c>
      <c r="L178" t="s">
        <v>39</v>
      </c>
      <c r="M178">
        <v>0</v>
      </c>
      <c r="P178">
        <v>2</v>
      </c>
      <c r="Q178">
        <v>0</v>
      </c>
      <c r="S178" t="s">
        <v>40</v>
      </c>
      <c r="T178" s="10">
        <v>45790</v>
      </c>
      <c r="W178">
        <v>1</v>
      </c>
      <c r="Y178" t="s">
        <v>41</v>
      </c>
      <c r="AG178" t="s">
        <v>142</v>
      </c>
      <c r="AJ178" t="s">
        <v>462</v>
      </c>
    </row>
    <row r="179" spans="1:36" x14ac:dyDescent="0.25">
      <c r="A179">
        <v>4</v>
      </c>
      <c r="B179">
        <v>5000000740</v>
      </c>
      <c r="C179" t="s">
        <v>360</v>
      </c>
      <c r="D179">
        <v>10802086</v>
      </c>
      <c r="E179">
        <v>200</v>
      </c>
      <c r="F179" t="s">
        <v>93</v>
      </c>
      <c r="G179" s="10">
        <v>45797</v>
      </c>
      <c r="H179" t="s">
        <v>36</v>
      </c>
      <c r="I179" t="s">
        <v>37</v>
      </c>
      <c r="J179" t="s">
        <v>38</v>
      </c>
      <c r="K179" t="s">
        <v>98</v>
      </c>
      <c r="L179" t="s">
        <v>39</v>
      </c>
      <c r="M179">
        <v>0</v>
      </c>
      <c r="P179">
        <v>200</v>
      </c>
      <c r="Q179">
        <v>0</v>
      </c>
      <c r="S179" t="s">
        <v>40</v>
      </c>
      <c r="T179" s="10">
        <v>45790</v>
      </c>
      <c r="W179">
        <v>1</v>
      </c>
      <c r="Y179" t="s">
        <v>41</v>
      </c>
      <c r="AG179" t="s">
        <v>142</v>
      </c>
      <c r="AJ179" t="s">
        <v>463</v>
      </c>
    </row>
    <row r="180" spans="1:36" x14ac:dyDescent="0.25">
      <c r="A180">
        <v>5</v>
      </c>
      <c r="B180">
        <v>5000013640</v>
      </c>
      <c r="C180" t="s">
        <v>159</v>
      </c>
      <c r="D180">
        <v>10802086</v>
      </c>
      <c r="E180">
        <v>50</v>
      </c>
      <c r="F180" t="s">
        <v>93</v>
      </c>
      <c r="G180" s="10">
        <v>45797</v>
      </c>
      <c r="H180" t="s">
        <v>160</v>
      </c>
      <c r="I180" t="s">
        <v>37</v>
      </c>
      <c r="J180" t="s">
        <v>38</v>
      </c>
      <c r="K180" t="s">
        <v>98</v>
      </c>
      <c r="L180" t="s">
        <v>39</v>
      </c>
      <c r="M180">
        <v>0</v>
      </c>
      <c r="P180">
        <v>50</v>
      </c>
      <c r="Q180">
        <v>0</v>
      </c>
      <c r="S180" t="s">
        <v>40</v>
      </c>
      <c r="T180" s="10">
        <v>45790</v>
      </c>
      <c r="W180">
        <v>1</v>
      </c>
      <c r="Y180" t="s">
        <v>41</v>
      </c>
      <c r="AG180" t="s">
        <v>142</v>
      </c>
      <c r="AJ180" t="s">
        <v>464</v>
      </c>
    </row>
    <row r="181" spans="1:36" x14ac:dyDescent="0.25">
      <c r="A181">
        <v>6</v>
      </c>
      <c r="B181">
        <v>5000016322</v>
      </c>
      <c r="C181" t="s">
        <v>388</v>
      </c>
      <c r="D181">
        <v>10802086</v>
      </c>
      <c r="E181">
        <v>55</v>
      </c>
      <c r="F181" t="s">
        <v>93</v>
      </c>
      <c r="G181" s="10">
        <v>45797</v>
      </c>
      <c r="H181" t="s">
        <v>36</v>
      </c>
      <c r="I181" t="s">
        <v>37</v>
      </c>
      <c r="J181" t="s">
        <v>38</v>
      </c>
      <c r="K181" t="s">
        <v>98</v>
      </c>
      <c r="L181" t="s">
        <v>39</v>
      </c>
      <c r="M181">
        <v>0</v>
      </c>
      <c r="P181">
        <v>55</v>
      </c>
      <c r="Q181">
        <v>0</v>
      </c>
      <c r="S181" t="s">
        <v>40</v>
      </c>
      <c r="T181" s="10">
        <v>45790</v>
      </c>
      <c r="W181">
        <v>1</v>
      </c>
      <c r="Y181" t="s">
        <v>41</v>
      </c>
      <c r="AG181" t="s">
        <v>142</v>
      </c>
      <c r="AJ181" t="s">
        <v>471</v>
      </c>
    </row>
    <row r="182" spans="1:36" x14ac:dyDescent="0.25">
      <c r="A182">
        <v>7</v>
      </c>
      <c r="B182">
        <v>5000012033</v>
      </c>
      <c r="C182" t="s">
        <v>465</v>
      </c>
      <c r="D182">
        <v>10802086</v>
      </c>
      <c r="E182">
        <v>55</v>
      </c>
      <c r="F182" t="s">
        <v>93</v>
      </c>
      <c r="G182" s="10">
        <v>45797</v>
      </c>
      <c r="H182" t="s">
        <v>160</v>
      </c>
      <c r="I182" t="s">
        <v>37</v>
      </c>
      <c r="J182" t="s">
        <v>38</v>
      </c>
      <c r="K182" t="s">
        <v>98</v>
      </c>
      <c r="L182" t="s">
        <v>39</v>
      </c>
      <c r="M182">
        <v>0</v>
      </c>
      <c r="P182">
        <v>55</v>
      </c>
      <c r="Q182">
        <v>0</v>
      </c>
      <c r="S182" t="s">
        <v>40</v>
      </c>
      <c r="T182" s="10">
        <v>45790</v>
      </c>
      <c r="W182">
        <v>1</v>
      </c>
      <c r="Y182" t="s">
        <v>41</v>
      </c>
      <c r="AG182" t="s">
        <v>142</v>
      </c>
      <c r="AJ182" t="s">
        <v>472</v>
      </c>
    </row>
    <row r="183" spans="1:36" x14ac:dyDescent="0.25">
      <c r="A183">
        <v>8</v>
      </c>
      <c r="B183">
        <v>5000017481</v>
      </c>
      <c r="C183" t="s">
        <v>322</v>
      </c>
      <c r="D183">
        <v>10802086</v>
      </c>
      <c r="E183">
        <v>1</v>
      </c>
      <c r="F183" t="s">
        <v>35</v>
      </c>
      <c r="G183" s="10">
        <v>45797</v>
      </c>
      <c r="H183" t="s">
        <v>36</v>
      </c>
      <c r="I183" t="s">
        <v>37</v>
      </c>
      <c r="J183" t="s">
        <v>38</v>
      </c>
      <c r="K183" t="s">
        <v>98</v>
      </c>
      <c r="L183" t="s">
        <v>39</v>
      </c>
      <c r="M183">
        <v>0</v>
      </c>
      <c r="P183">
        <v>1</v>
      </c>
      <c r="Q183">
        <v>0</v>
      </c>
      <c r="S183" t="s">
        <v>40</v>
      </c>
      <c r="T183" s="10">
        <v>45790</v>
      </c>
      <c r="W183">
        <v>1</v>
      </c>
      <c r="Y183" t="s">
        <v>41</v>
      </c>
      <c r="AG183" t="s">
        <v>142</v>
      </c>
      <c r="AJ183" t="s">
        <v>470</v>
      </c>
    </row>
    <row r="184" spans="1:36" x14ac:dyDescent="0.25">
      <c r="A184">
        <v>9</v>
      </c>
      <c r="B184">
        <v>5000017799</v>
      </c>
      <c r="C184" t="s">
        <v>468</v>
      </c>
      <c r="D184">
        <v>10802086</v>
      </c>
      <c r="E184">
        <v>5</v>
      </c>
      <c r="F184" t="s">
        <v>93</v>
      </c>
      <c r="G184" s="10">
        <v>45797</v>
      </c>
      <c r="H184" s="10" t="s">
        <v>36</v>
      </c>
      <c r="I184" t="s">
        <v>37</v>
      </c>
      <c r="J184" t="s">
        <v>38</v>
      </c>
      <c r="K184" t="s">
        <v>98</v>
      </c>
      <c r="L184" t="s">
        <v>39</v>
      </c>
      <c r="M184">
        <v>0</v>
      </c>
      <c r="P184">
        <v>5</v>
      </c>
      <c r="Q184">
        <v>0</v>
      </c>
      <c r="S184" t="s">
        <v>40</v>
      </c>
      <c r="T184" s="10">
        <v>45790</v>
      </c>
      <c r="U184" s="10"/>
      <c r="W184">
        <v>1</v>
      </c>
      <c r="Y184" t="s">
        <v>41</v>
      </c>
      <c r="AG184" t="s">
        <v>142</v>
      </c>
      <c r="AJ184" t="s">
        <v>469</v>
      </c>
    </row>
    <row r="185" spans="1:36" x14ac:dyDescent="0.25">
      <c r="A185">
        <v>10</v>
      </c>
      <c r="B185">
        <v>5000005340</v>
      </c>
      <c r="C185" t="s">
        <v>199</v>
      </c>
      <c r="D185">
        <v>10802086</v>
      </c>
      <c r="E185">
        <v>5</v>
      </c>
      <c r="F185" t="s">
        <v>35</v>
      </c>
      <c r="G185" s="10">
        <v>45797</v>
      </c>
      <c r="H185" t="s">
        <v>36</v>
      </c>
      <c r="I185" t="s">
        <v>37</v>
      </c>
      <c r="J185" t="s">
        <v>38</v>
      </c>
      <c r="K185" t="s">
        <v>98</v>
      </c>
      <c r="L185" t="s">
        <v>39</v>
      </c>
      <c r="M185">
        <v>0</v>
      </c>
      <c r="P185">
        <v>5</v>
      </c>
      <c r="Q185">
        <v>0</v>
      </c>
      <c r="S185" t="s">
        <v>40</v>
      </c>
      <c r="T185" s="10">
        <v>45790</v>
      </c>
      <c r="U185" t="s">
        <v>40</v>
      </c>
      <c r="V185" s="25">
        <v>45790</v>
      </c>
      <c r="W185">
        <v>1</v>
      </c>
      <c r="Y185" t="s">
        <v>41</v>
      </c>
      <c r="AG185" t="s">
        <v>142</v>
      </c>
      <c r="AJ185" t="s">
        <v>473</v>
      </c>
    </row>
    <row r="186" spans="1:36" x14ac:dyDescent="0.25">
      <c r="A186">
        <v>1</v>
      </c>
      <c r="B186">
        <v>5000017801</v>
      </c>
      <c r="C186" t="s">
        <v>474</v>
      </c>
      <c r="D186">
        <v>10802117</v>
      </c>
      <c r="E186">
        <v>1</v>
      </c>
      <c r="F186" t="s">
        <v>35</v>
      </c>
      <c r="G186" s="10">
        <v>45798</v>
      </c>
      <c r="H186" t="s">
        <v>36</v>
      </c>
      <c r="I186" t="s">
        <v>37</v>
      </c>
      <c r="J186" t="s">
        <v>38</v>
      </c>
      <c r="K186" t="s">
        <v>98</v>
      </c>
      <c r="L186" t="s">
        <v>39</v>
      </c>
      <c r="M186">
        <v>0</v>
      </c>
      <c r="P186">
        <v>1</v>
      </c>
      <c r="Q186">
        <v>0</v>
      </c>
      <c r="S186" t="s">
        <v>40</v>
      </c>
      <c r="T186" s="10">
        <v>45791</v>
      </c>
      <c r="W186">
        <v>1</v>
      </c>
      <c r="Y186" t="s">
        <v>41</v>
      </c>
      <c r="AG186" t="s">
        <v>142</v>
      </c>
      <c r="AJ186" t="s">
        <v>475</v>
      </c>
    </row>
    <row r="187" spans="1:36" x14ac:dyDescent="0.25">
      <c r="A187">
        <v>2</v>
      </c>
      <c r="B187">
        <v>5000017802</v>
      </c>
      <c r="C187" t="s">
        <v>476</v>
      </c>
      <c r="D187">
        <v>10802117</v>
      </c>
      <c r="E187">
        <v>1</v>
      </c>
      <c r="F187" t="s">
        <v>35</v>
      </c>
      <c r="G187" s="10">
        <v>45798</v>
      </c>
      <c r="H187" t="s">
        <v>36</v>
      </c>
      <c r="I187" t="s">
        <v>37</v>
      </c>
      <c r="J187" t="s">
        <v>38</v>
      </c>
      <c r="K187" t="s">
        <v>98</v>
      </c>
      <c r="L187" t="s">
        <v>39</v>
      </c>
      <c r="M187">
        <v>0</v>
      </c>
      <c r="P187">
        <v>1</v>
      </c>
      <c r="Q187">
        <v>0</v>
      </c>
      <c r="S187" t="s">
        <v>40</v>
      </c>
      <c r="T187" s="10">
        <v>45791</v>
      </c>
      <c r="W187">
        <v>1</v>
      </c>
      <c r="Y187" t="s">
        <v>41</v>
      </c>
      <c r="AG187" t="s">
        <v>142</v>
      </c>
      <c r="AJ187" t="s">
        <v>477</v>
      </c>
    </row>
    <row r="188" spans="1:36" x14ac:dyDescent="0.25">
      <c r="A188">
        <v>3</v>
      </c>
      <c r="B188">
        <v>5000011960</v>
      </c>
      <c r="C188" t="s">
        <v>478</v>
      </c>
      <c r="D188">
        <v>10802117</v>
      </c>
      <c r="E188">
        <v>1</v>
      </c>
      <c r="F188" t="s">
        <v>93</v>
      </c>
      <c r="G188" s="10">
        <v>45798</v>
      </c>
      <c r="H188" t="s">
        <v>36</v>
      </c>
      <c r="I188" t="s">
        <v>37</v>
      </c>
      <c r="J188" t="s">
        <v>38</v>
      </c>
      <c r="K188" t="s">
        <v>98</v>
      </c>
      <c r="L188" t="s">
        <v>39</v>
      </c>
      <c r="M188">
        <v>0</v>
      </c>
      <c r="P188">
        <v>1</v>
      </c>
      <c r="Q188">
        <v>0</v>
      </c>
      <c r="S188" t="s">
        <v>40</v>
      </c>
      <c r="T188" s="10">
        <v>45791</v>
      </c>
      <c r="W188">
        <v>1</v>
      </c>
      <c r="Y188" t="s">
        <v>41</v>
      </c>
      <c r="AG188" t="s">
        <v>142</v>
      </c>
      <c r="AJ188" t="s">
        <v>479</v>
      </c>
    </row>
    <row r="189" spans="1:36" x14ac:dyDescent="0.25">
      <c r="A189">
        <v>4</v>
      </c>
      <c r="B189">
        <v>5000014291</v>
      </c>
      <c r="C189" t="s">
        <v>406</v>
      </c>
      <c r="D189">
        <v>10802117</v>
      </c>
      <c r="E189">
        <v>1</v>
      </c>
      <c r="F189" t="s">
        <v>296</v>
      </c>
      <c r="G189" s="10">
        <v>45798</v>
      </c>
      <c r="H189" t="s">
        <v>36</v>
      </c>
      <c r="I189" t="s">
        <v>37</v>
      </c>
      <c r="J189" t="s">
        <v>38</v>
      </c>
      <c r="K189" t="s">
        <v>98</v>
      </c>
      <c r="L189" t="s">
        <v>39</v>
      </c>
      <c r="M189">
        <v>0</v>
      </c>
      <c r="P189">
        <v>1</v>
      </c>
      <c r="Q189">
        <v>0</v>
      </c>
      <c r="S189" t="s">
        <v>40</v>
      </c>
      <c r="T189" s="10">
        <v>45791</v>
      </c>
      <c r="W189">
        <v>1</v>
      </c>
      <c r="Y189" t="s">
        <v>41</v>
      </c>
      <c r="AG189" t="s">
        <v>142</v>
      </c>
      <c r="AJ189" t="s">
        <v>480</v>
      </c>
    </row>
    <row r="190" spans="1:36" x14ac:dyDescent="0.25">
      <c r="A190">
        <v>1</v>
      </c>
      <c r="B190">
        <v>5000008929</v>
      </c>
      <c r="C190" t="s">
        <v>100</v>
      </c>
      <c r="D190">
        <v>10802122</v>
      </c>
      <c r="E190">
        <v>1</v>
      </c>
      <c r="F190" t="s">
        <v>93</v>
      </c>
      <c r="G190" s="10">
        <v>45799</v>
      </c>
      <c r="H190" t="s">
        <v>36</v>
      </c>
      <c r="I190" t="s">
        <v>37</v>
      </c>
      <c r="J190" t="s">
        <v>38</v>
      </c>
      <c r="K190" t="s">
        <v>98</v>
      </c>
      <c r="L190" t="s">
        <v>39</v>
      </c>
      <c r="M190">
        <v>1</v>
      </c>
      <c r="P190">
        <v>0</v>
      </c>
      <c r="Q190">
        <v>1</v>
      </c>
      <c r="S190" t="s">
        <v>40</v>
      </c>
      <c r="T190" s="10">
        <v>45792</v>
      </c>
      <c r="W190">
        <v>1</v>
      </c>
      <c r="Y190" t="s">
        <v>41</v>
      </c>
      <c r="AG190" t="s">
        <v>142</v>
      </c>
      <c r="AJ190" t="s">
        <v>485</v>
      </c>
    </row>
    <row r="191" spans="1:36" x14ac:dyDescent="0.25">
      <c r="A191">
        <v>1</v>
      </c>
      <c r="B191">
        <v>5000004248</v>
      </c>
      <c r="C191" t="s">
        <v>155</v>
      </c>
      <c r="D191">
        <v>10802149</v>
      </c>
      <c r="E191">
        <v>6</v>
      </c>
      <c r="F191" t="s">
        <v>93</v>
      </c>
      <c r="G191" s="10">
        <v>45800</v>
      </c>
      <c r="H191" t="s">
        <v>36</v>
      </c>
      <c r="I191" t="s">
        <v>37</v>
      </c>
      <c r="J191" t="s">
        <v>38</v>
      </c>
      <c r="K191" t="s">
        <v>98</v>
      </c>
      <c r="L191" t="s">
        <v>39</v>
      </c>
      <c r="M191">
        <v>1</v>
      </c>
      <c r="P191">
        <v>0</v>
      </c>
      <c r="Q191">
        <v>6</v>
      </c>
      <c r="S191" t="s">
        <v>40</v>
      </c>
      <c r="T191" s="10">
        <v>45793</v>
      </c>
      <c r="W191">
        <v>1</v>
      </c>
      <c r="Y191" t="s">
        <v>41</v>
      </c>
      <c r="AG191" t="s">
        <v>142</v>
      </c>
      <c r="AJ191" t="s">
        <v>486</v>
      </c>
    </row>
    <row r="192" spans="1:36" x14ac:dyDescent="0.25">
      <c r="A192">
        <v>2</v>
      </c>
      <c r="B192">
        <v>5000005059</v>
      </c>
      <c r="C192" t="s">
        <v>153</v>
      </c>
      <c r="D192">
        <v>10802149</v>
      </c>
      <c r="E192">
        <v>4</v>
      </c>
      <c r="F192" t="s">
        <v>93</v>
      </c>
      <c r="G192" s="10">
        <v>45800</v>
      </c>
      <c r="H192" t="s">
        <v>36</v>
      </c>
      <c r="I192" t="s">
        <v>37</v>
      </c>
      <c r="J192" t="s">
        <v>38</v>
      </c>
      <c r="K192" t="s">
        <v>98</v>
      </c>
      <c r="L192" t="s">
        <v>39</v>
      </c>
      <c r="M192">
        <v>1</v>
      </c>
      <c r="P192">
        <v>0</v>
      </c>
      <c r="Q192">
        <v>4</v>
      </c>
      <c r="S192" t="s">
        <v>40</v>
      </c>
      <c r="T192" s="10">
        <v>45793</v>
      </c>
      <c r="W192">
        <v>1</v>
      </c>
      <c r="Y192" t="s">
        <v>41</v>
      </c>
      <c r="AG192" t="s">
        <v>142</v>
      </c>
      <c r="AJ192" t="s">
        <v>487</v>
      </c>
    </row>
    <row r="193" spans="1:36" x14ac:dyDescent="0.25">
      <c r="A193">
        <v>1</v>
      </c>
      <c r="B193">
        <v>5000008843</v>
      </c>
      <c r="C193" t="s">
        <v>150</v>
      </c>
      <c r="D193">
        <v>10802177</v>
      </c>
      <c r="E193">
        <v>2</v>
      </c>
      <c r="F193" t="s">
        <v>35</v>
      </c>
      <c r="G193" s="10">
        <v>45803</v>
      </c>
      <c r="H193" t="s">
        <v>36</v>
      </c>
      <c r="I193" t="s">
        <v>37</v>
      </c>
      <c r="J193" t="s">
        <v>38</v>
      </c>
      <c r="K193" t="s">
        <v>98</v>
      </c>
      <c r="L193" t="s">
        <v>39</v>
      </c>
      <c r="M193">
        <v>1</v>
      </c>
      <c r="P193">
        <v>0</v>
      </c>
      <c r="Q193">
        <v>2</v>
      </c>
      <c r="S193" t="s">
        <v>40</v>
      </c>
      <c r="T193" s="10">
        <v>45796</v>
      </c>
      <c r="W193">
        <v>1</v>
      </c>
      <c r="Y193" t="s">
        <v>41</v>
      </c>
      <c r="AG193" t="s">
        <v>142</v>
      </c>
      <c r="AJ193" t="s">
        <v>488</v>
      </c>
    </row>
    <row r="194" spans="1:36" x14ac:dyDescent="0.25">
      <c r="A194">
        <v>2</v>
      </c>
      <c r="B194">
        <v>5000005059</v>
      </c>
      <c r="C194" t="s">
        <v>153</v>
      </c>
      <c r="D194">
        <v>10802177</v>
      </c>
      <c r="E194">
        <v>2</v>
      </c>
      <c r="F194" t="s">
        <v>93</v>
      </c>
      <c r="G194" s="10">
        <v>45803</v>
      </c>
      <c r="H194" t="s">
        <v>36</v>
      </c>
      <c r="I194" t="s">
        <v>37</v>
      </c>
      <c r="J194" t="s">
        <v>38</v>
      </c>
      <c r="K194" t="s">
        <v>98</v>
      </c>
      <c r="L194" t="s">
        <v>39</v>
      </c>
      <c r="M194">
        <v>1</v>
      </c>
      <c r="P194">
        <v>0</v>
      </c>
      <c r="Q194">
        <v>2</v>
      </c>
      <c r="S194" t="s">
        <v>40</v>
      </c>
      <c r="T194" s="10">
        <v>45796</v>
      </c>
      <c r="W194">
        <v>1</v>
      </c>
      <c r="Y194" t="s">
        <v>41</v>
      </c>
      <c r="AG194" t="s">
        <v>142</v>
      </c>
      <c r="AJ194" t="s">
        <v>489</v>
      </c>
    </row>
    <row r="195" spans="1:36" x14ac:dyDescent="0.25">
      <c r="A195">
        <v>3</v>
      </c>
      <c r="B195">
        <v>5000004248</v>
      </c>
      <c r="C195" t="s">
        <v>155</v>
      </c>
      <c r="D195">
        <v>10802177</v>
      </c>
      <c r="E195">
        <v>2</v>
      </c>
      <c r="F195" t="s">
        <v>93</v>
      </c>
      <c r="G195" s="10">
        <v>45803</v>
      </c>
      <c r="H195" t="s">
        <v>36</v>
      </c>
      <c r="I195" t="s">
        <v>37</v>
      </c>
      <c r="J195" t="s">
        <v>38</v>
      </c>
      <c r="K195" t="s">
        <v>98</v>
      </c>
      <c r="L195" t="s">
        <v>39</v>
      </c>
      <c r="M195">
        <v>1</v>
      </c>
      <c r="P195">
        <v>0</v>
      </c>
      <c r="Q195">
        <v>2</v>
      </c>
      <c r="S195" t="s">
        <v>40</v>
      </c>
      <c r="T195" s="10">
        <v>45796</v>
      </c>
      <c r="W195">
        <v>1</v>
      </c>
      <c r="Y195" t="s">
        <v>41</v>
      </c>
      <c r="AG195" t="s">
        <v>142</v>
      </c>
      <c r="AJ195" t="s">
        <v>490</v>
      </c>
    </row>
    <row r="196" spans="1:36" x14ac:dyDescent="0.25">
      <c r="A196">
        <v>4</v>
      </c>
      <c r="B196">
        <v>5000016308</v>
      </c>
      <c r="C196" t="s">
        <v>143</v>
      </c>
      <c r="D196">
        <v>10802177</v>
      </c>
      <c r="E196">
        <v>2</v>
      </c>
      <c r="F196" t="s">
        <v>35</v>
      </c>
      <c r="G196" s="10">
        <v>45803</v>
      </c>
      <c r="H196" t="s">
        <v>36</v>
      </c>
      <c r="I196" t="s">
        <v>37</v>
      </c>
      <c r="J196" t="s">
        <v>38</v>
      </c>
      <c r="K196" t="s">
        <v>98</v>
      </c>
      <c r="L196" t="s">
        <v>39</v>
      </c>
      <c r="M196">
        <v>1</v>
      </c>
      <c r="P196">
        <v>0</v>
      </c>
      <c r="Q196">
        <v>2</v>
      </c>
      <c r="S196" t="s">
        <v>40</v>
      </c>
      <c r="T196" s="10">
        <v>45796</v>
      </c>
      <c r="W196">
        <v>1</v>
      </c>
      <c r="Y196" t="s">
        <v>41</v>
      </c>
      <c r="AG196" t="s">
        <v>142</v>
      </c>
      <c r="AJ196" t="s">
        <v>491</v>
      </c>
    </row>
    <row r="197" spans="1:36" x14ac:dyDescent="0.25">
      <c r="A197">
        <v>5</v>
      </c>
      <c r="B197">
        <v>5000012021</v>
      </c>
      <c r="C197" t="s">
        <v>188</v>
      </c>
      <c r="D197">
        <v>10802177</v>
      </c>
      <c r="E197">
        <v>2</v>
      </c>
      <c r="F197" t="s">
        <v>93</v>
      </c>
      <c r="G197" s="10">
        <v>45803</v>
      </c>
      <c r="H197" t="s">
        <v>36</v>
      </c>
      <c r="I197" t="s">
        <v>37</v>
      </c>
      <c r="J197" t="s">
        <v>38</v>
      </c>
      <c r="K197" t="s">
        <v>98</v>
      </c>
      <c r="L197" t="s">
        <v>39</v>
      </c>
      <c r="M197">
        <v>1</v>
      </c>
      <c r="P197">
        <v>0</v>
      </c>
      <c r="Q197">
        <v>2</v>
      </c>
      <c r="S197" t="s">
        <v>40</v>
      </c>
      <c r="T197" s="10">
        <v>45796</v>
      </c>
      <c r="W197">
        <v>1</v>
      </c>
      <c r="Y197" t="s">
        <v>41</v>
      </c>
      <c r="AG197" t="s">
        <v>142</v>
      </c>
      <c r="AJ197" t="s">
        <v>492</v>
      </c>
    </row>
    <row r="198" spans="1:36" x14ac:dyDescent="0.25">
      <c r="A198">
        <v>6</v>
      </c>
      <c r="B198">
        <v>5000005340</v>
      </c>
      <c r="C198" t="s">
        <v>199</v>
      </c>
      <c r="D198">
        <v>10802177</v>
      </c>
      <c r="E198">
        <v>1</v>
      </c>
      <c r="F198" t="s">
        <v>35</v>
      </c>
      <c r="G198" s="10">
        <v>45803</v>
      </c>
      <c r="H198" t="s">
        <v>36</v>
      </c>
      <c r="I198" t="s">
        <v>37</v>
      </c>
      <c r="J198" t="s">
        <v>38</v>
      </c>
      <c r="K198" t="s">
        <v>98</v>
      </c>
      <c r="L198" t="s">
        <v>39</v>
      </c>
      <c r="M198">
        <v>0</v>
      </c>
      <c r="P198">
        <v>1</v>
      </c>
      <c r="Q198">
        <v>0</v>
      </c>
      <c r="S198" t="s">
        <v>40</v>
      </c>
      <c r="T198" s="10">
        <v>45796</v>
      </c>
      <c r="W198">
        <v>1</v>
      </c>
      <c r="Y198" t="s">
        <v>41</v>
      </c>
      <c r="AG198" t="s">
        <v>142</v>
      </c>
      <c r="AJ198" t="s">
        <v>493</v>
      </c>
    </row>
    <row r="199" spans="1:36" x14ac:dyDescent="0.25">
      <c r="A199">
        <v>1</v>
      </c>
      <c r="B199">
        <v>5000016930</v>
      </c>
      <c r="C199" t="s">
        <v>203</v>
      </c>
      <c r="D199">
        <v>10802197</v>
      </c>
      <c r="E199">
        <v>1</v>
      </c>
      <c r="F199" t="s">
        <v>93</v>
      </c>
      <c r="G199" s="10">
        <v>45804</v>
      </c>
      <c r="H199" t="s">
        <v>36</v>
      </c>
      <c r="I199" t="s">
        <v>37</v>
      </c>
      <c r="J199" t="s">
        <v>38</v>
      </c>
      <c r="K199" t="s">
        <v>98</v>
      </c>
      <c r="L199" t="s">
        <v>39</v>
      </c>
      <c r="M199">
        <v>0</v>
      </c>
      <c r="P199">
        <v>1</v>
      </c>
      <c r="Q199">
        <v>0</v>
      </c>
      <c r="S199" t="s">
        <v>40</v>
      </c>
      <c r="T199" s="10">
        <v>45797</v>
      </c>
      <c r="W199">
        <v>1</v>
      </c>
      <c r="Y199" t="s">
        <v>41</v>
      </c>
      <c r="AG199" t="s">
        <v>142</v>
      </c>
      <c r="AJ199" t="s">
        <v>494</v>
      </c>
    </row>
    <row r="200" spans="1:36" x14ac:dyDescent="0.25">
      <c r="A200">
        <v>2</v>
      </c>
      <c r="B200">
        <v>5000013640</v>
      </c>
      <c r="C200" t="s">
        <v>159</v>
      </c>
      <c r="D200">
        <v>10802197</v>
      </c>
      <c r="E200">
        <v>5</v>
      </c>
      <c r="F200" t="s">
        <v>93</v>
      </c>
      <c r="G200" s="10">
        <v>45804</v>
      </c>
      <c r="H200" t="s">
        <v>160</v>
      </c>
      <c r="I200" t="s">
        <v>37</v>
      </c>
      <c r="J200" t="s">
        <v>38</v>
      </c>
      <c r="K200" t="s">
        <v>98</v>
      </c>
      <c r="L200" t="s">
        <v>39</v>
      </c>
      <c r="M200">
        <v>0</v>
      </c>
      <c r="P200">
        <v>5</v>
      </c>
      <c r="Q200">
        <v>0</v>
      </c>
      <c r="S200" t="s">
        <v>40</v>
      </c>
      <c r="T200" s="10">
        <v>45797</v>
      </c>
      <c r="W200">
        <v>1</v>
      </c>
      <c r="Y200" t="s">
        <v>41</v>
      </c>
      <c r="AG200" t="s">
        <v>142</v>
      </c>
      <c r="AJ200" t="s">
        <v>495</v>
      </c>
    </row>
    <row r="201" spans="1:36" x14ac:dyDescent="0.25">
      <c r="A201">
        <v>3</v>
      </c>
      <c r="B201">
        <v>5000016585</v>
      </c>
      <c r="C201" t="s">
        <v>306</v>
      </c>
      <c r="D201">
        <v>10802197</v>
      </c>
      <c r="E201">
        <v>1</v>
      </c>
      <c r="F201" t="s">
        <v>35</v>
      </c>
      <c r="G201" s="10">
        <v>45804</v>
      </c>
      <c r="H201" t="s">
        <v>36</v>
      </c>
      <c r="I201" t="s">
        <v>37</v>
      </c>
      <c r="J201" t="s">
        <v>38</v>
      </c>
      <c r="K201" t="s">
        <v>98</v>
      </c>
      <c r="L201" t="s">
        <v>39</v>
      </c>
      <c r="M201">
        <v>0</v>
      </c>
      <c r="P201">
        <v>1</v>
      </c>
      <c r="Q201">
        <v>0</v>
      </c>
      <c r="S201" t="s">
        <v>40</v>
      </c>
      <c r="T201" s="10">
        <v>45797</v>
      </c>
      <c r="W201">
        <v>1</v>
      </c>
      <c r="Y201" t="s">
        <v>41</v>
      </c>
      <c r="AG201" t="s">
        <v>142</v>
      </c>
      <c r="AJ201" t="s">
        <v>496</v>
      </c>
    </row>
    <row r="202" spans="1:36" x14ac:dyDescent="0.25">
      <c r="A202">
        <v>1</v>
      </c>
      <c r="B202">
        <v>5000014668</v>
      </c>
      <c r="C202" t="s">
        <v>368</v>
      </c>
      <c r="D202">
        <v>10802226</v>
      </c>
      <c r="E202">
        <v>1</v>
      </c>
      <c r="F202" t="s">
        <v>35</v>
      </c>
      <c r="G202" s="10">
        <v>45805</v>
      </c>
      <c r="H202" t="s">
        <v>36</v>
      </c>
      <c r="I202" t="s">
        <v>37</v>
      </c>
      <c r="J202" t="s">
        <v>38</v>
      </c>
      <c r="K202" t="s">
        <v>98</v>
      </c>
      <c r="L202" t="s">
        <v>39</v>
      </c>
      <c r="M202">
        <v>0</v>
      </c>
      <c r="P202">
        <v>1</v>
      </c>
      <c r="Q202">
        <v>0</v>
      </c>
      <c r="S202" t="s">
        <v>40</v>
      </c>
      <c r="T202" s="10">
        <v>45798</v>
      </c>
      <c r="W202">
        <v>1</v>
      </c>
      <c r="Y202" t="s">
        <v>41</v>
      </c>
      <c r="AG202" t="s">
        <v>142</v>
      </c>
      <c r="AJ202" t="s">
        <v>497</v>
      </c>
    </row>
    <row r="203" spans="1:36" x14ac:dyDescent="0.25">
      <c r="A203">
        <v>1</v>
      </c>
      <c r="B203">
        <v>5000016728</v>
      </c>
      <c r="C203" t="s">
        <v>146</v>
      </c>
      <c r="D203">
        <v>10802306</v>
      </c>
      <c r="E203">
        <v>1</v>
      </c>
      <c r="F203" t="s">
        <v>35</v>
      </c>
      <c r="G203" s="10">
        <v>45810</v>
      </c>
      <c r="H203" t="s">
        <v>36</v>
      </c>
      <c r="I203" t="s">
        <v>37</v>
      </c>
      <c r="J203" t="s">
        <v>38</v>
      </c>
      <c r="K203" t="s">
        <v>98</v>
      </c>
      <c r="L203" t="s">
        <v>39</v>
      </c>
      <c r="M203">
        <v>0</v>
      </c>
      <c r="P203">
        <v>1</v>
      </c>
      <c r="Q203">
        <v>0</v>
      </c>
      <c r="S203" t="s">
        <v>40</v>
      </c>
      <c r="T203" s="10">
        <v>45803</v>
      </c>
      <c r="W203">
        <v>1</v>
      </c>
      <c r="Y203" t="s">
        <v>41</v>
      </c>
      <c r="AG203" t="s">
        <v>142</v>
      </c>
      <c r="AJ203" t="s">
        <v>510</v>
      </c>
    </row>
    <row r="204" spans="1:36" x14ac:dyDescent="0.25">
      <c r="A204">
        <v>2</v>
      </c>
      <c r="B204">
        <v>5000004248</v>
      </c>
      <c r="C204" t="s">
        <v>155</v>
      </c>
      <c r="D204">
        <v>10802306</v>
      </c>
      <c r="E204">
        <v>13</v>
      </c>
      <c r="F204" t="s">
        <v>93</v>
      </c>
      <c r="G204" s="10">
        <v>45810</v>
      </c>
      <c r="H204" t="s">
        <v>36</v>
      </c>
      <c r="I204" t="s">
        <v>37</v>
      </c>
      <c r="J204" t="s">
        <v>38</v>
      </c>
      <c r="K204" t="s">
        <v>98</v>
      </c>
      <c r="L204" t="s">
        <v>39</v>
      </c>
      <c r="M204">
        <v>0</v>
      </c>
      <c r="P204">
        <v>13</v>
      </c>
      <c r="Q204">
        <v>0</v>
      </c>
      <c r="S204" t="s">
        <v>40</v>
      </c>
      <c r="T204" s="10">
        <v>45803</v>
      </c>
      <c r="U204" t="s">
        <v>40</v>
      </c>
      <c r="V204" s="25">
        <v>45803</v>
      </c>
      <c r="W204">
        <v>1</v>
      </c>
      <c r="Y204" t="s">
        <v>41</v>
      </c>
      <c r="AG204" t="s">
        <v>142</v>
      </c>
      <c r="AJ204" t="s">
        <v>511</v>
      </c>
    </row>
    <row r="205" spans="1:36" x14ac:dyDescent="0.25">
      <c r="A205">
        <v>3</v>
      </c>
      <c r="B205">
        <v>5000008843</v>
      </c>
      <c r="C205" t="s">
        <v>150</v>
      </c>
      <c r="D205">
        <v>10802306</v>
      </c>
      <c r="E205">
        <v>1</v>
      </c>
      <c r="F205" t="s">
        <v>35</v>
      </c>
      <c r="G205" s="10">
        <v>45810</v>
      </c>
      <c r="H205" t="s">
        <v>36</v>
      </c>
      <c r="I205" t="s">
        <v>37</v>
      </c>
      <c r="J205" t="s">
        <v>38</v>
      </c>
      <c r="K205" t="s">
        <v>98</v>
      </c>
      <c r="L205" t="s">
        <v>39</v>
      </c>
      <c r="M205">
        <v>0</v>
      </c>
      <c r="P205">
        <v>1</v>
      </c>
      <c r="Q205">
        <v>0</v>
      </c>
      <c r="S205" t="s">
        <v>40</v>
      </c>
      <c r="T205" s="10">
        <v>45803</v>
      </c>
      <c r="V205" s="10"/>
      <c r="W205">
        <v>1</v>
      </c>
      <c r="Y205" t="s">
        <v>41</v>
      </c>
      <c r="AG205" t="s">
        <v>142</v>
      </c>
      <c r="AJ205" t="s">
        <v>512</v>
      </c>
    </row>
    <row r="206" spans="1:36" x14ac:dyDescent="0.25">
      <c r="A206">
        <v>4</v>
      </c>
      <c r="B206">
        <v>5000016308</v>
      </c>
      <c r="C206" t="s">
        <v>143</v>
      </c>
      <c r="D206">
        <v>10802306</v>
      </c>
      <c r="E206">
        <v>1</v>
      </c>
      <c r="F206" t="s">
        <v>35</v>
      </c>
      <c r="G206" s="10">
        <v>45810</v>
      </c>
      <c r="H206" t="s">
        <v>36</v>
      </c>
      <c r="I206" t="s">
        <v>37</v>
      </c>
      <c r="J206" t="s">
        <v>38</v>
      </c>
      <c r="K206" t="s">
        <v>98</v>
      </c>
      <c r="L206" t="s">
        <v>39</v>
      </c>
      <c r="M206">
        <v>0</v>
      </c>
      <c r="P206">
        <v>1</v>
      </c>
      <c r="Q206">
        <v>0</v>
      </c>
      <c r="S206" t="s">
        <v>40</v>
      </c>
      <c r="T206" s="10">
        <v>45803</v>
      </c>
      <c r="W206">
        <v>1</v>
      </c>
      <c r="Y206" t="s">
        <v>41</v>
      </c>
      <c r="AG206" t="s">
        <v>142</v>
      </c>
      <c r="AJ206" t="s">
        <v>513</v>
      </c>
    </row>
    <row r="207" spans="1:36" x14ac:dyDescent="0.25">
      <c r="A207">
        <v>5</v>
      </c>
      <c r="B207">
        <v>5000005059</v>
      </c>
      <c r="C207" t="s">
        <v>153</v>
      </c>
      <c r="D207">
        <v>10802306</v>
      </c>
      <c r="E207">
        <v>1</v>
      </c>
      <c r="F207" t="s">
        <v>93</v>
      </c>
      <c r="G207" s="10">
        <v>45810</v>
      </c>
      <c r="H207" t="s">
        <v>36</v>
      </c>
      <c r="I207" t="s">
        <v>37</v>
      </c>
      <c r="J207" t="s">
        <v>38</v>
      </c>
      <c r="K207" t="s">
        <v>98</v>
      </c>
      <c r="L207" t="s">
        <v>39</v>
      </c>
      <c r="M207">
        <v>0</v>
      </c>
      <c r="P207">
        <v>1</v>
      </c>
      <c r="Q207">
        <v>0</v>
      </c>
      <c r="S207" t="s">
        <v>40</v>
      </c>
      <c r="T207" s="10">
        <v>45803</v>
      </c>
      <c r="W207">
        <v>1</v>
      </c>
      <c r="Y207" t="s">
        <v>41</v>
      </c>
      <c r="AG207" t="s">
        <v>142</v>
      </c>
      <c r="AJ207" t="s">
        <v>514</v>
      </c>
    </row>
    <row r="208" spans="1:36" x14ac:dyDescent="0.25">
      <c r="A208">
        <v>6</v>
      </c>
      <c r="B208">
        <v>5000011754</v>
      </c>
      <c r="C208" t="s">
        <v>99</v>
      </c>
      <c r="D208">
        <v>10802306</v>
      </c>
      <c r="E208">
        <v>1</v>
      </c>
      <c r="F208" t="s">
        <v>93</v>
      </c>
      <c r="G208" s="10">
        <v>45810</v>
      </c>
      <c r="H208" t="s">
        <v>36</v>
      </c>
      <c r="I208" t="s">
        <v>37</v>
      </c>
      <c r="J208" t="s">
        <v>38</v>
      </c>
      <c r="K208" t="s">
        <v>98</v>
      </c>
      <c r="L208" t="s">
        <v>39</v>
      </c>
      <c r="M208">
        <v>0</v>
      </c>
      <c r="P208">
        <v>1</v>
      </c>
      <c r="Q208">
        <v>0</v>
      </c>
      <c r="S208" t="s">
        <v>40</v>
      </c>
      <c r="T208" s="10">
        <v>45803</v>
      </c>
      <c r="W208">
        <v>1</v>
      </c>
      <c r="Y208" t="s">
        <v>41</v>
      </c>
      <c r="AG208" t="s">
        <v>142</v>
      </c>
      <c r="AJ208" t="s">
        <v>515</v>
      </c>
    </row>
    <row r="209" spans="1:36" x14ac:dyDescent="0.25">
      <c r="A209">
        <v>7</v>
      </c>
      <c r="B209">
        <v>5000012021</v>
      </c>
      <c r="C209" t="s">
        <v>188</v>
      </c>
      <c r="D209">
        <v>10802306</v>
      </c>
      <c r="E209">
        <v>1</v>
      </c>
      <c r="F209" t="s">
        <v>93</v>
      </c>
      <c r="G209" s="10">
        <v>45810</v>
      </c>
      <c r="H209" t="s">
        <v>36</v>
      </c>
      <c r="I209" t="s">
        <v>37</v>
      </c>
      <c r="J209" t="s">
        <v>38</v>
      </c>
      <c r="K209" t="s">
        <v>98</v>
      </c>
      <c r="L209" t="s">
        <v>39</v>
      </c>
      <c r="M209">
        <v>0</v>
      </c>
      <c r="P209">
        <v>1</v>
      </c>
      <c r="Q209">
        <v>0</v>
      </c>
      <c r="S209" t="s">
        <v>40</v>
      </c>
      <c r="T209" s="10">
        <v>45803</v>
      </c>
      <c r="W209">
        <v>1</v>
      </c>
      <c r="Y209" t="s">
        <v>41</v>
      </c>
      <c r="AG209" t="s">
        <v>142</v>
      </c>
      <c r="AJ209" t="s">
        <v>516</v>
      </c>
    </row>
    <row r="210" spans="1:36" x14ac:dyDescent="0.25">
      <c r="A210">
        <v>1</v>
      </c>
      <c r="B210">
        <v>5000005059</v>
      </c>
      <c r="C210" t="s">
        <v>153</v>
      </c>
      <c r="D210">
        <v>10802412</v>
      </c>
      <c r="E210">
        <v>10</v>
      </c>
      <c r="F210" t="s">
        <v>93</v>
      </c>
      <c r="G210" s="10">
        <v>45815</v>
      </c>
      <c r="H210" t="s">
        <v>36</v>
      </c>
      <c r="I210" t="s">
        <v>37</v>
      </c>
      <c r="J210" t="s">
        <v>38</v>
      </c>
      <c r="K210" t="s">
        <v>98</v>
      </c>
      <c r="L210" t="s">
        <v>39</v>
      </c>
      <c r="M210">
        <v>0</v>
      </c>
      <c r="P210">
        <v>10</v>
      </c>
      <c r="Q210">
        <v>0</v>
      </c>
      <c r="S210" t="s">
        <v>40</v>
      </c>
      <c r="T210" s="10">
        <v>45808</v>
      </c>
      <c r="W210">
        <v>1</v>
      </c>
      <c r="Y210" t="s">
        <v>41</v>
      </c>
      <c r="AG210" t="s">
        <v>142</v>
      </c>
      <c r="AJ210" t="s">
        <v>517</v>
      </c>
    </row>
    <row r="211" spans="1:36" x14ac:dyDescent="0.25">
      <c r="A211">
        <v>2</v>
      </c>
      <c r="B211">
        <v>5000005340</v>
      </c>
      <c r="C211" t="s">
        <v>199</v>
      </c>
      <c r="D211">
        <v>10802412</v>
      </c>
      <c r="E211">
        <v>1</v>
      </c>
      <c r="F211" t="s">
        <v>35</v>
      </c>
      <c r="G211" s="10">
        <v>45815</v>
      </c>
      <c r="H211" t="s">
        <v>36</v>
      </c>
      <c r="I211" t="s">
        <v>37</v>
      </c>
      <c r="J211" t="s">
        <v>38</v>
      </c>
      <c r="K211" t="s">
        <v>98</v>
      </c>
      <c r="L211" t="s">
        <v>39</v>
      </c>
      <c r="M211">
        <v>0</v>
      </c>
      <c r="P211">
        <v>1</v>
      </c>
      <c r="Q211">
        <v>0</v>
      </c>
      <c r="S211" t="s">
        <v>40</v>
      </c>
      <c r="T211" s="10">
        <v>45808</v>
      </c>
      <c r="W211">
        <v>1</v>
      </c>
      <c r="Y211" t="s">
        <v>41</v>
      </c>
      <c r="AG211" t="s">
        <v>142</v>
      </c>
      <c r="AJ211" t="s">
        <v>518</v>
      </c>
    </row>
    <row r="212" spans="1:36" x14ac:dyDescent="0.25">
      <c r="A212">
        <v>3</v>
      </c>
      <c r="B212">
        <v>5000013499</v>
      </c>
      <c r="C212" t="s">
        <v>244</v>
      </c>
      <c r="D212">
        <v>10802412</v>
      </c>
      <c r="E212">
        <v>1</v>
      </c>
      <c r="F212" t="s">
        <v>35</v>
      </c>
      <c r="G212" s="10">
        <v>45817</v>
      </c>
      <c r="H212" t="s">
        <v>160</v>
      </c>
      <c r="I212" t="s">
        <v>37</v>
      </c>
      <c r="J212" t="s">
        <v>38</v>
      </c>
      <c r="K212" t="s">
        <v>98</v>
      </c>
      <c r="L212" t="s">
        <v>39</v>
      </c>
      <c r="M212">
        <v>0</v>
      </c>
      <c r="P212">
        <v>1</v>
      </c>
      <c r="Q212">
        <v>0</v>
      </c>
      <c r="S212" t="s">
        <v>40</v>
      </c>
      <c r="T212" s="10">
        <v>45810</v>
      </c>
      <c r="W212">
        <v>1</v>
      </c>
      <c r="Y212" t="s">
        <v>41</v>
      </c>
      <c r="AG212" t="s">
        <v>142</v>
      </c>
      <c r="AJ212" t="s">
        <v>519</v>
      </c>
    </row>
    <row r="213" spans="1:36" x14ac:dyDescent="0.25">
      <c r="A213">
        <v>1</v>
      </c>
      <c r="B213">
        <v>5000015091</v>
      </c>
      <c r="C213" t="s">
        <v>520</v>
      </c>
      <c r="D213">
        <v>10802429</v>
      </c>
      <c r="E213">
        <v>1</v>
      </c>
      <c r="F213" t="s">
        <v>296</v>
      </c>
      <c r="G213" s="10">
        <v>45817</v>
      </c>
      <c r="H213" t="s">
        <v>36</v>
      </c>
      <c r="I213" t="s">
        <v>37</v>
      </c>
      <c r="J213" t="s">
        <v>38</v>
      </c>
      <c r="K213" t="s">
        <v>98</v>
      </c>
      <c r="L213" t="s">
        <v>39</v>
      </c>
      <c r="M213">
        <v>0</v>
      </c>
      <c r="P213">
        <v>1</v>
      </c>
      <c r="Q213">
        <v>0</v>
      </c>
      <c r="S213" t="s">
        <v>40</v>
      </c>
      <c r="T213" s="10">
        <v>45810</v>
      </c>
      <c r="W213">
        <v>1</v>
      </c>
      <c r="Y213" t="s">
        <v>41</v>
      </c>
      <c r="AG213" t="s">
        <v>142</v>
      </c>
      <c r="AJ213" t="s">
        <v>521</v>
      </c>
    </row>
    <row r="214" spans="1:36" x14ac:dyDescent="0.25">
      <c r="A214">
        <v>1</v>
      </c>
      <c r="B214">
        <v>5000008843</v>
      </c>
      <c r="C214" t="s">
        <v>150</v>
      </c>
      <c r="D214">
        <v>10802464</v>
      </c>
      <c r="E214">
        <v>2</v>
      </c>
      <c r="F214" t="s">
        <v>35</v>
      </c>
      <c r="G214" s="10">
        <v>45819</v>
      </c>
      <c r="H214" t="s">
        <v>36</v>
      </c>
      <c r="I214" t="s">
        <v>37</v>
      </c>
      <c r="J214" t="s">
        <v>38</v>
      </c>
      <c r="K214" t="s">
        <v>98</v>
      </c>
      <c r="L214" t="s">
        <v>39</v>
      </c>
      <c r="M214">
        <v>0</v>
      </c>
      <c r="P214">
        <v>2</v>
      </c>
      <c r="Q214">
        <v>0</v>
      </c>
      <c r="S214" t="s">
        <v>40</v>
      </c>
      <c r="T214" s="10">
        <v>45812</v>
      </c>
      <c r="U214" t="s">
        <v>40</v>
      </c>
      <c r="V214" s="25">
        <v>45812</v>
      </c>
      <c r="W214">
        <v>1</v>
      </c>
      <c r="Y214" t="s">
        <v>41</v>
      </c>
      <c r="AG214" t="s">
        <v>142</v>
      </c>
      <c r="AJ214" t="s">
        <v>524</v>
      </c>
    </row>
    <row r="215" spans="1:36" x14ac:dyDescent="0.25">
      <c r="A215">
        <v>2</v>
      </c>
      <c r="B215">
        <v>5000017289</v>
      </c>
      <c r="C215" t="s">
        <v>525</v>
      </c>
      <c r="D215">
        <v>10802464</v>
      </c>
      <c r="E215">
        <v>3</v>
      </c>
      <c r="F215" t="s">
        <v>93</v>
      </c>
      <c r="G215" s="10">
        <v>45819</v>
      </c>
      <c r="H215" t="s">
        <v>36</v>
      </c>
      <c r="I215" t="s">
        <v>37</v>
      </c>
      <c r="J215" t="s">
        <v>38</v>
      </c>
      <c r="K215" t="s">
        <v>98</v>
      </c>
      <c r="L215" t="s">
        <v>39</v>
      </c>
      <c r="M215">
        <v>0</v>
      </c>
      <c r="P215">
        <v>3</v>
      </c>
      <c r="Q215">
        <v>0</v>
      </c>
      <c r="S215" t="s">
        <v>40</v>
      </c>
      <c r="T215" s="10">
        <v>45812</v>
      </c>
      <c r="W215">
        <v>1</v>
      </c>
      <c r="Y215" t="s">
        <v>41</v>
      </c>
      <c r="AG215" t="s">
        <v>142</v>
      </c>
      <c r="AJ215" t="s">
        <v>526</v>
      </c>
    </row>
    <row r="216" spans="1:36" x14ac:dyDescent="0.25">
      <c r="A216">
        <v>3</v>
      </c>
      <c r="B216">
        <v>5000016308</v>
      </c>
      <c r="C216" t="s">
        <v>143</v>
      </c>
      <c r="D216">
        <v>10802464</v>
      </c>
      <c r="E216">
        <v>1</v>
      </c>
      <c r="F216" t="s">
        <v>35</v>
      </c>
      <c r="G216" s="10">
        <v>45819</v>
      </c>
      <c r="H216" t="s">
        <v>36</v>
      </c>
      <c r="I216" t="s">
        <v>37</v>
      </c>
      <c r="J216" t="s">
        <v>38</v>
      </c>
      <c r="K216" t="s">
        <v>98</v>
      </c>
      <c r="L216" t="s">
        <v>39</v>
      </c>
      <c r="M216">
        <v>0</v>
      </c>
      <c r="P216">
        <v>1</v>
      </c>
      <c r="Q216">
        <v>0</v>
      </c>
      <c r="S216" t="s">
        <v>40</v>
      </c>
      <c r="T216" s="10">
        <v>45812</v>
      </c>
      <c r="W216">
        <v>1</v>
      </c>
      <c r="Y216" t="s">
        <v>41</v>
      </c>
      <c r="AG216" t="s">
        <v>142</v>
      </c>
      <c r="AJ216" t="s">
        <v>527</v>
      </c>
    </row>
    <row r="217" spans="1:36" x14ac:dyDescent="0.25">
      <c r="A217">
        <v>4</v>
      </c>
      <c r="B217">
        <v>5000005059</v>
      </c>
      <c r="C217" t="s">
        <v>153</v>
      </c>
      <c r="D217">
        <v>10802464</v>
      </c>
      <c r="E217">
        <v>1</v>
      </c>
      <c r="F217" t="s">
        <v>93</v>
      </c>
      <c r="G217" s="10">
        <v>45819</v>
      </c>
      <c r="H217" t="s">
        <v>36</v>
      </c>
      <c r="I217" t="s">
        <v>37</v>
      </c>
      <c r="J217" t="s">
        <v>38</v>
      </c>
      <c r="K217" t="s">
        <v>98</v>
      </c>
      <c r="L217" t="s">
        <v>39</v>
      </c>
      <c r="M217">
        <v>0</v>
      </c>
      <c r="P217">
        <v>1</v>
      </c>
      <c r="Q217">
        <v>0</v>
      </c>
      <c r="S217" t="s">
        <v>40</v>
      </c>
      <c r="T217" s="10">
        <v>45812</v>
      </c>
      <c r="W217">
        <v>1</v>
      </c>
      <c r="Y217" t="s">
        <v>41</v>
      </c>
      <c r="AG217" t="s">
        <v>142</v>
      </c>
      <c r="AJ217" t="s">
        <v>528</v>
      </c>
    </row>
    <row r="218" spans="1:36" x14ac:dyDescent="0.25">
      <c r="A218">
        <v>5</v>
      </c>
      <c r="B218">
        <v>5000004248</v>
      </c>
      <c r="C218" t="s">
        <v>155</v>
      </c>
      <c r="D218">
        <v>10802464</v>
      </c>
      <c r="E218">
        <v>1</v>
      </c>
      <c r="F218" t="s">
        <v>93</v>
      </c>
      <c r="G218" s="10">
        <v>45819</v>
      </c>
      <c r="H218" t="s">
        <v>36</v>
      </c>
      <c r="I218" t="s">
        <v>37</v>
      </c>
      <c r="J218" t="s">
        <v>38</v>
      </c>
      <c r="K218" t="s">
        <v>98</v>
      </c>
      <c r="L218" t="s">
        <v>39</v>
      </c>
      <c r="M218">
        <v>0</v>
      </c>
      <c r="P218">
        <v>1</v>
      </c>
      <c r="Q218">
        <v>0</v>
      </c>
      <c r="S218" t="s">
        <v>40</v>
      </c>
      <c r="T218" s="10">
        <v>45812</v>
      </c>
      <c r="W218">
        <v>1</v>
      </c>
      <c r="Y218" t="s">
        <v>41</v>
      </c>
      <c r="AG218" t="s">
        <v>142</v>
      </c>
      <c r="AJ218" t="s">
        <v>527</v>
      </c>
    </row>
    <row r="219" spans="1:36" x14ac:dyDescent="0.25">
      <c r="A219">
        <v>6</v>
      </c>
      <c r="B219">
        <v>5000012021</v>
      </c>
      <c r="C219" t="s">
        <v>188</v>
      </c>
      <c r="D219">
        <v>10802464</v>
      </c>
      <c r="E219">
        <v>1</v>
      </c>
      <c r="F219" t="s">
        <v>93</v>
      </c>
      <c r="G219" s="10">
        <v>45819</v>
      </c>
      <c r="H219" t="s">
        <v>36</v>
      </c>
      <c r="I219" t="s">
        <v>37</v>
      </c>
      <c r="J219" t="s">
        <v>38</v>
      </c>
      <c r="K219" t="s">
        <v>98</v>
      </c>
      <c r="L219" t="s">
        <v>39</v>
      </c>
      <c r="M219">
        <v>0</v>
      </c>
      <c r="P219">
        <v>1</v>
      </c>
      <c r="Q219">
        <v>0</v>
      </c>
      <c r="S219" t="s">
        <v>40</v>
      </c>
      <c r="T219" s="10">
        <v>45812</v>
      </c>
      <c r="W219">
        <v>1</v>
      </c>
      <c r="Y219" t="s">
        <v>41</v>
      </c>
      <c r="AG219" t="s">
        <v>142</v>
      </c>
      <c r="AJ219" t="s">
        <v>527</v>
      </c>
    </row>
    <row r="220" spans="1:36" x14ac:dyDescent="0.25">
      <c r="A220">
        <v>7</v>
      </c>
      <c r="B220">
        <v>5000013008</v>
      </c>
      <c r="C220" t="s">
        <v>529</v>
      </c>
      <c r="D220">
        <v>10802464</v>
      </c>
      <c r="E220">
        <v>1</v>
      </c>
      <c r="F220" t="s">
        <v>35</v>
      </c>
      <c r="G220" s="10">
        <v>45819</v>
      </c>
      <c r="H220" t="s">
        <v>36</v>
      </c>
      <c r="I220" t="s">
        <v>37</v>
      </c>
      <c r="J220" t="s">
        <v>38</v>
      </c>
      <c r="K220" t="s">
        <v>98</v>
      </c>
      <c r="L220" t="s">
        <v>39</v>
      </c>
      <c r="M220">
        <v>0</v>
      </c>
      <c r="P220">
        <v>1</v>
      </c>
      <c r="Q220">
        <v>0</v>
      </c>
      <c r="S220" t="s">
        <v>40</v>
      </c>
      <c r="T220" s="10">
        <v>45812</v>
      </c>
      <c r="W220">
        <v>1</v>
      </c>
      <c r="Y220" t="s">
        <v>41</v>
      </c>
      <c r="AG220" t="s">
        <v>142</v>
      </c>
      <c r="AJ220" t="s">
        <v>527</v>
      </c>
    </row>
    <row r="221" spans="1:36" x14ac:dyDescent="0.25">
      <c r="A221">
        <v>1</v>
      </c>
      <c r="B221">
        <v>5000016728</v>
      </c>
      <c r="C221" t="s">
        <v>146</v>
      </c>
      <c r="D221">
        <v>10802487</v>
      </c>
      <c r="E221">
        <v>1</v>
      </c>
      <c r="F221" t="s">
        <v>35</v>
      </c>
      <c r="G221" s="10">
        <v>45822</v>
      </c>
      <c r="H221" t="s">
        <v>36</v>
      </c>
      <c r="I221" t="s">
        <v>37</v>
      </c>
      <c r="J221" t="s">
        <v>38</v>
      </c>
      <c r="K221" t="s">
        <v>98</v>
      </c>
      <c r="L221" t="s">
        <v>39</v>
      </c>
      <c r="M221">
        <v>0</v>
      </c>
      <c r="P221">
        <v>1</v>
      </c>
      <c r="Q221">
        <v>0</v>
      </c>
      <c r="S221" t="s">
        <v>40</v>
      </c>
      <c r="T221" s="10">
        <v>45815</v>
      </c>
      <c r="W221">
        <v>1</v>
      </c>
      <c r="Y221" t="s">
        <v>41</v>
      </c>
      <c r="AG221" t="s">
        <v>142</v>
      </c>
      <c r="AJ221" t="s">
        <v>530</v>
      </c>
    </row>
    <row r="222" spans="1:36" x14ac:dyDescent="0.25">
      <c r="A222">
        <v>2</v>
      </c>
      <c r="B222">
        <v>5000000739</v>
      </c>
      <c r="C222" t="s">
        <v>261</v>
      </c>
      <c r="D222">
        <v>10802487</v>
      </c>
      <c r="E222">
        <v>1</v>
      </c>
      <c r="F222" t="s">
        <v>262</v>
      </c>
      <c r="G222" s="10">
        <v>45822</v>
      </c>
      <c r="H222" t="s">
        <v>36</v>
      </c>
      <c r="I222" t="s">
        <v>37</v>
      </c>
      <c r="J222" t="s">
        <v>38</v>
      </c>
      <c r="K222" t="s">
        <v>98</v>
      </c>
      <c r="L222" t="s">
        <v>39</v>
      </c>
      <c r="M222">
        <v>0</v>
      </c>
      <c r="P222">
        <v>1</v>
      </c>
      <c r="Q222">
        <v>0</v>
      </c>
      <c r="S222" t="s">
        <v>40</v>
      </c>
      <c r="T222" s="10">
        <v>45815</v>
      </c>
      <c r="W222">
        <v>1</v>
      </c>
      <c r="Y222" t="s">
        <v>41</v>
      </c>
      <c r="AG222" t="s">
        <v>142</v>
      </c>
      <c r="AJ222" t="s">
        <v>531</v>
      </c>
    </row>
    <row r="223" spans="1:36" x14ac:dyDescent="0.25">
      <c r="A223">
        <v>3</v>
      </c>
      <c r="B223">
        <v>5000017828</v>
      </c>
      <c r="C223" t="s">
        <v>532</v>
      </c>
      <c r="D223">
        <v>10802487</v>
      </c>
      <c r="E223">
        <v>1</v>
      </c>
      <c r="F223" t="s">
        <v>35</v>
      </c>
      <c r="G223" s="10">
        <v>45822</v>
      </c>
      <c r="H223" t="s">
        <v>36</v>
      </c>
      <c r="I223" t="s">
        <v>37</v>
      </c>
      <c r="J223" t="s">
        <v>38</v>
      </c>
      <c r="K223" t="s">
        <v>98</v>
      </c>
      <c r="L223" t="s">
        <v>39</v>
      </c>
      <c r="M223">
        <v>1</v>
      </c>
      <c r="P223">
        <v>0</v>
      </c>
      <c r="Q223">
        <v>1</v>
      </c>
      <c r="S223" t="s">
        <v>40</v>
      </c>
      <c r="T223" s="10">
        <v>45815</v>
      </c>
      <c r="W223">
        <v>1</v>
      </c>
      <c r="Y223" t="s">
        <v>41</v>
      </c>
      <c r="AG223" t="s">
        <v>142</v>
      </c>
      <c r="AJ223" t="s">
        <v>533</v>
      </c>
    </row>
    <row r="224" spans="1:36" x14ac:dyDescent="0.25">
      <c r="A224">
        <v>1</v>
      </c>
      <c r="B224">
        <v>5000016930</v>
      </c>
      <c r="C224" t="s">
        <v>203</v>
      </c>
      <c r="D224">
        <v>10802496</v>
      </c>
      <c r="E224">
        <v>1</v>
      </c>
      <c r="F224" t="s">
        <v>93</v>
      </c>
      <c r="G224" s="10">
        <v>45824</v>
      </c>
      <c r="H224" t="s">
        <v>36</v>
      </c>
      <c r="I224" t="s">
        <v>37</v>
      </c>
      <c r="J224" t="s">
        <v>38</v>
      </c>
      <c r="K224" t="s">
        <v>98</v>
      </c>
      <c r="L224" t="s">
        <v>39</v>
      </c>
      <c r="M224">
        <v>0</v>
      </c>
      <c r="P224">
        <v>1</v>
      </c>
      <c r="Q224">
        <v>0</v>
      </c>
      <c r="S224" t="s">
        <v>40</v>
      </c>
      <c r="T224" s="10">
        <v>45817</v>
      </c>
      <c r="W224">
        <v>1</v>
      </c>
      <c r="Y224" t="s">
        <v>41</v>
      </c>
      <c r="AG224" t="s">
        <v>142</v>
      </c>
      <c r="AJ224" t="s">
        <v>534</v>
      </c>
    </row>
    <row r="225" spans="1:36" x14ac:dyDescent="0.25">
      <c r="A225">
        <v>2</v>
      </c>
      <c r="B225">
        <v>5000009123</v>
      </c>
      <c r="C225" t="s">
        <v>535</v>
      </c>
      <c r="D225">
        <v>10802496</v>
      </c>
      <c r="E225">
        <v>1</v>
      </c>
      <c r="F225" t="s">
        <v>35</v>
      </c>
      <c r="G225" s="10">
        <v>45824</v>
      </c>
      <c r="H225" t="s">
        <v>36</v>
      </c>
      <c r="I225" t="s">
        <v>37</v>
      </c>
      <c r="J225" t="s">
        <v>38</v>
      </c>
      <c r="K225" t="s">
        <v>98</v>
      </c>
      <c r="L225" t="s">
        <v>39</v>
      </c>
      <c r="M225">
        <v>0</v>
      </c>
      <c r="P225">
        <v>1</v>
      </c>
      <c r="Q225">
        <v>0</v>
      </c>
      <c r="S225" t="s">
        <v>40</v>
      </c>
      <c r="T225" s="10">
        <v>45817</v>
      </c>
      <c r="W225">
        <v>1</v>
      </c>
      <c r="Y225" t="s">
        <v>41</v>
      </c>
      <c r="AG225" t="s">
        <v>142</v>
      </c>
      <c r="AJ225" t="s">
        <v>536</v>
      </c>
    </row>
    <row r="226" spans="1:36" x14ac:dyDescent="0.25">
      <c r="A226">
        <v>1</v>
      </c>
      <c r="B226">
        <v>5000000740</v>
      </c>
      <c r="C226" t="s">
        <v>360</v>
      </c>
      <c r="D226">
        <v>10802546</v>
      </c>
      <c r="E226">
        <v>200</v>
      </c>
      <c r="F226" t="s">
        <v>93</v>
      </c>
      <c r="G226" s="10">
        <v>45826</v>
      </c>
      <c r="H226" t="s">
        <v>36</v>
      </c>
      <c r="I226" t="s">
        <v>37</v>
      </c>
      <c r="J226" t="s">
        <v>38</v>
      </c>
      <c r="K226" t="s">
        <v>98</v>
      </c>
      <c r="L226" t="s">
        <v>39</v>
      </c>
      <c r="M226">
        <v>0</v>
      </c>
      <c r="P226">
        <v>200</v>
      </c>
      <c r="Q226">
        <v>0</v>
      </c>
      <c r="S226" t="s">
        <v>40</v>
      </c>
      <c r="T226" s="10">
        <v>45819</v>
      </c>
      <c r="W226">
        <v>1</v>
      </c>
      <c r="Y226" t="s">
        <v>41</v>
      </c>
      <c r="AG226" t="s">
        <v>142</v>
      </c>
      <c r="AJ226" t="s">
        <v>538</v>
      </c>
    </row>
    <row r="227" spans="1:36" x14ac:dyDescent="0.25">
      <c r="A227">
        <v>2</v>
      </c>
      <c r="B227">
        <v>5000017346</v>
      </c>
      <c r="C227" t="s">
        <v>539</v>
      </c>
      <c r="D227">
        <v>10802546</v>
      </c>
      <c r="E227">
        <v>1</v>
      </c>
      <c r="F227" t="s">
        <v>35</v>
      </c>
      <c r="G227" s="10">
        <v>45826</v>
      </c>
      <c r="H227" t="s">
        <v>36</v>
      </c>
      <c r="I227" t="s">
        <v>37</v>
      </c>
      <c r="J227" t="s">
        <v>38</v>
      </c>
      <c r="K227" t="s">
        <v>98</v>
      </c>
      <c r="L227" t="s">
        <v>39</v>
      </c>
      <c r="M227">
        <v>0</v>
      </c>
      <c r="P227">
        <v>1</v>
      </c>
      <c r="Q227">
        <v>0</v>
      </c>
      <c r="S227" t="s">
        <v>40</v>
      </c>
      <c r="T227" s="10">
        <v>45819</v>
      </c>
      <c r="W227">
        <v>1</v>
      </c>
      <c r="Y227" t="s">
        <v>41</v>
      </c>
      <c r="AG227" t="s">
        <v>142</v>
      </c>
      <c r="AJ227" t="s">
        <v>540</v>
      </c>
    </row>
    <row r="228" spans="1:36" x14ac:dyDescent="0.25">
      <c r="A228">
        <v>1</v>
      </c>
      <c r="B228">
        <v>5000002171</v>
      </c>
      <c r="C228" t="s">
        <v>547</v>
      </c>
      <c r="D228">
        <v>10802620</v>
      </c>
      <c r="E228">
        <v>1</v>
      </c>
      <c r="F228" t="s">
        <v>93</v>
      </c>
      <c r="G228" s="10">
        <v>45828</v>
      </c>
      <c r="H228" t="s">
        <v>160</v>
      </c>
      <c r="I228" t="s">
        <v>37</v>
      </c>
      <c r="J228" t="s">
        <v>38</v>
      </c>
      <c r="K228" t="s">
        <v>98</v>
      </c>
      <c r="L228" t="s">
        <v>39</v>
      </c>
      <c r="M228">
        <v>0</v>
      </c>
      <c r="P228">
        <v>1</v>
      </c>
      <c r="Q228">
        <v>0</v>
      </c>
      <c r="S228" t="s">
        <v>40</v>
      </c>
      <c r="T228" s="10">
        <v>45821</v>
      </c>
      <c r="W228">
        <v>1</v>
      </c>
      <c r="Y228" t="s">
        <v>41</v>
      </c>
      <c r="AG228" t="s">
        <v>142</v>
      </c>
      <c r="AJ228" t="s">
        <v>548</v>
      </c>
    </row>
    <row r="229" spans="1:36" x14ac:dyDescent="0.25">
      <c r="A229">
        <v>2</v>
      </c>
      <c r="B229">
        <v>5000008843</v>
      </c>
      <c r="C229" t="s">
        <v>150</v>
      </c>
      <c r="D229">
        <v>10802620</v>
      </c>
      <c r="E229">
        <v>1</v>
      </c>
      <c r="F229" t="s">
        <v>35</v>
      </c>
      <c r="G229" s="10">
        <v>45828</v>
      </c>
      <c r="H229" t="s">
        <v>36</v>
      </c>
      <c r="I229" t="s">
        <v>37</v>
      </c>
      <c r="J229" t="s">
        <v>38</v>
      </c>
      <c r="K229" t="s">
        <v>98</v>
      </c>
      <c r="L229" t="s">
        <v>39</v>
      </c>
      <c r="M229">
        <v>0</v>
      </c>
      <c r="P229">
        <v>1</v>
      </c>
      <c r="Q229">
        <v>0</v>
      </c>
      <c r="S229" t="s">
        <v>40</v>
      </c>
      <c r="T229" s="10">
        <v>45821</v>
      </c>
      <c r="W229">
        <v>1</v>
      </c>
      <c r="Y229" t="s">
        <v>41</v>
      </c>
      <c r="AG229" t="s">
        <v>142</v>
      </c>
      <c r="AJ229" t="s">
        <v>549</v>
      </c>
    </row>
    <row r="230" spans="1:36" x14ac:dyDescent="0.25">
      <c r="A230">
        <v>3</v>
      </c>
      <c r="B230">
        <v>5000016308</v>
      </c>
      <c r="C230" t="s">
        <v>143</v>
      </c>
      <c r="D230">
        <v>10802620</v>
      </c>
      <c r="E230">
        <v>1</v>
      </c>
      <c r="F230" t="s">
        <v>35</v>
      </c>
      <c r="G230" s="10">
        <v>45828</v>
      </c>
      <c r="H230" t="s">
        <v>36</v>
      </c>
      <c r="I230" t="s">
        <v>37</v>
      </c>
      <c r="J230" t="s">
        <v>38</v>
      </c>
      <c r="K230" t="s">
        <v>98</v>
      </c>
      <c r="L230" t="s">
        <v>39</v>
      </c>
      <c r="M230">
        <v>0</v>
      </c>
      <c r="P230">
        <v>1</v>
      </c>
      <c r="Q230">
        <v>0</v>
      </c>
      <c r="S230" t="s">
        <v>40</v>
      </c>
      <c r="T230" s="10">
        <v>45821</v>
      </c>
      <c r="W230">
        <v>1</v>
      </c>
      <c r="Y230" t="s">
        <v>41</v>
      </c>
      <c r="AG230" t="s">
        <v>142</v>
      </c>
      <c r="AJ230" t="s">
        <v>550</v>
      </c>
    </row>
    <row r="231" spans="1:36" x14ac:dyDescent="0.25">
      <c r="A231">
        <v>4</v>
      </c>
      <c r="B231">
        <v>5000005059</v>
      </c>
      <c r="C231" t="s">
        <v>153</v>
      </c>
      <c r="D231">
        <v>10802620</v>
      </c>
      <c r="E231">
        <v>1</v>
      </c>
      <c r="F231" t="s">
        <v>93</v>
      </c>
      <c r="G231" s="10">
        <v>45828</v>
      </c>
      <c r="H231" t="s">
        <v>36</v>
      </c>
      <c r="I231" t="s">
        <v>37</v>
      </c>
      <c r="J231" t="s">
        <v>38</v>
      </c>
      <c r="K231" t="s">
        <v>98</v>
      </c>
      <c r="L231" t="s">
        <v>39</v>
      </c>
      <c r="M231">
        <v>0</v>
      </c>
      <c r="P231">
        <v>1</v>
      </c>
      <c r="Q231">
        <v>0</v>
      </c>
      <c r="S231" t="s">
        <v>40</v>
      </c>
      <c r="T231" s="10">
        <v>45821</v>
      </c>
      <c r="W231">
        <v>1</v>
      </c>
      <c r="Y231" t="s">
        <v>41</v>
      </c>
      <c r="AG231" t="s">
        <v>142</v>
      </c>
      <c r="AJ231" t="s">
        <v>551</v>
      </c>
    </row>
    <row r="232" spans="1:36" x14ac:dyDescent="0.25">
      <c r="A232">
        <v>5</v>
      </c>
      <c r="B232">
        <v>5000004248</v>
      </c>
      <c r="C232" t="s">
        <v>155</v>
      </c>
      <c r="D232">
        <v>10802620</v>
      </c>
      <c r="E232">
        <v>1</v>
      </c>
      <c r="F232" t="s">
        <v>93</v>
      </c>
      <c r="G232" s="10">
        <v>45828</v>
      </c>
      <c r="H232" t="s">
        <v>36</v>
      </c>
      <c r="I232" t="s">
        <v>37</v>
      </c>
      <c r="J232" t="s">
        <v>38</v>
      </c>
      <c r="K232" t="s">
        <v>98</v>
      </c>
      <c r="L232" t="s">
        <v>39</v>
      </c>
      <c r="M232">
        <v>0</v>
      </c>
      <c r="P232">
        <v>1</v>
      </c>
      <c r="Q232">
        <v>0</v>
      </c>
      <c r="S232" t="s">
        <v>40</v>
      </c>
      <c r="T232" s="10">
        <v>45821</v>
      </c>
      <c r="W232">
        <v>1</v>
      </c>
      <c r="Y232" t="s">
        <v>41</v>
      </c>
      <c r="AG232" t="s">
        <v>142</v>
      </c>
      <c r="AJ232" t="s">
        <v>552</v>
      </c>
    </row>
    <row r="233" spans="1:36" x14ac:dyDescent="0.25">
      <c r="A233">
        <v>6</v>
      </c>
      <c r="B233">
        <v>5000012021</v>
      </c>
      <c r="C233" t="s">
        <v>188</v>
      </c>
      <c r="D233">
        <v>10802620</v>
      </c>
      <c r="E233">
        <v>1</v>
      </c>
      <c r="F233" t="s">
        <v>93</v>
      </c>
      <c r="G233" s="10">
        <v>45828</v>
      </c>
      <c r="H233" t="s">
        <v>36</v>
      </c>
      <c r="I233" t="s">
        <v>37</v>
      </c>
      <c r="J233" t="s">
        <v>38</v>
      </c>
      <c r="K233" t="s">
        <v>98</v>
      </c>
      <c r="L233" t="s">
        <v>39</v>
      </c>
      <c r="M233">
        <v>0</v>
      </c>
      <c r="P233">
        <v>1</v>
      </c>
      <c r="Q233">
        <v>0</v>
      </c>
      <c r="S233" t="s">
        <v>40</v>
      </c>
      <c r="T233" s="10">
        <v>45821</v>
      </c>
      <c r="W233">
        <v>1</v>
      </c>
      <c r="Y233" t="s">
        <v>41</v>
      </c>
      <c r="AG233" t="s">
        <v>142</v>
      </c>
      <c r="AJ233" t="s">
        <v>553</v>
      </c>
    </row>
    <row r="234" spans="1:36" x14ac:dyDescent="0.25">
      <c r="A234">
        <v>7</v>
      </c>
      <c r="B234">
        <v>5000011754</v>
      </c>
      <c r="C234" t="s">
        <v>99</v>
      </c>
      <c r="D234">
        <v>10802620</v>
      </c>
      <c r="E234">
        <v>1</v>
      </c>
      <c r="F234" t="s">
        <v>93</v>
      </c>
      <c r="G234" s="10">
        <v>45828</v>
      </c>
      <c r="H234" t="s">
        <v>36</v>
      </c>
      <c r="I234" t="s">
        <v>37</v>
      </c>
      <c r="J234" t="s">
        <v>38</v>
      </c>
      <c r="K234" t="s">
        <v>98</v>
      </c>
      <c r="L234" t="s">
        <v>39</v>
      </c>
      <c r="M234">
        <v>0</v>
      </c>
      <c r="P234">
        <v>1</v>
      </c>
      <c r="Q234">
        <v>0</v>
      </c>
      <c r="S234" t="s">
        <v>40</v>
      </c>
      <c r="T234" s="10">
        <v>45821</v>
      </c>
      <c r="W234">
        <v>1</v>
      </c>
      <c r="Y234" t="s">
        <v>41</v>
      </c>
      <c r="AG234" t="s">
        <v>142</v>
      </c>
      <c r="AJ234" t="s">
        <v>552</v>
      </c>
    </row>
    <row r="235" spans="1:36" x14ac:dyDescent="0.25">
      <c r="A235">
        <v>8</v>
      </c>
      <c r="B235">
        <v>5000011960</v>
      </c>
      <c r="C235" t="s">
        <v>478</v>
      </c>
      <c r="D235">
        <v>10802620</v>
      </c>
      <c r="E235">
        <v>1</v>
      </c>
      <c r="F235" t="s">
        <v>93</v>
      </c>
      <c r="G235" s="10">
        <v>45828</v>
      </c>
      <c r="H235" t="s">
        <v>36</v>
      </c>
      <c r="I235" t="s">
        <v>37</v>
      </c>
      <c r="J235" t="s">
        <v>38</v>
      </c>
      <c r="K235" t="s">
        <v>98</v>
      </c>
      <c r="L235" t="s">
        <v>39</v>
      </c>
      <c r="M235">
        <v>0</v>
      </c>
      <c r="P235">
        <v>1</v>
      </c>
      <c r="Q235">
        <v>0</v>
      </c>
      <c r="S235" t="s">
        <v>40</v>
      </c>
      <c r="T235" s="10">
        <v>45821</v>
      </c>
      <c r="W235">
        <v>1</v>
      </c>
      <c r="Y235" t="s">
        <v>41</v>
      </c>
      <c r="AG235" t="s">
        <v>142</v>
      </c>
      <c r="AJ235" t="s">
        <v>554</v>
      </c>
    </row>
    <row r="236" spans="1:36" x14ac:dyDescent="0.25">
      <c r="A236">
        <v>1</v>
      </c>
      <c r="B236">
        <v>5000008843</v>
      </c>
      <c r="C236" t="s">
        <v>150</v>
      </c>
      <c r="D236">
        <v>10802677</v>
      </c>
      <c r="E236">
        <v>1</v>
      </c>
      <c r="F236" t="s">
        <v>35</v>
      </c>
      <c r="G236" s="10">
        <v>45832</v>
      </c>
      <c r="H236" t="s">
        <v>36</v>
      </c>
      <c r="I236" t="s">
        <v>37</v>
      </c>
      <c r="J236" t="s">
        <v>38</v>
      </c>
      <c r="K236" t="s">
        <v>98</v>
      </c>
      <c r="L236" t="s">
        <v>39</v>
      </c>
      <c r="M236">
        <v>0</v>
      </c>
      <c r="P236">
        <v>1</v>
      </c>
      <c r="Q236">
        <v>0</v>
      </c>
      <c r="S236" t="s">
        <v>40</v>
      </c>
      <c r="T236" s="10">
        <v>45825</v>
      </c>
      <c r="W236">
        <v>1</v>
      </c>
      <c r="Y236" t="s">
        <v>41</v>
      </c>
      <c r="AG236" t="s">
        <v>142</v>
      </c>
      <c r="AJ236" t="s">
        <v>555</v>
      </c>
    </row>
    <row r="237" spans="1:36" x14ac:dyDescent="0.25">
      <c r="A237">
        <v>2</v>
      </c>
      <c r="B237">
        <v>5000016308</v>
      </c>
      <c r="C237" t="s">
        <v>143</v>
      </c>
      <c r="D237">
        <v>10802677</v>
      </c>
      <c r="E237">
        <v>1</v>
      </c>
      <c r="F237" t="s">
        <v>35</v>
      </c>
      <c r="G237" s="10">
        <v>45832</v>
      </c>
      <c r="H237" t="s">
        <v>36</v>
      </c>
      <c r="I237" t="s">
        <v>37</v>
      </c>
      <c r="J237" t="s">
        <v>38</v>
      </c>
      <c r="K237" t="s">
        <v>98</v>
      </c>
      <c r="L237" t="s">
        <v>39</v>
      </c>
      <c r="M237">
        <v>0</v>
      </c>
      <c r="P237">
        <v>1</v>
      </c>
      <c r="Q237">
        <v>0</v>
      </c>
      <c r="S237" t="s">
        <v>40</v>
      </c>
      <c r="T237" s="10">
        <v>45825</v>
      </c>
      <c r="W237">
        <v>1</v>
      </c>
      <c r="Y237" t="s">
        <v>41</v>
      </c>
      <c r="AG237" t="s">
        <v>142</v>
      </c>
      <c r="AJ237" t="s">
        <v>556</v>
      </c>
    </row>
    <row r="238" spans="1:36" x14ac:dyDescent="0.25">
      <c r="A238">
        <v>3</v>
      </c>
      <c r="B238">
        <v>5000005059</v>
      </c>
      <c r="C238" t="s">
        <v>153</v>
      </c>
      <c r="D238">
        <v>10802677</v>
      </c>
      <c r="E238">
        <v>1</v>
      </c>
      <c r="F238" t="s">
        <v>93</v>
      </c>
      <c r="G238" s="10">
        <v>45832</v>
      </c>
      <c r="H238" t="s">
        <v>36</v>
      </c>
      <c r="I238" t="s">
        <v>37</v>
      </c>
      <c r="J238" t="s">
        <v>38</v>
      </c>
      <c r="K238" t="s">
        <v>98</v>
      </c>
      <c r="L238" t="s">
        <v>39</v>
      </c>
      <c r="M238">
        <v>0</v>
      </c>
      <c r="P238">
        <v>1</v>
      </c>
      <c r="Q238">
        <v>0</v>
      </c>
      <c r="S238" t="s">
        <v>40</v>
      </c>
      <c r="T238" s="10">
        <v>45825</v>
      </c>
      <c r="W238">
        <v>1</v>
      </c>
      <c r="Y238" t="s">
        <v>41</v>
      </c>
      <c r="AG238" t="s">
        <v>142</v>
      </c>
      <c r="AJ238" t="s">
        <v>557</v>
      </c>
    </row>
    <row r="239" spans="1:36" x14ac:dyDescent="0.25">
      <c r="A239">
        <v>4</v>
      </c>
      <c r="B239">
        <v>5000004248</v>
      </c>
      <c r="C239" t="s">
        <v>155</v>
      </c>
      <c r="D239">
        <v>10802677</v>
      </c>
      <c r="E239">
        <v>1</v>
      </c>
      <c r="F239" t="s">
        <v>93</v>
      </c>
      <c r="G239" s="10">
        <v>45832</v>
      </c>
      <c r="H239" t="s">
        <v>36</v>
      </c>
      <c r="I239" t="s">
        <v>37</v>
      </c>
      <c r="J239" t="s">
        <v>38</v>
      </c>
      <c r="K239" t="s">
        <v>98</v>
      </c>
      <c r="L239" t="s">
        <v>39</v>
      </c>
      <c r="M239">
        <v>0</v>
      </c>
      <c r="P239">
        <v>1</v>
      </c>
      <c r="Q239">
        <v>0</v>
      </c>
      <c r="S239" t="s">
        <v>40</v>
      </c>
      <c r="T239" s="10">
        <v>45825</v>
      </c>
      <c r="W239">
        <v>1</v>
      </c>
      <c r="Y239" t="s">
        <v>41</v>
      </c>
      <c r="AG239" t="s">
        <v>142</v>
      </c>
      <c r="AJ239" t="s">
        <v>558</v>
      </c>
    </row>
    <row r="240" spans="1:36" x14ac:dyDescent="0.25">
      <c r="A240">
        <v>5</v>
      </c>
      <c r="B240">
        <v>5000012021</v>
      </c>
      <c r="C240" t="s">
        <v>188</v>
      </c>
      <c r="D240">
        <v>10802677</v>
      </c>
      <c r="E240">
        <v>1</v>
      </c>
      <c r="F240" t="s">
        <v>93</v>
      </c>
      <c r="G240" s="10">
        <v>45832</v>
      </c>
      <c r="H240" t="s">
        <v>36</v>
      </c>
      <c r="I240" t="s">
        <v>37</v>
      </c>
      <c r="J240" t="s">
        <v>38</v>
      </c>
      <c r="K240" t="s">
        <v>98</v>
      </c>
      <c r="L240" t="s">
        <v>39</v>
      </c>
      <c r="M240">
        <v>0</v>
      </c>
      <c r="P240">
        <v>1</v>
      </c>
      <c r="Q240">
        <v>0</v>
      </c>
      <c r="S240" t="s">
        <v>40</v>
      </c>
      <c r="T240" s="10">
        <v>45825</v>
      </c>
      <c r="W240">
        <v>1</v>
      </c>
      <c r="Y240" t="s">
        <v>41</v>
      </c>
      <c r="AG240" t="s">
        <v>142</v>
      </c>
      <c r="AJ240" t="s">
        <v>559</v>
      </c>
    </row>
    <row r="241" spans="1:36" x14ac:dyDescent="0.25">
      <c r="A241">
        <v>1</v>
      </c>
      <c r="B241">
        <v>5000011754</v>
      </c>
      <c r="C241" t="s">
        <v>99</v>
      </c>
      <c r="D241">
        <v>10802734</v>
      </c>
      <c r="E241">
        <v>6</v>
      </c>
      <c r="F241" t="s">
        <v>93</v>
      </c>
      <c r="G241" s="10">
        <v>45835</v>
      </c>
      <c r="H241" t="s">
        <v>36</v>
      </c>
      <c r="I241" t="s">
        <v>37</v>
      </c>
      <c r="J241" t="s">
        <v>38</v>
      </c>
      <c r="K241" t="s">
        <v>98</v>
      </c>
      <c r="L241" t="s">
        <v>39</v>
      </c>
      <c r="M241">
        <v>0</v>
      </c>
      <c r="P241">
        <v>6</v>
      </c>
      <c r="Q241">
        <v>0</v>
      </c>
      <c r="S241" t="s">
        <v>40</v>
      </c>
      <c r="T241" s="10">
        <v>45828</v>
      </c>
      <c r="W241">
        <v>1</v>
      </c>
      <c r="Y241" t="s">
        <v>41</v>
      </c>
      <c r="AG241" t="s">
        <v>142</v>
      </c>
      <c r="AJ241" t="s">
        <v>560</v>
      </c>
    </row>
    <row r="242" spans="1:36" x14ac:dyDescent="0.25">
      <c r="A242">
        <v>2</v>
      </c>
      <c r="B242">
        <v>5000013499</v>
      </c>
      <c r="C242" t="s">
        <v>244</v>
      </c>
      <c r="D242">
        <v>10802734</v>
      </c>
      <c r="E242">
        <v>1</v>
      </c>
      <c r="F242" t="s">
        <v>35</v>
      </c>
      <c r="G242" s="10">
        <v>45835</v>
      </c>
      <c r="H242" t="s">
        <v>160</v>
      </c>
      <c r="I242" t="s">
        <v>37</v>
      </c>
      <c r="J242" t="s">
        <v>38</v>
      </c>
      <c r="K242" t="s">
        <v>98</v>
      </c>
      <c r="L242" t="s">
        <v>39</v>
      </c>
      <c r="M242">
        <v>0</v>
      </c>
      <c r="P242">
        <v>1</v>
      </c>
      <c r="Q242">
        <v>0</v>
      </c>
      <c r="S242" t="s">
        <v>40</v>
      </c>
      <c r="T242" s="10">
        <v>45828</v>
      </c>
      <c r="W242">
        <v>1</v>
      </c>
      <c r="Y242" t="s">
        <v>41</v>
      </c>
      <c r="AG242" t="s">
        <v>142</v>
      </c>
      <c r="AJ242" t="s">
        <v>561</v>
      </c>
    </row>
    <row r="243" spans="1:36" x14ac:dyDescent="0.25">
      <c r="A243">
        <v>3</v>
      </c>
      <c r="B243">
        <v>5000016255</v>
      </c>
      <c r="C243" t="s">
        <v>110</v>
      </c>
      <c r="D243">
        <v>10802734</v>
      </c>
      <c r="E243">
        <v>1</v>
      </c>
      <c r="F243" t="s">
        <v>93</v>
      </c>
      <c r="G243" s="10">
        <v>45835</v>
      </c>
      <c r="H243" t="s">
        <v>36</v>
      </c>
      <c r="I243" t="s">
        <v>37</v>
      </c>
      <c r="J243" t="s">
        <v>38</v>
      </c>
      <c r="K243" t="s">
        <v>98</v>
      </c>
      <c r="L243" t="s">
        <v>39</v>
      </c>
      <c r="M243">
        <v>0</v>
      </c>
      <c r="P243">
        <v>1</v>
      </c>
      <c r="Q243">
        <v>0</v>
      </c>
      <c r="S243" t="s">
        <v>40</v>
      </c>
      <c r="T243" s="10">
        <v>45828</v>
      </c>
      <c r="W243">
        <v>1</v>
      </c>
      <c r="Y243" t="s">
        <v>41</v>
      </c>
      <c r="AG243" t="s">
        <v>142</v>
      </c>
      <c r="AJ243" t="s">
        <v>562</v>
      </c>
    </row>
    <row r="244" spans="1:36" x14ac:dyDescent="0.25">
      <c r="A244">
        <v>1</v>
      </c>
      <c r="B244">
        <v>5000011960</v>
      </c>
      <c r="C244" t="s">
        <v>478</v>
      </c>
      <c r="D244">
        <v>10802782</v>
      </c>
      <c r="E244">
        <v>2</v>
      </c>
      <c r="F244" t="s">
        <v>93</v>
      </c>
      <c r="G244" s="10">
        <v>45838</v>
      </c>
      <c r="H244" t="s">
        <v>36</v>
      </c>
      <c r="I244" t="s">
        <v>37</v>
      </c>
      <c r="J244" t="s">
        <v>38</v>
      </c>
      <c r="K244" t="s">
        <v>98</v>
      </c>
      <c r="L244" t="s">
        <v>39</v>
      </c>
      <c r="M244">
        <v>1</v>
      </c>
      <c r="P244">
        <v>0</v>
      </c>
      <c r="Q244">
        <v>2</v>
      </c>
      <c r="S244" t="s">
        <v>40</v>
      </c>
      <c r="T244" s="10">
        <v>45831</v>
      </c>
      <c r="W244">
        <v>1</v>
      </c>
      <c r="Y244" t="s">
        <v>41</v>
      </c>
      <c r="AG244" t="s">
        <v>142</v>
      </c>
      <c r="AJ244" t="s">
        <v>564</v>
      </c>
    </row>
    <row r="245" spans="1:36" x14ac:dyDescent="0.25">
      <c r="A245">
        <v>2</v>
      </c>
      <c r="B245">
        <v>5000016930</v>
      </c>
      <c r="C245" t="s">
        <v>203</v>
      </c>
      <c r="D245">
        <v>10802782</v>
      </c>
      <c r="E245">
        <v>1</v>
      </c>
      <c r="F245" t="s">
        <v>93</v>
      </c>
      <c r="G245" s="10">
        <v>45838</v>
      </c>
      <c r="H245" t="s">
        <v>36</v>
      </c>
      <c r="I245" t="s">
        <v>37</v>
      </c>
      <c r="J245" t="s">
        <v>38</v>
      </c>
      <c r="K245" t="s">
        <v>98</v>
      </c>
      <c r="L245" t="s">
        <v>39</v>
      </c>
      <c r="M245">
        <v>0</v>
      </c>
      <c r="P245">
        <v>1</v>
      </c>
      <c r="Q245">
        <v>0</v>
      </c>
      <c r="S245" t="s">
        <v>40</v>
      </c>
      <c r="T245" s="10">
        <v>45831</v>
      </c>
      <c r="W245">
        <v>1</v>
      </c>
      <c r="Y245" t="s">
        <v>41</v>
      </c>
      <c r="AG245" t="s">
        <v>142</v>
      </c>
      <c r="AJ245" t="s">
        <v>565</v>
      </c>
    </row>
    <row r="246" spans="1:36" x14ac:dyDescent="0.25">
      <c r="A246">
        <v>3</v>
      </c>
      <c r="B246">
        <v>5000017856</v>
      </c>
      <c r="C246" t="s">
        <v>566</v>
      </c>
      <c r="D246">
        <v>10802782</v>
      </c>
      <c r="E246">
        <v>1</v>
      </c>
      <c r="F246" t="s">
        <v>35</v>
      </c>
      <c r="G246" s="10">
        <v>45838</v>
      </c>
      <c r="H246" t="s">
        <v>36</v>
      </c>
      <c r="I246" t="s">
        <v>37</v>
      </c>
      <c r="J246" t="s">
        <v>38</v>
      </c>
      <c r="K246" t="s">
        <v>98</v>
      </c>
      <c r="L246" t="s">
        <v>39</v>
      </c>
      <c r="M246">
        <v>1</v>
      </c>
      <c r="P246">
        <v>0</v>
      </c>
      <c r="Q246">
        <v>1</v>
      </c>
      <c r="S246" t="s">
        <v>40</v>
      </c>
      <c r="T246" s="10">
        <v>45831</v>
      </c>
      <c r="W246">
        <v>1</v>
      </c>
      <c r="Y246" t="s">
        <v>41</v>
      </c>
      <c r="AG246" t="s">
        <v>142</v>
      </c>
      <c r="AJ246" t="s">
        <v>567</v>
      </c>
    </row>
    <row r="247" spans="1:36" x14ac:dyDescent="0.25">
      <c r="A247">
        <v>4</v>
      </c>
      <c r="B247">
        <v>5000017857</v>
      </c>
      <c r="C247" t="s">
        <v>568</v>
      </c>
      <c r="D247">
        <v>10802782</v>
      </c>
      <c r="E247">
        <v>1</v>
      </c>
      <c r="F247" t="s">
        <v>35</v>
      </c>
      <c r="G247" s="10">
        <v>45838</v>
      </c>
      <c r="H247" t="s">
        <v>36</v>
      </c>
      <c r="I247" t="s">
        <v>37</v>
      </c>
      <c r="J247" t="s">
        <v>38</v>
      </c>
      <c r="K247" t="s">
        <v>98</v>
      </c>
      <c r="L247" t="s">
        <v>39</v>
      </c>
      <c r="M247">
        <v>1</v>
      </c>
      <c r="P247">
        <v>0</v>
      </c>
      <c r="Q247">
        <v>1</v>
      </c>
      <c r="S247" t="s">
        <v>40</v>
      </c>
      <c r="T247" s="10">
        <v>45831</v>
      </c>
      <c r="W247">
        <v>1</v>
      </c>
      <c r="Y247" t="s">
        <v>41</v>
      </c>
      <c r="AG247" t="s">
        <v>142</v>
      </c>
      <c r="AJ247" t="s">
        <v>569</v>
      </c>
    </row>
    <row r="248" spans="1:36" x14ac:dyDescent="0.25">
      <c r="A248">
        <v>5</v>
      </c>
      <c r="B248">
        <v>5000008929</v>
      </c>
      <c r="C248" t="s">
        <v>100</v>
      </c>
      <c r="D248">
        <v>10802782</v>
      </c>
      <c r="E248">
        <v>1</v>
      </c>
      <c r="F248" t="s">
        <v>93</v>
      </c>
      <c r="G248" s="10">
        <v>45838</v>
      </c>
      <c r="H248" t="s">
        <v>36</v>
      </c>
      <c r="I248" t="s">
        <v>37</v>
      </c>
      <c r="J248" t="s">
        <v>38</v>
      </c>
      <c r="K248" t="s">
        <v>98</v>
      </c>
      <c r="L248" t="s">
        <v>39</v>
      </c>
      <c r="M248">
        <v>0</v>
      </c>
      <c r="P248">
        <v>1</v>
      </c>
      <c r="Q248">
        <v>0</v>
      </c>
      <c r="S248" t="s">
        <v>40</v>
      </c>
      <c r="T248" s="10">
        <v>45831</v>
      </c>
      <c r="W248">
        <v>1</v>
      </c>
      <c r="Y248" t="s">
        <v>41</v>
      </c>
      <c r="AG248" t="s">
        <v>142</v>
      </c>
      <c r="AJ248" t="s">
        <v>570</v>
      </c>
    </row>
    <row r="249" spans="1:36" x14ac:dyDescent="0.25">
      <c r="A249">
        <v>6</v>
      </c>
      <c r="B249">
        <v>5000008843</v>
      </c>
      <c r="C249" t="s">
        <v>150</v>
      </c>
      <c r="D249">
        <v>10802782</v>
      </c>
      <c r="E249">
        <v>2</v>
      </c>
      <c r="F249" t="s">
        <v>35</v>
      </c>
      <c r="G249" s="10">
        <v>45839</v>
      </c>
      <c r="H249" t="s">
        <v>36</v>
      </c>
      <c r="I249" t="s">
        <v>37</v>
      </c>
      <c r="J249" t="s">
        <v>38</v>
      </c>
      <c r="K249" t="s">
        <v>98</v>
      </c>
      <c r="L249" t="s">
        <v>39</v>
      </c>
      <c r="M249">
        <v>0</v>
      </c>
      <c r="P249">
        <v>2</v>
      </c>
      <c r="Q249">
        <v>0</v>
      </c>
      <c r="S249" t="s">
        <v>40</v>
      </c>
      <c r="T249" s="10">
        <v>45832</v>
      </c>
      <c r="W249">
        <v>1</v>
      </c>
      <c r="Y249" t="s">
        <v>41</v>
      </c>
      <c r="AG249" t="s">
        <v>142</v>
      </c>
      <c r="AJ249" t="s">
        <v>571</v>
      </c>
    </row>
    <row r="250" spans="1:36" x14ac:dyDescent="0.25">
      <c r="A250">
        <v>1</v>
      </c>
      <c r="B250">
        <v>5000016255</v>
      </c>
      <c r="C250" t="s">
        <v>110</v>
      </c>
      <c r="D250">
        <v>10802867</v>
      </c>
      <c r="E250">
        <v>1</v>
      </c>
      <c r="F250" t="s">
        <v>93</v>
      </c>
      <c r="G250" s="10">
        <v>45841</v>
      </c>
      <c r="H250" t="s">
        <v>36</v>
      </c>
      <c r="I250" t="s">
        <v>37</v>
      </c>
      <c r="J250" t="s">
        <v>38</v>
      </c>
      <c r="K250" t="s">
        <v>98</v>
      </c>
      <c r="L250" t="s">
        <v>39</v>
      </c>
      <c r="M250">
        <v>0</v>
      </c>
      <c r="P250">
        <v>1</v>
      </c>
      <c r="Q250">
        <v>0</v>
      </c>
      <c r="S250" t="s">
        <v>40</v>
      </c>
      <c r="T250" s="10">
        <v>45834</v>
      </c>
      <c r="W250">
        <v>1</v>
      </c>
      <c r="Y250" t="s">
        <v>41</v>
      </c>
      <c r="AG250" t="s">
        <v>142</v>
      </c>
      <c r="AJ250" t="s">
        <v>577</v>
      </c>
    </row>
    <row r="251" spans="1:36" x14ac:dyDescent="0.25">
      <c r="A251">
        <v>1</v>
      </c>
      <c r="B251">
        <v>5000000739</v>
      </c>
      <c r="C251" t="s">
        <v>261</v>
      </c>
      <c r="D251">
        <v>10802965</v>
      </c>
      <c r="E251">
        <v>1</v>
      </c>
      <c r="F251" t="s">
        <v>262</v>
      </c>
      <c r="G251" s="10">
        <v>45847</v>
      </c>
      <c r="H251" t="s">
        <v>36</v>
      </c>
      <c r="I251" t="s">
        <v>37</v>
      </c>
      <c r="J251" t="s">
        <v>38</v>
      </c>
      <c r="K251" t="s">
        <v>98</v>
      </c>
      <c r="L251" t="s">
        <v>39</v>
      </c>
      <c r="M251">
        <v>0</v>
      </c>
      <c r="P251">
        <v>1</v>
      </c>
      <c r="Q251">
        <v>0</v>
      </c>
      <c r="S251" t="s">
        <v>40</v>
      </c>
      <c r="T251" s="10">
        <v>45840</v>
      </c>
      <c r="W251">
        <v>1</v>
      </c>
      <c r="Y251" t="s">
        <v>41</v>
      </c>
      <c r="AG251" t="s">
        <v>142</v>
      </c>
      <c r="AJ251" t="s">
        <v>578</v>
      </c>
    </row>
    <row r="252" spans="1:36" x14ac:dyDescent="0.25">
      <c r="A252">
        <v>2</v>
      </c>
      <c r="B252">
        <v>5000014291</v>
      </c>
      <c r="C252" t="s">
        <v>406</v>
      </c>
      <c r="D252">
        <v>10802965</v>
      </c>
      <c r="E252">
        <v>3</v>
      </c>
      <c r="F252" t="s">
        <v>296</v>
      </c>
      <c r="G252" s="10">
        <v>45847</v>
      </c>
      <c r="H252" t="s">
        <v>36</v>
      </c>
      <c r="I252" t="s">
        <v>37</v>
      </c>
      <c r="J252" t="s">
        <v>38</v>
      </c>
      <c r="K252" t="s">
        <v>98</v>
      </c>
      <c r="L252" t="s">
        <v>39</v>
      </c>
      <c r="M252">
        <v>0</v>
      </c>
      <c r="P252">
        <v>3</v>
      </c>
      <c r="Q252">
        <v>0</v>
      </c>
      <c r="S252" t="s">
        <v>40</v>
      </c>
      <c r="T252" s="10">
        <v>45840</v>
      </c>
      <c r="U252" t="s">
        <v>40</v>
      </c>
      <c r="V252" s="25">
        <v>45840</v>
      </c>
      <c r="W252">
        <v>1</v>
      </c>
      <c r="Y252" t="s">
        <v>41</v>
      </c>
      <c r="AG252" t="s">
        <v>142</v>
      </c>
      <c r="AJ252" t="s">
        <v>579</v>
      </c>
    </row>
    <row r="253" spans="1:36" x14ac:dyDescent="0.25">
      <c r="A253">
        <v>3</v>
      </c>
      <c r="B253">
        <v>5000013499</v>
      </c>
      <c r="C253" t="s">
        <v>244</v>
      </c>
      <c r="D253">
        <v>10802965</v>
      </c>
      <c r="E253">
        <v>1</v>
      </c>
      <c r="F253" t="s">
        <v>35</v>
      </c>
      <c r="G253" s="10">
        <v>45847</v>
      </c>
      <c r="H253" t="s">
        <v>160</v>
      </c>
      <c r="I253" t="s">
        <v>37</v>
      </c>
      <c r="J253" t="s">
        <v>38</v>
      </c>
      <c r="K253" t="s">
        <v>98</v>
      </c>
      <c r="L253" t="s">
        <v>39</v>
      </c>
      <c r="M253">
        <v>0</v>
      </c>
      <c r="P253">
        <v>1</v>
      </c>
      <c r="Q253">
        <v>0</v>
      </c>
      <c r="S253" t="s">
        <v>40</v>
      </c>
      <c r="T253" s="10">
        <v>45840</v>
      </c>
      <c r="W253">
        <v>1</v>
      </c>
      <c r="Y253" t="s">
        <v>41</v>
      </c>
      <c r="AG253" t="s">
        <v>142</v>
      </c>
      <c r="AJ253" t="s">
        <v>580</v>
      </c>
    </row>
    <row r="254" spans="1:36" x14ac:dyDescent="0.25">
      <c r="A254">
        <v>1</v>
      </c>
      <c r="B254">
        <v>5000009530</v>
      </c>
      <c r="C254" t="s">
        <v>581</v>
      </c>
      <c r="D254">
        <v>10802986</v>
      </c>
      <c r="E254">
        <v>1</v>
      </c>
      <c r="F254" t="s">
        <v>35</v>
      </c>
      <c r="G254" s="10">
        <v>45848</v>
      </c>
      <c r="H254" t="s">
        <v>36</v>
      </c>
      <c r="I254" t="s">
        <v>37</v>
      </c>
      <c r="J254" t="s">
        <v>38</v>
      </c>
      <c r="K254" t="s">
        <v>98</v>
      </c>
      <c r="L254" t="s">
        <v>39</v>
      </c>
      <c r="M254">
        <v>0</v>
      </c>
      <c r="P254">
        <v>1</v>
      </c>
      <c r="Q254">
        <v>0</v>
      </c>
      <c r="S254" t="s">
        <v>40</v>
      </c>
      <c r="T254" s="10">
        <v>45841</v>
      </c>
      <c r="V254" s="25"/>
      <c r="W254">
        <v>1</v>
      </c>
      <c r="Y254" t="s">
        <v>41</v>
      </c>
      <c r="AG254" t="s">
        <v>142</v>
      </c>
      <c r="AJ254" t="s">
        <v>582</v>
      </c>
    </row>
    <row r="255" spans="1:36" x14ac:dyDescent="0.25">
      <c r="A255">
        <v>2</v>
      </c>
      <c r="B255">
        <v>5000013802</v>
      </c>
      <c r="C255" t="s">
        <v>583</v>
      </c>
      <c r="D255">
        <v>10802986</v>
      </c>
      <c r="E255">
        <v>1</v>
      </c>
      <c r="F255" t="s">
        <v>35</v>
      </c>
      <c r="G255" s="10">
        <v>45848</v>
      </c>
      <c r="H255" t="s">
        <v>36</v>
      </c>
      <c r="I255" t="s">
        <v>37</v>
      </c>
      <c r="J255" t="s">
        <v>38</v>
      </c>
      <c r="K255" t="s">
        <v>98</v>
      </c>
      <c r="L255" t="s">
        <v>39</v>
      </c>
      <c r="M255">
        <v>0</v>
      </c>
      <c r="P255">
        <v>1</v>
      </c>
      <c r="Q255">
        <v>0</v>
      </c>
      <c r="S255" t="s">
        <v>40</v>
      </c>
      <c r="T255" s="10">
        <v>45841</v>
      </c>
      <c r="W255">
        <v>1</v>
      </c>
      <c r="Y255" t="s">
        <v>41</v>
      </c>
      <c r="AG255" t="s">
        <v>142</v>
      </c>
      <c r="AJ255" t="s">
        <v>584</v>
      </c>
    </row>
    <row r="256" spans="1:36" x14ac:dyDescent="0.25">
      <c r="A256">
        <v>1</v>
      </c>
      <c r="B256">
        <v>5000009730</v>
      </c>
      <c r="C256" t="s">
        <v>588</v>
      </c>
      <c r="D256">
        <v>10803047</v>
      </c>
      <c r="E256">
        <v>1</v>
      </c>
      <c r="F256" t="s">
        <v>35</v>
      </c>
      <c r="G256" s="10">
        <v>45852</v>
      </c>
      <c r="H256" t="s">
        <v>36</v>
      </c>
      <c r="I256" t="s">
        <v>37</v>
      </c>
      <c r="J256" t="s">
        <v>38</v>
      </c>
      <c r="K256" t="s">
        <v>98</v>
      </c>
      <c r="L256" t="s">
        <v>39</v>
      </c>
      <c r="M256">
        <v>0</v>
      </c>
      <c r="P256">
        <v>1</v>
      </c>
      <c r="Q256">
        <v>0</v>
      </c>
      <c r="S256" t="s">
        <v>40</v>
      </c>
      <c r="T256" s="10">
        <v>45845</v>
      </c>
      <c r="W256">
        <v>1</v>
      </c>
      <c r="Y256" t="s">
        <v>41</v>
      </c>
      <c r="AG256" t="s">
        <v>142</v>
      </c>
      <c r="AJ256" t="s">
        <v>589</v>
      </c>
    </row>
    <row r="257" spans="1:36" x14ac:dyDescent="0.25">
      <c r="A257">
        <v>1</v>
      </c>
      <c r="B257">
        <v>5000016323</v>
      </c>
      <c r="C257" t="s">
        <v>596</v>
      </c>
      <c r="D257">
        <v>10803079</v>
      </c>
      <c r="E257">
        <v>10</v>
      </c>
      <c r="F257" t="s">
        <v>93</v>
      </c>
      <c r="G257" s="10">
        <v>45854</v>
      </c>
      <c r="H257" t="s">
        <v>36</v>
      </c>
      <c r="I257" t="s">
        <v>37</v>
      </c>
      <c r="J257" t="s">
        <v>38</v>
      </c>
      <c r="K257" t="s">
        <v>98</v>
      </c>
      <c r="L257" t="s">
        <v>39</v>
      </c>
      <c r="M257">
        <v>0</v>
      </c>
      <c r="P257">
        <v>10</v>
      </c>
      <c r="Q257">
        <v>0</v>
      </c>
      <c r="S257" t="s">
        <v>40</v>
      </c>
      <c r="T257" s="10">
        <v>45847</v>
      </c>
      <c r="W257">
        <v>1</v>
      </c>
      <c r="Y257" t="s">
        <v>41</v>
      </c>
      <c r="AG257" t="s">
        <v>142</v>
      </c>
      <c r="AJ257" t="s">
        <v>590</v>
      </c>
    </row>
    <row r="258" spans="1:36" x14ac:dyDescent="0.25">
      <c r="A258">
        <v>2</v>
      </c>
      <c r="B258">
        <v>5000016779</v>
      </c>
      <c r="C258" t="s">
        <v>267</v>
      </c>
      <c r="D258">
        <v>10803079</v>
      </c>
      <c r="E258">
        <v>1</v>
      </c>
      <c r="F258" t="s">
        <v>35</v>
      </c>
      <c r="G258" s="10">
        <v>45854</v>
      </c>
      <c r="H258" t="s">
        <v>36</v>
      </c>
      <c r="I258" t="s">
        <v>37</v>
      </c>
      <c r="J258" t="s">
        <v>38</v>
      </c>
      <c r="K258" t="s">
        <v>98</v>
      </c>
      <c r="L258" t="s">
        <v>39</v>
      </c>
      <c r="M258">
        <v>0</v>
      </c>
      <c r="P258">
        <v>1</v>
      </c>
      <c r="Q258">
        <v>0</v>
      </c>
      <c r="S258" t="s">
        <v>40</v>
      </c>
      <c r="T258" s="10">
        <v>45847</v>
      </c>
      <c r="W258">
        <v>1</v>
      </c>
      <c r="Y258" t="s">
        <v>41</v>
      </c>
      <c r="AG258" t="s">
        <v>142</v>
      </c>
      <c r="AJ258" t="s">
        <v>592</v>
      </c>
    </row>
    <row r="259" spans="1:36" x14ac:dyDescent="0.25">
      <c r="A259">
        <v>3</v>
      </c>
      <c r="B259">
        <v>5000008242</v>
      </c>
      <c r="C259" t="s">
        <v>593</v>
      </c>
      <c r="D259">
        <v>10803079</v>
      </c>
      <c r="E259">
        <v>1</v>
      </c>
      <c r="F259" t="s">
        <v>296</v>
      </c>
      <c r="G259" s="10">
        <v>45854</v>
      </c>
      <c r="H259" t="s">
        <v>36</v>
      </c>
      <c r="I259" t="s">
        <v>37</v>
      </c>
      <c r="J259" t="s">
        <v>38</v>
      </c>
      <c r="K259" t="s">
        <v>98</v>
      </c>
      <c r="L259" t="s">
        <v>39</v>
      </c>
      <c r="M259">
        <v>0</v>
      </c>
      <c r="P259">
        <v>1</v>
      </c>
      <c r="Q259">
        <v>0</v>
      </c>
      <c r="S259" t="s">
        <v>40</v>
      </c>
      <c r="T259" s="10">
        <v>45847</v>
      </c>
      <c r="W259">
        <v>1</v>
      </c>
      <c r="Y259" t="s">
        <v>41</v>
      </c>
      <c r="AG259" t="s">
        <v>142</v>
      </c>
      <c r="AJ259" t="s">
        <v>594</v>
      </c>
    </row>
    <row r="260" spans="1:36" x14ac:dyDescent="0.25">
      <c r="A260">
        <v>1</v>
      </c>
      <c r="B260">
        <v>5000004248</v>
      </c>
      <c r="C260" t="s">
        <v>155</v>
      </c>
      <c r="D260">
        <v>10803128</v>
      </c>
      <c r="E260">
        <v>12</v>
      </c>
      <c r="F260" t="s">
        <v>93</v>
      </c>
      <c r="G260" s="10">
        <v>45855</v>
      </c>
      <c r="H260" t="s">
        <v>36</v>
      </c>
      <c r="I260" t="s">
        <v>37</v>
      </c>
      <c r="J260" t="s">
        <v>38</v>
      </c>
      <c r="K260" t="s">
        <v>98</v>
      </c>
      <c r="L260" t="s">
        <v>39</v>
      </c>
      <c r="M260">
        <v>0</v>
      </c>
      <c r="P260">
        <v>12</v>
      </c>
      <c r="Q260">
        <v>0</v>
      </c>
      <c r="S260" t="s">
        <v>40</v>
      </c>
      <c r="T260" s="10">
        <v>45848</v>
      </c>
      <c r="W260">
        <v>1</v>
      </c>
      <c r="Y260" t="s">
        <v>41</v>
      </c>
      <c r="AG260" t="s">
        <v>142</v>
      </c>
      <c r="AJ260" t="s">
        <v>595</v>
      </c>
    </row>
    <row r="261" spans="1:36" x14ac:dyDescent="0.25">
      <c r="A261">
        <v>1</v>
      </c>
      <c r="B261">
        <v>5000005340</v>
      </c>
      <c r="C261" t="s">
        <v>199</v>
      </c>
      <c r="D261">
        <v>10803166</v>
      </c>
      <c r="E261">
        <v>3</v>
      </c>
      <c r="F261" t="s">
        <v>35</v>
      </c>
      <c r="G261" s="10">
        <v>45859</v>
      </c>
      <c r="H261" t="s">
        <v>36</v>
      </c>
      <c r="I261" t="s">
        <v>37</v>
      </c>
      <c r="J261" t="s">
        <v>38</v>
      </c>
      <c r="K261" t="s">
        <v>98</v>
      </c>
      <c r="L261" t="s">
        <v>39</v>
      </c>
      <c r="M261">
        <v>0</v>
      </c>
      <c r="P261">
        <v>2</v>
      </c>
      <c r="Q261">
        <v>0</v>
      </c>
      <c r="S261" t="s">
        <v>40</v>
      </c>
      <c r="T261" s="10">
        <v>45852</v>
      </c>
      <c r="W261">
        <v>1</v>
      </c>
      <c r="Y261" t="s">
        <v>41</v>
      </c>
      <c r="AG261" t="s">
        <v>142</v>
      </c>
      <c r="AJ261" t="s">
        <v>599</v>
      </c>
    </row>
    <row r="262" spans="1:36" x14ac:dyDescent="0.25">
      <c r="A262">
        <v>1</v>
      </c>
      <c r="B262">
        <v>5000016375</v>
      </c>
      <c r="C262" t="s">
        <v>114</v>
      </c>
      <c r="D262">
        <v>10803217</v>
      </c>
      <c r="E262">
        <v>1</v>
      </c>
      <c r="F262" t="s">
        <v>35</v>
      </c>
      <c r="G262" s="10">
        <v>45860</v>
      </c>
      <c r="H262" t="s">
        <v>36</v>
      </c>
      <c r="I262" t="s">
        <v>37</v>
      </c>
      <c r="J262" t="s">
        <v>38</v>
      </c>
      <c r="K262" t="s">
        <v>98</v>
      </c>
      <c r="L262" t="s">
        <v>39</v>
      </c>
      <c r="M262">
        <v>1</v>
      </c>
      <c r="P262">
        <v>0</v>
      </c>
      <c r="Q262">
        <v>1</v>
      </c>
      <c r="S262" t="s">
        <v>40</v>
      </c>
      <c r="T262" s="10">
        <v>45853</v>
      </c>
      <c r="W262">
        <v>1</v>
      </c>
      <c r="Y262" t="s">
        <v>41</v>
      </c>
      <c r="AG262" t="s">
        <v>142</v>
      </c>
      <c r="AJ262" t="s">
        <v>597</v>
      </c>
    </row>
    <row r="263" spans="1:36" x14ac:dyDescent="0.25">
      <c r="A263">
        <v>1</v>
      </c>
      <c r="B263">
        <v>5000014291</v>
      </c>
      <c r="C263" t="s">
        <v>406</v>
      </c>
      <c r="D263">
        <v>10803246</v>
      </c>
      <c r="E263">
        <v>1</v>
      </c>
      <c r="F263" t="s">
        <v>296</v>
      </c>
      <c r="G263" s="10">
        <v>45861</v>
      </c>
      <c r="H263" t="s">
        <v>36</v>
      </c>
      <c r="I263" t="s">
        <v>37</v>
      </c>
      <c r="J263" t="s">
        <v>38</v>
      </c>
      <c r="K263" t="s">
        <v>98</v>
      </c>
      <c r="L263" t="s">
        <v>39</v>
      </c>
      <c r="M263">
        <v>0</v>
      </c>
      <c r="P263">
        <v>1</v>
      </c>
      <c r="Q263">
        <v>0</v>
      </c>
      <c r="S263" t="s">
        <v>40</v>
      </c>
      <c r="T263" s="10">
        <v>45854</v>
      </c>
      <c r="W263">
        <v>1</v>
      </c>
      <c r="Y263" t="s">
        <v>41</v>
      </c>
      <c r="AG263" t="s">
        <v>142</v>
      </c>
      <c r="AJ263" t="s">
        <v>598</v>
      </c>
    </row>
    <row r="264" spans="1:36" x14ac:dyDescent="0.25">
      <c r="A264">
        <v>1</v>
      </c>
      <c r="B264">
        <v>5000008843</v>
      </c>
      <c r="C264" t="s">
        <v>150</v>
      </c>
      <c r="D264">
        <v>10803260</v>
      </c>
      <c r="E264">
        <v>1</v>
      </c>
      <c r="F264" t="s">
        <v>35</v>
      </c>
      <c r="G264" s="10">
        <v>45862</v>
      </c>
      <c r="H264" t="s">
        <v>36</v>
      </c>
      <c r="I264" t="s">
        <v>37</v>
      </c>
      <c r="J264" t="s">
        <v>38</v>
      </c>
      <c r="K264" t="s">
        <v>98</v>
      </c>
      <c r="L264" t="s">
        <v>39</v>
      </c>
      <c r="M264">
        <v>0</v>
      </c>
      <c r="P264">
        <v>1</v>
      </c>
      <c r="Q264">
        <v>0</v>
      </c>
      <c r="S264" t="s">
        <v>40</v>
      </c>
      <c r="T264" s="10">
        <v>45855</v>
      </c>
      <c r="W264">
        <v>1</v>
      </c>
      <c r="Y264" t="s">
        <v>41</v>
      </c>
      <c r="AG264" t="s">
        <v>142</v>
      </c>
      <c r="AJ264" t="s">
        <v>601</v>
      </c>
    </row>
    <row r="265" spans="1:36" x14ac:dyDescent="0.25">
      <c r="A265">
        <v>2</v>
      </c>
      <c r="B265">
        <v>5000016308</v>
      </c>
      <c r="C265" t="s">
        <v>143</v>
      </c>
      <c r="D265">
        <v>10803260</v>
      </c>
      <c r="E265">
        <v>1</v>
      </c>
      <c r="F265" t="s">
        <v>35</v>
      </c>
      <c r="G265" s="10">
        <v>45862</v>
      </c>
      <c r="H265" t="s">
        <v>36</v>
      </c>
      <c r="I265" t="s">
        <v>37</v>
      </c>
      <c r="J265" t="s">
        <v>38</v>
      </c>
      <c r="K265" t="s">
        <v>98</v>
      </c>
      <c r="L265" t="s">
        <v>39</v>
      </c>
      <c r="M265">
        <v>0</v>
      </c>
      <c r="P265">
        <v>1</v>
      </c>
      <c r="Q265">
        <v>0</v>
      </c>
      <c r="S265" t="s">
        <v>40</v>
      </c>
      <c r="T265" s="10">
        <v>45855</v>
      </c>
      <c r="W265">
        <v>1</v>
      </c>
      <c r="Y265" t="s">
        <v>41</v>
      </c>
      <c r="AG265" t="s">
        <v>142</v>
      </c>
      <c r="AJ265" t="s">
        <v>601</v>
      </c>
    </row>
    <row r="266" spans="1:36" x14ac:dyDescent="0.25">
      <c r="A266">
        <v>1</v>
      </c>
      <c r="B266">
        <v>5000008843</v>
      </c>
      <c r="C266" t="s">
        <v>150</v>
      </c>
      <c r="D266">
        <v>10803301</v>
      </c>
      <c r="E266">
        <v>1</v>
      </c>
      <c r="F266" t="s">
        <v>35</v>
      </c>
      <c r="G266" s="10">
        <v>45863</v>
      </c>
      <c r="H266" t="s">
        <v>36</v>
      </c>
      <c r="I266" t="s">
        <v>37</v>
      </c>
      <c r="J266" t="s">
        <v>38</v>
      </c>
      <c r="K266" t="s">
        <v>98</v>
      </c>
      <c r="L266" t="s">
        <v>39</v>
      </c>
      <c r="M266">
        <v>1</v>
      </c>
      <c r="P266">
        <v>0</v>
      </c>
      <c r="Q266">
        <v>1</v>
      </c>
      <c r="S266" t="s">
        <v>40</v>
      </c>
      <c r="T266" s="10">
        <v>45856</v>
      </c>
      <c r="W266">
        <v>1</v>
      </c>
      <c r="Y266" t="s">
        <v>41</v>
      </c>
      <c r="AG266" t="s">
        <v>142</v>
      </c>
      <c r="AJ266" t="s">
        <v>602</v>
      </c>
    </row>
    <row r="267" spans="1:36" x14ac:dyDescent="0.25">
      <c r="A267">
        <v>2</v>
      </c>
      <c r="B267">
        <v>5000005059</v>
      </c>
      <c r="C267" t="s">
        <v>153</v>
      </c>
      <c r="D267">
        <v>10803301</v>
      </c>
      <c r="E267">
        <v>1</v>
      </c>
      <c r="F267" t="s">
        <v>93</v>
      </c>
      <c r="G267" s="10">
        <v>45863</v>
      </c>
      <c r="H267" t="s">
        <v>36</v>
      </c>
      <c r="I267" t="s">
        <v>37</v>
      </c>
      <c r="J267" t="s">
        <v>38</v>
      </c>
      <c r="K267" t="s">
        <v>98</v>
      </c>
      <c r="L267" t="s">
        <v>39</v>
      </c>
      <c r="M267">
        <v>1</v>
      </c>
      <c r="P267">
        <v>0</v>
      </c>
      <c r="Q267">
        <v>1</v>
      </c>
      <c r="S267" t="s">
        <v>40</v>
      </c>
      <c r="T267" s="10">
        <v>45856</v>
      </c>
      <c r="W267">
        <v>1</v>
      </c>
      <c r="Y267" t="s">
        <v>41</v>
      </c>
      <c r="AG267" t="s">
        <v>142</v>
      </c>
      <c r="AJ267" t="s">
        <v>603</v>
      </c>
    </row>
    <row r="268" spans="1:36" x14ac:dyDescent="0.25">
      <c r="A268">
        <v>3</v>
      </c>
      <c r="B268">
        <v>5000004248</v>
      </c>
      <c r="C268" t="s">
        <v>155</v>
      </c>
      <c r="D268">
        <v>10803301</v>
      </c>
      <c r="E268">
        <v>1</v>
      </c>
      <c r="F268" t="s">
        <v>93</v>
      </c>
      <c r="G268" s="10">
        <v>45863</v>
      </c>
      <c r="H268" t="s">
        <v>36</v>
      </c>
      <c r="I268" t="s">
        <v>37</v>
      </c>
      <c r="J268" t="s">
        <v>38</v>
      </c>
      <c r="K268" t="s">
        <v>98</v>
      </c>
      <c r="L268" t="s">
        <v>39</v>
      </c>
      <c r="M268">
        <v>1</v>
      </c>
      <c r="P268">
        <v>0</v>
      </c>
      <c r="Q268">
        <v>1</v>
      </c>
      <c r="S268" t="s">
        <v>40</v>
      </c>
      <c r="T268" s="10">
        <v>45856</v>
      </c>
      <c r="W268">
        <v>1</v>
      </c>
      <c r="Y268" t="s">
        <v>41</v>
      </c>
      <c r="AG268" t="s">
        <v>142</v>
      </c>
      <c r="AJ268" t="s">
        <v>604</v>
      </c>
    </row>
    <row r="269" spans="1:36" x14ac:dyDescent="0.25">
      <c r="A269">
        <v>4</v>
      </c>
      <c r="B269">
        <v>5000012021</v>
      </c>
      <c r="C269" t="s">
        <v>188</v>
      </c>
      <c r="D269">
        <v>10803301</v>
      </c>
      <c r="E269">
        <v>1</v>
      </c>
      <c r="F269" t="s">
        <v>93</v>
      </c>
      <c r="G269" s="10">
        <v>45863</v>
      </c>
      <c r="H269" t="s">
        <v>36</v>
      </c>
      <c r="I269" t="s">
        <v>37</v>
      </c>
      <c r="J269" t="s">
        <v>38</v>
      </c>
      <c r="K269" t="s">
        <v>98</v>
      </c>
      <c r="L269" t="s">
        <v>39</v>
      </c>
      <c r="M269">
        <v>1</v>
      </c>
      <c r="P269">
        <v>0</v>
      </c>
      <c r="Q269">
        <v>1</v>
      </c>
      <c r="S269" t="s">
        <v>40</v>
      </c>
      <c r="T269" s="10">
        <v>45859</v>
      </c>
      <c r="V269" s="10"/>
      <c r="W269">
        <v>1</v>
      </c>
      <c r="Y269" t="s">
        <v>41</v>
      </c>
      <c r="AG269" t="s">
        <v>142</v>
      </c>
      <c r="AJ269" t="s">
        <v>605</v>
      </c>
    </row>
    <row r="270" spans="1:36" x14ac:dyDescent="0.25">
      <c r="A270">
        <v>1</v>
      </c>
      <c r="B270">
        <v>5000017082</v>
      </c>
      <c r="C270" t="s">
        <v>609</v>
      </c>
      <c r="D270">
        <v>10803362</v>
      </c>
      <c r="E270">
        <v>1</v>
      </c>
      <c r="F270" t="s">
        <v>35</v>
      </c>
      <c r="G270" s="10">
        <v>45867</v>
      </c>
      <c r="H270" t="s">
        <v>36</v>
      </c>
      <c r="I270" t="s">
        <v>37</v>
      </c>
      <c r="J270" t="s">
        <v>38</v>
      </c>
      <c r="K270" t="s">
        <v>98</v>
      </c>
      <c r="L270" t="s">
        <v>39</v>
      </c>
      <c r="M270">
        <v>1</v>
      </c>
      <c r="P270">
        <v>0</v>
      </c>
      <c r="Q270">
        <v>1</v>
      </c>
      <c r="S270" t="s">
        <v>40</v>
      </c>
      <c r="T270" s="10">
        <v>45860</v>
      </c>
      <c r="W270">
        <v>1</v>
      </c>
      <c r="Y270" t="s">
        <v>41</v>
      </c>
      <c r="AG270" t="s">
        <v>142</v>
      </c>
      <c r="AJ270" t="s">
        <v>610</v>
      </c>
    </row>
    <row r="271" spans="1:36" x14ac:dyDescent="0.25">
      <c r="A271">
        <v>2</v>
      </c>
      <c r="B271">
        <v>5000017083</v>
      </c>
      <c r="C271" t="s">
        <v>611</v>
      </c>
      <c r="D271">
        <v>10803362</v>
      </c>
      <c r="E271">
        <v>1</v>
      </c>
      <c r="F271" t="s">
        <v>93</v>
      </c>
      <c r="G271" s="10">
        <v>45867</v>
      </c>
      <c r="H271" t="s">
        <v>36</v>
      </c>
      <c r="I271" t="s">
        <v>37</v>
      </c>
      <c r="J271" t="s">
        <v>38</v>
      </c>
      <c r="K271" t="s">
        <v>98</v>
      </c>
      <c r="L271" t="s">
        <v>39</v>
      </c>
      <c r="M271">
        <v>0</v>
      </c>
      <c r="P271">
        <v>1</v>
      </c>
      <c r="Q271">
        <v>0</v>
      </c>
      <c r="S271" t="s">
        <v>40</v>
      </c>
      <c r="T271" s="10">
        <v>45860</v>
      </c>
      <c r="W271">
        <v>1</v>
      </c>
      <c r="Y271" t="s">
        <v>41</v>
      </c>
      <c r="AG271" t="s">
        <v>142</v>
      </c>
      <c r="AJ271" t="s">
        <v>612</v>
      </c>
    </row>
    <row r="272" spans="1:36" x14ac:dyDescent="0.25">
      <c r="A272">
        <v>1</v>
      </c>
      <c r="B272">
        <v>5000016308</v>
      </c>
      <c r="C272" t="s">
        <v>143</v>
      </c>
      <c r="D272">
        <v>10803425</v>
      </c>
      <c r="E272">
        <v>1</v>
      </c>
      <c r="F272" t="s">
        <v>35</v>
      </c>
      <c r="G272" s="10">
        <v>45870</v>
      </c>
      <c r="H272" t="s">
        <v>36</v>
      </c>
      <c r="I272" t="s">
        <v>37</v>
      </c>
      <c r="J272" t="s">
        <v>38</v>
      </c>
      <c r="K272" t="s">
        <v>98</v>
      </c>
      <c r="L272" t="s">
        <v>39</v>
      </c>
      <c r="M272">
        <v>1</v>
      </c>
      <c r="P272">
        <v>0</v>
      </c>
      <c r="Q272">
        <v>1</v>
      </c>
      <c r="S272" t="s">
        <v>40</v>
      </c>
      <c r="T272" s="10">
        <v>45863</v>
      </c>
      <c r="W272">
        <v>1</v>
      </c>
      <c r="Y272" t="s">
        <v>41</v>
      </c>
      <c r="AG272" t="s">
        <v>142</v>
      </c>
      <c r="AJ272" t="s">
        <v>614</v>
      </c>
    </row>
    <row r="273" spans="1:36" x14ac:dyDescent="0.25">
      <c r="A273">
        <v>1</v>
      </c>
      <c r="B273">
        <v>5000013640</v>
      </c>
      <c r="C273" t="s">
        <v>159</v>
      </c>
      <c r="D273">
        <v>10803462</v>
      </c>
      <c r="E273">
        <v>10</v>
      </c>
      <c r="F273" t="s">
        <v>93</v>
      </c>
      <c r="G273" s="10">
        <v>45873</v>
      </c>
      <c r="H273" t="s">
        <v>160</v>
      </c>
      <c r="I273" t="s">
        <v>37</v>
      </c>
      <c r="J273" t="s">
        <v>38</v>
      </c>
      <c r="K273" t="s">
        <v>98</v>
      </c>
      <c r="L273" t="s">
        <v>39</v>
      </c>
      <c r="M273">
        <v>0</v>
      </c>
      <c r="P273">
        <v>10</v>
      </c>
      <c r="Q273">
        <v>0</v>
      </c>
      <c r="S273" t="s">
        <v>40</v>
      </c>
      <c r="T273" s="10">
        <v>45866</v>
      </c>
      <c r="W273">
        <v>1</v>
      </c>
      <c r="Y273" t="s">
        <v>41</v>
      </c>
      <c r="AG273" t="s">
        <v>142</v>
      </c>
      <c r="AJ273" t="s">
        <v>615</v>
      </c>
    </row>
    <row r="274" spans="1:36" x14ac:dyDescent="0.25">
      <c r="A274">
        <v>2</v>
      </c>
      <c r="B274">
        <v>5000012033</v>
      </c>
      <c r="C274" t="s">
        <v>465</v>
      </c>
      <c r="D274">
        <v>10803462</v>
      </c>
      <c r="E274">
        <v>10</v>
      </c>
      <c r="F274" t="s">
        <v>93</v>
      </c>
      <c r="G274" s="10">
        <v>45873</v>
      </c>
      <c r="H274" t="s">
        <v>160</v>
      </c>
      <c r="I274" t="s">
        <v>37</v>
      </c>
      <c r="J274" t="s">
        <v>38</v>
      </c>
      <c r="K274" t="s">
        <v>98</v>
      </c>
      <c r="L274" t="s">
        <v>39</v>
      </c>
      <c r="M274">
        <v>0</v>
      </c>
      <c r="P274">
        <v>10</v>
      </c>
      <c r="Q274">
        <v>0</v>
      </c>
      <c r="S274" t="s">
        <v>40</v>
      </c>
      <c r="T274" s="10">
        <v>45866</v>
      </c>
      <c r="W274">
        <v>1</v>
      </c>
      <c r="Y274" t="s">
        <v>41</v>
      </c>
      <c r="AG274" t="s">
        <v>142</v>
      </c>
      <c r="AJ274" t="s">
        <v>616</v>
      </c>
    </row>
    <row r="275" spans="1:36" x14ac:dyDescent="0.25">
      <c r="A275">
        <v>3</v>
      </c>
      <c r="B275">
        <v>5000016322</v>
      </c>
      <c r="C275" t="s">
        <v>388</v>
      </c>
      <c r="D275">
        <v>10803462</v>
      </c>
      <c r="E275">
        <v>10</v>
      </c>
      <c r="F275" t="s">
        <v>93</v>
      </c>
      <c r="G275" s="10">
        <v>45873</v>
      </c>
      <c r="H275" t="s">
        <v>36</v>
      </c>
      <c r="I275" t="s">
        <v>37</v>
      </c>
      <c r="J275" t="s">
        <v>38</v>
      </c>
      <c r="K275" t="s">
        <v>98</v>
      </c>
      <c r="L275" t="s">
        <v>39</v>
      </c>
      <c r="M275">
        <v>0</v>
      </c>
      <c r="P275">
        <v>10</v>
      </c>
      <c r="Q275">
        <v>0</v>
      </c>
      <c r="S275" t="s">
        <v>40</v>
      </c>
      <c r="T275" s="10">
        <v>45866</v>
      </c>
      <c r="V275" s="25"/>
      <c r="W275">
        <v>1</v>
      </c>
      <c r="Y275" t="s">
        <v>41</v>
      </c>
      <c r="AG275" t="s">
        <v>142</v>
      </c>
      <c r="AJ275" t="s">
        <v>617</v>
      </c>
    </row>
    <row r="276" spans="1:36" x14ac:dyDescent="0.25">
      <c r="A276">
        <v>1</v>
      </c>
      <c r="B276">
        <v>5000016255</v>
      </c>
      <c r="C276" t="s">
        <v>110</v>
      </c>
      <c r="D276">
        <v>10803523</v>
      </c>
      <c r="E276">
        <v>1</v>
      </c>
      <c r="F276" t="s">
        <v>93</v>
      </c>
      <c r="G276" s="10">
        <v>45875</v>
      </c>
      <c r="H276" t="s">
        <v>36</v>
      </c>
      <c r="I276" t="s">
        <v>37</v>
      </c>
      <c r="J276" t="s">
        <v>38</v>
      </c>
      <c r="K276" t="s">
        <v>98</v>
      </c>
      <c r="L276" t="s">
        <v>39</v>
      </c>
      <c r="M276">
        <v>0</v>
      </c>
      <c r="P276">
        <v>1</v>
      </c>
      <c r="Q276">
        <v>0</v>
      </c>
      <c r="S276" t="s">
        <v>40</v>
      </c>
      <c r="T276" s="10">
        <v>45868</v>
      </c>
      <c r="W276">
        <v>1</v>
      </c>
      <c r="Y276" t="s">
        <v>41</v>
      </c>
      <c r="AG276" t="s">
        <v>142</v>
      </c>
      <c r="AJ276" t="s">
        <v>620</v>
      </c>
    </row>
    <row r="277" spans="1:36" x14ac:dyDescent="0.25">
      <c r="A277">
        <v>1</v>
      </c>
      <c r="B277">
        <v>5000008843</v>
      </c>
      <c r="C277" t="s">
        <v>150</v>
      </c>
      <c r="D277">
        <v>10803538</v>
      </c>
      <c r="E277">
        <v>2</v>
      </c>
      <c r="F277" t="s">
        <v>35</v>
      </c>
      <c r="G277" s="10">
        <v>45877</v>
      </c>
      <c r="H277" t="s">
        <v>36</v>
      </c>
      <c r="I277" t="s">
        <v>37</v>
      </c>
      <c r="J277" t="s">
        <v>38</v>
      </c>
      <c r="K277" t="s">
        <v>98</v>
      </c>
      <c r="L277" t="s">
        <v>39</v>
      </c>
      <c r="M277">
        <v>1</v>
      </c>
      <c r="P277">
        <v>0</v>
      </c>
      <c r="Q277">
        <v>2</v>
      </c>
      <c r="S277" t="s">
        <v>40</v>
      </c>
      <c r="T277" s="10">
        <v>45870</v>
      </c>
      <c r="W277">
        <v>1</v>
      </c>
      <c r="Y277" t="s">
        <v>41</v>
      </c>
      <c r="AG277" t="s">
        <v>142</v>
      </c>
      <c r="AJ277" t="s">
        <v>621</v>
      </c>
    </row>
    <row r="278" spans="1:36" x14ac:dyDescent="0.25">
      <c r="A278">
        <v>2</v>
      </c>
      <c r="B278">
        <v>5000016308</v>
      </c>
      <c r="C278" t="s">
        <v>143</v>
      </c>
      <c r="D278">
        <v>10803538</v>
      </c>
      <c r="E278">
        <v>2</v>
      </c>
      <c r="F278" t="s">
        <v>35</v>
      </c>
      <c r="G278" s="10">
        <v>45877</v>
      </c>
      <c r="H278" t="s">
        <v>36</v>
      </c>
      <c r="I278" t="s">
        <v>37</v>
      </c>
      <c r="J278" t="s">
        <v>38</v>
      </c>
      <c r="K278" t="s">
        <v>98</v>
      </c>
      <c r="L278" t="s">
        <v>39</v>
      </c>
      <c r="M278">
        <v>1</v>
      </c>
      <c r="P278">
        <v>0</v>
      </c>
      <c r="Q278">
        <v>2</v>
      </c>
      <c r="S278" t="s">
        <v>40</v>
      </c>
      <c r="T278" s="10">
        <v>45870</v>
      </c>
      <c r="W278">
        <v>1</v>
      </c>
      <c r="Y278" t="s">
        <v>41</v>
      </c>
      <c r="AG278" t="s">
        <v>142</v>
      </c>
      <c r="AJ278" t="s">
        <v>622</v>
      </c>
    </row>
    <row r="279" spans="1:36" x14ac:dyDescent="0.25">
      <c r="A279">
        <v>3</v>
      </c>
      <c r="B279">
        <v>5000005059</v>
      </c>
      <c r="C279" t="s">
        <v>153</v>
      </c>
      <c r="D279">
        <v>10803538</v>
      </c>
      <c r="E279">
        <v>2</v>
      </c>
      <c r="F279" t="s">
        <v>93</v>
      </c>
      <c r="G279" s="10">
        <v>45877</v>
      </c>
      <c r="H279" t="s">
        <v>36</v>
      </c>
      <c r="I279" t="s">
        <v>37</v>
      </c>
      <c r="J279" t="s">
        <v>38</v>
      </c>
      <c r="K279" t="s">
        <v>98</v>
      </c>
      <c r="L279" t="s">
        <v>39</v>
      </c>
      <c r="M279">
        <v>1</v>
      </c>
      <c r="P279">
        <v>0</v>
      </c>
      <c r="Q279">
        <v>2</v>
      </c>
      <c r="S279" t="s">
        <v>40</v>
      </c>
      <c r="T279" s="10">
        <v>45870</v>
      </c>
      <c r="W279">
        <v>1</v>
      </c>
      <c r="Y279" t="s">
        <v>41</v>
      </c>
      <c r="AG279" t="s">
        <v>142</v>
      </c>
      <c r="AJ279" t="s">
        <v>623</v>
      </c>
    </row>
    <row r="280" spans="1:36" x14ac:dyDescent="0.25">
      <c r="A280">
        <v>4</v>
      </c>
      <c r="B280">
        <v>5000004248</v>
      </c>
      <c r="C280" t="s">
        <v>155</v>
      </c>
      <c r="D280">
        <v>10803538</v>
      </c>
      <c r="E280">
        <v>2</v>
      </c>
      <c r="F280" t="s">
        <v>93</v>
      </c>
      <c r="G280" s="10">
        <v>45877</v>
      </c>
      <c r="H280" t="s">
        <v>36</v>
      </c>
      <c r="I280" t="s">
        <v>37</v>
      </c>
      <c r="J280" t="s">
        <v>38</v>
      </c>
      <c r="K280" t="s">
        <v>98</v>
      </c>
      <c r="L280" t="s">
        <v>39</v>
      </c>
      <c r="M280">
        <v>1</v>
      </c>
      <c r="P280">
        <v>0</v>
      </c>
      <c r="Q280">
        <v>2</v>
      </c>
      <c r="S280" t="s">
        <v>40</v>
      </c>
      <c r="T280" s="10">
        <v>45870</v>
      </c>
      <c r="W280">
        <v>1</v>
      </c>
      <c r="Y280" t="s">
        <v>41</v>
      </c>
      <c r="AG280" t="s">
        <v>142</v>
      </c>
      <c r="AJ280" t="s">
        <v>624</v>
      </c>
    </row>
    <row r="281" spans="1:36" x14ac:dyDescent="0.25">
      <c r="A281">
        <v>5</v>
      </c>
      <c r="B281">
        <v>5000012021</v>
      </c>
      <c r="C281" t="s">
        <v>188</v>
      </c>
      <c r="D281">
        <v>10803538</v>
      </c>
      <c r="E281">
        <v>2</v>
      </c>
      <c r="F281" t="s">
        <v>93</v>
      </c>
      <c r="G281" s="10">
        <v>45877</v>
      </c>
      <c r="H281" t="s">
        <v>36</v>
      </c>
      <c r="I281" t="s">
        <v>37</v>
      </c>
      <c r="J281" t="s">
        <v>38</v>
      </c>
      <c r="K281" t="s">
        <v>98</v>
      </c>
      <c r="L281" t="s">
        <v>39</v>
      </c>
      <c r="M281">
        <v>1</v>
      </c>
      <c r="P281">
        <v>0</v>
      </c>
      <c r="Q281">
        <v>2</v>
      </c>
      <c r="S281" t="s">
        <v>40</v>
      </c>
      <c r="T281" s="10">
        <v>45870</v>
      </c>
      <c r="W281">
        <v>1</v>
      </c>
      <c r="Y281" t="s">
        <v>41</v>
      </c>
      <c r="AG281" t="s">
        <v>142</v>
      </c>
      <c r="AJ281" t="s">
        <v>625</v>
      </c>
    </row>
    <row r="282" spans="1:36" x14ac:dyDescent="0.25">
      <c r="A282">
        <v>1</v>
      </c>
      <c r="B282">
        <v>5000011754</v>
      </c>
      <c r="C282" t="s">
        <v>99</v>
      </c>
      <c r="D282">
        <v>10803570</v>
      </c>
      <c r="E282">
        <v>1</v>
      </c>
      <c r="F282" t="s">
        <v>93</v>
      </c>
      <c r="G282" s="10">
        <v>45880</v>
      </c>
      <c r="H282" t="s">
        <v>36</v>
      </c>
      <c r="I282" t="s">
        <v>37</v>
      </c>
      <c r="J282" t="s">
        <v>38</v>
      </c>
      <c r="K282" t="s">
        <v>98</v>
      </c>
      <c r="L282" t="s">
        <v>39</v>
      </c>
      <c r="M282">
        <v>0</v>
      </c>
      <c r="P282">
        <v>1</v>
      </c>
      <c r="Q282">
        <v>0</v>
      </c>
      <c r="S282" t="s">
        <v>40</v>
      </c>
      <c r="T282" s="10">
        <v>45873</v>
      </c>
      <c r="W282">
        <v>1</v>
      </c>
      <c r="Y282" t="s">
        <v>41</v>
      </c>
      <c r="AG282" t="s">
        <v>142</v>
      </c>
      <c r="AJ282" t="s">
        <v>626</v>
      </c>
    </row>
    <row r="283" spans="1:36" x14ac:dyDescent="0.25">
      <c r="A283">
        <v>2</v>
      </c>
      <c r="B283">
        <v>5000008929</v>
      </c>
      <c r="C283" t="s">
        <v>100</v>
      </c>
      <c r="D283">
        <v>10803570</v>
      </c>
      <c r="E283">
        <v>1</v>
      </c>
      <c r="F283" t="s">
        <v>93</v>
      </c>
      <c r="G283" s="10">
        <v>45880</v>
      </c>
      <c r="H283" t="s">
        <v>36</v>
      </c>
      <c r="I283" t="s">
        <v>37</v>
      </c>
      <c r="J283" t="s">
        <v>38</v>
      </c>
      <c r="K283" t="s">
        <v>98</v>
      </c>
      <c r="L283" t="s">
        <v>39</v>
      </c>
      <c r="M283">
        <v>0</v>
      </c>
      <c r="P283">
        <v>1</v>
      </c>
      <c r="Q283">
        <v>0</v>
      </c>
      <c r="S283" t="s">
        <v>40</v>
      </c>
      <c r="T283" s="10">
        <v>45873</v>
      </c>
      <c r="W283">
        <v>1</v>
      </c>
      <c r="Y283" t="s">
        <v>41</v>
      </c>
      <c r="AG283" t="s">
        <v>142</v>
      </c>
      <c r="AJ283" t="s">
        <v>628</v>
      </c>
    </row>
    <row r="284" spans="1:36" x14ac:dyDescent="0.25">
      <c r="A284">
        <v>3</v>
      </c>
      <c r="B284">
        <v>5000013802</v>
      </c>
      <c r="C284" t="s">
        <v>583</v>
      </c>
      <c r="D284">
        <v>10803570</v>
      </c>
      <c r="E284">
        <v>1</v>
      </c>
      <c r="F284" t="s">
        <v>35</v>
      </c>
      <c r="G284" s="10">
        <v>45880</v>
      </c>
      <c r="H284" t="s">
        <v>36</v>
      </c>
      <c r="I284" t="s">
        <v>37</v>
      </c>
      <c r="J284" t="s">
        <v>38</v>
      </c>
      <c r="K284" t="s">
        <v>98</v>
      </c>
      <c r="L284" t="s">
        <v>39</v>
      </c>
      <c r="M284">
        <v>1</v>
      </c>
      <c r="P284">
        <v>0</v>
      </c>
      <c r="Q284">
        <v>1</v>
      </c>
      <c r="S284" t="s">
        <v>40</v>
      </c>
      <c r="T284" s="10">
        <v>45873</v>
      </c>
      <c r="W284">
        <v>1</v>
      </c>
      <c r="Y284" t="s">
        <v>41</v>
      </c>
      <c r="AG284" t="s">
        <v>142</v>
      </c>
      <c r="AJ284" t="s">
        <v>629</v>
      </c>
    </row>
    <row r="285" spans="1:36" x14ac:dyDescent="0.25">
      <c r="A285">
        <v>4</v>
      </c>
      <c r="B285">
        <v>5000015919</v>
      </c>
      <c r="C285" t="s">
        <v>425</v>
      </c>
      <c r="D285">
        <v>10803570</v>
      </c>
      <c r="E285">
        <v>1</v>
      </c>
      <c r="F285" t="s">
        <v>35</v>
      </c>
      <c r="G285" s="10">
        <v>45880</v>
      </c>
      <c r="H285" t="s">
        <v>36</v>
      </c>
      <c r="I285" t="s">
        <v>37</v>
      </c>
      <c r="J285" t="s">
        <v>38</v>
      </c>
      <c r="K285" t="s">
        <v>98</v>
      </c>
      <c r="L285" t="s">
        <v>39</v>
      </c>
      <c r="M285">
        <v>1</v>
      </c>
      <c r="P285">
        <v>0</v>
      </c>
      <c r="Q285">
        <v>1</v>
      </c>
      <c r="S285" t="s">
        <v>40</v>
      </c>
      <c r="T285" s="10">
        <v>45873</v>
      </c>
      <c r="W285">
        <v>1</v>
      </c>
      <c r="Y285" t="s">
        <v>41</v>
      </c>
      <c r="AG285" t="s">
        <v>142</v>
      </c>
      <c r="AJ285" t="s">
        <v>643</v>
      </c>
    </row>
    <row r="286" spans="1:36" x14ac:dyDescent="0.25">
      <c r="A286">
        <v>1</v>
      </c>
      <c r="B286">
        <v>5000015560</v>
      </c>
      <c r="C286" t="s">
        <v>319</v>
      </c>
      <c r="D286">
        <v>10803610</v>
      </c>
      <c r="E286">
        <v>1</v>
      </c>
      <c r="F286" t="s">
        <v>93</v>
      </c>
      <c r="G286" s="10">
        <v>45881</v>
      </c>
      <c r="H286" t="s">
        <v>36</v>
      </c>
      <c r="I286" t="s">
        <v>37</v>
      </c>
      <c r="J286" t="s">
        <v>38</v>
      </c>
      <c r="K286" t="s">
        <v>98</v>
      </c>
      <c r="L286" t="s">
        <v>39</v>
      </c>
      <c r="M286">
        <v>0</v>
      </c>
      <c r="P286">
        <v>1</v>
      </c>
      <c r="Q286">
        <v>0</v>
      </c>
      <c r="S286" t="s">
        <v>40</v>
      </c>
      <c r="T286" s="10">
        <v>45874</v>
      </c>
      <c r="W286">
        <v>1</v>
      </c>
      <c r="Y286" t="s">
        <v>41</v>
      </c>
      <c r="AG286" t="s">
        <v>142</v>
      </c>
      <c r="AJ286" t="s">
        <v>630</v>
      </c>
    </row>
    <row r="287" spans="1:36" x14ac:dyDescent="0.25">
      <c r="A287">
        <v>1</v>
      </c>
      <c r="B287">
        <v>5000005059</v>
      </c>
      <c r="C287" t="s">
        <v>153</v>
      </c>
      <c r="D287">
        <v>10803687</v>
      </c>
      <c r="E287">
        <v>10</v>
      </c>
      <c r="F287" t="s">
        <v>93</v>
      </c>
      <c r="G287" s="10">
        <v>45884</v>
      </c>
      <c r="H287" t="s">
        <v>36</v>
      </c>
      <c r="I287" t="s">
        <v>37</v>
      </c>
      <c r="J287" t="s">
        <v>38</v>
      </c>
      <c r="K287" t="s">
        <v>98</v>
      </c>
      <c r="L287" t="s">
        <v>39</v>
      </c>
      <c r="M287">
        <v>0</v>
      </c>
      <c r="P287">
        <v>10</v>
      </c>
      <c r="Q287">
        <v>0</v>
      </c>
      <c r="S287" t="s">
        <v>40</v>
      </c>
      <c r="T287" s="10">
        <v>45877</v>
      </c>
      <c r="U287" t="s">
        <v>40</v>
      </c>
      <c r="V287" s="25">
        <v>45878</v>
      </c>
      <c r="W287">
        <v>1</v>
      </c>
      <c r="Y287" t="s">
        <v>41</v>
      </c>
      <c r="AG287" t="s">
        <v>142</v>
      </c>
      <c r="AJ287" t="s">
        <v>638</v>
      </c>
    </row>
    <row r="288" spans="1:36" x14ac:dyDescent="0.25">
      <c r="A288">
        <v>2</v>
      </c>
      <c r="B288">
        <v>5000015560</v>
      </c>
      <c r="C288" t="s">
        <v>319</v>
      </c>
      <c r="D288">
        <v>10803687</v>
      </c>
      <c r="E288">
        <v>1</v>
      </c>
      <c r="F288" t="s">
        <v>93</v>
      </c>
      <c r="G288" s="10">
        <v>45884</v>
      </c>
      <c r="H288" t="s">
        <v>36</v>
      </c>
      <c r="I288" t="s">
        <v>37</v>
      </c>
      <c r="J288" t="s">
        <v>38</v>
      </c>
      <c r="K288" t="s">
        <v>98</v>
      </c>
      <c r="L288" t="s">
        <v>39</v>
      </c>
      <c r="M288">
        <v>0</v>
      </c>
      <c r="P288">
        <v>1</v>
      </c>
      <c r="Q288">
        <v>0</v>
      </c>
      <c r="S288" t="s">
        <v>40</v>
      </c>
      <c r="T288" s="10">
        <v>45878</v>
      </c>
      <c r="W288">
        <v>1</v>
      </c>
      <c r="Y288" t="s">
        <v>41</v>
      </c>
      <c r="AG288" t="s">
        <v>142</v>
      </c>
      <c r="AJ288" t="s">
        <v>639</v>
      </c>
    </row>
    <row r="289" spans="1:36" x14ac:dyDescent="0.25">
      <c r="A289">
        <v>3</v>
      </c>
      <c r="B289">
        <v>5000016930</v>
      </c>
      <c r="C289" t="s">
        <v>203</v>
      </c>
      <c r="D289">
        <v>10803687</v>
      </c>
      <c r="E289">
        <v>1</v>
      </c>
      <c r="F289" t="s">
        <v>93</v>
      </c>
      <c r="G289" s="10">
        <v>45884</v>
      </c>
      <c r="H289" t="s">
        <v>36</v>
      </c>
      <c r="I289" t="s">
        <v>37</v>
      </c>
      <c r="J289" t="s">
        <v>38</v>
      </c>
      <c r="K289" t="s">
        <v>98</v>
      </c>
      <c r="L289" t="s">
        <v>39</v>
      </c>
      <c r="M289">
        <v>0</v>
      </c>
      <c r="P289">
        <v>1</v>
      </c>
      <c r="Q289">
        <v>0</v>
      </c>
      <c r="S289" t="s">
        <v>40</v>
      </c>
      <c r="T289" s="10">
        <v>45878</v>
      </c>
      <c r="W289">
        <v>1</v>
      </c>
      <c r="Y289" t="s">
        <v>41</v>
      </c>
      <c r="AG289" t="s">
        <v>142</v>
      </c>
      <c r="AJ289" t="s">
        <v>633</v>
      </c>
    </row>
    <row r="290" spans="1:36" x14ac:dyDescent="0.25">
      <c r="A290">
        <v>1</v>
      </c>
      <c r="B290">
        <v>5000017216</v>
      </c>
      <c r="C290" t="s">
        <v>183</v>
      </c>
      <c r="D290">
        <v>10803700</v>
      </c>
      <c r="E290">
        <v>5</v>
      </c>
      <c r="F290" t="s">
        <v>35</v>
      </c>
      <c r="G290" s="10">
        <v>45887</v>
      </c>
      <c r="H290" t="s">
        <v>36</v>
      </c>
      <c r="I290" t="s">
        <v>37</v>
      </c>
      <c r="J290" t="s">
        <v>38</v>
      </c>
      <c r="K290" t="s">
        <v>98</v>
      </c>
      <c r="L290" t="s">
        <v>39</v>
      </c>
      <c r="M290">
        <v>1</v>
      </c>
      <c r="P290">
        <v>0</v>
      </c>
      <c r="Q290">
        <v>5</v>
      </c>
      <c r="S290" t="s">
        <v>40</v>
      </c>
      <c r="T290" s="10">
        <v>45880</v>
      </c>
      <c r="U290" t="s">
        <v>40</v>
      </c>
      <c r="V290" s="25">
        <v>45880</v>
      </c>
      <c r="W290">
        <v>1</v>
      </c>
      <c r="Y290" t="s">
        <v>41</v>
      </c>
      <c r="AG290" t="s">
        <v>142</v>
      </c>
      <c r="AJ290" t="s">
        <v>634</v>
      </c>
    </row>
    <row r="291" spans="1:36" x14ac:dyDescent="0.25">
      <c r="A291">
        <v>2</v>
      </c>
      <c r="B291">
        <v>5000016308</v>
      </c>
      <c r="C291" t="s">
        <v>143</v>
      </c>
      <c r="D291">
        <v>10803700</v>
      </c>
      <c r="E291">
        <v>4</v>
      </c>
      <c r="F291" t="s">
        <v>35</v>
      </c>
      <c r="G291" s="10">
        <v>45887</v>
      </c>
      <c r="H291" t="s">
        <v>36</v>
      </c>
      <c r="I291" t="s">
        <v>37</v>
      </c>
      <c r="J291" t="s">
        <v>38</v>
      </c>
      <c r="K291" t="s">
        <v>98</v>
      </c>
      <c r="L291" t="s">
        <v>39</v>
      </c>
      <c r="M291">
        <v>1</v>
      </c>
      <c r="P291">
        <v>0</v>
      </c>
      <c r="Q291">
        <v>4</v>
      </c>
      <c r="S291" t="s">
        <v>40</v>
      </c>
      <c r="T291" s="10">
        <v>45880</v>
      </c>
      <c r="U291" t="s">
        <v>40</v>
      </c>
      <c r="V291" s="25">
        <v>45880</v>
      </c>
      <c r="W291">
        <v>1</v>
      </c>
      <c r="Y291" t="s">
        <v>41</v>
      </c>
      <c r="AG291" t="s">
        <v>142</v>
      </c>
      <c r="AJ291" t="s">
        <v>635</v>
      </c>
    </row>
    <row r="292" spans="1:36" x14ac:dyDescent="0.25">
      <c r="A292">
        <v>3</v>
      </c>
      <c r="B292">
        <v>5000005059</v>
      </c>
      <c r="C292" t="s">
        <v>153</v>
      </c>
      <c r="D292">
        <v>10803700</v>
      </c>
      <c r="E292">
        <v>5</v>
      </c>
      <c r="F292" t="s">
        <v>93</v>
      </c>
      <c r="G292" s="10">
        <v>45887</v>
      </c>
      <c r="H292" t="s">
        <v>36</v>
      </c>
      <c r="I292" t="s">
        <v>37</v>
      </c>
      <c r="J292" t="s">
        <v>38</v>
      </c>
      <c r="K292" t="s">
        <v>98</v>
      </c>
      <c r="L292" t="s">
        <v>39</v>
      </c>
      <c r="M292">
        <v>1</v>
      </c>
      <c r="P292">
        <v>0</v>
      </c>
      <c r="Q292">
        <v>5</v>
      </c>
      <c r="S292" t="s">
        <v>40</v>
      </c>
      <c r="T292" s="10">
        <v>45880</v>
      </c>
      <c r="U292" t="s">
        <v>40</v>
      </c>
      <c r="V292" s="25">
        <v>45880</v>
      </c>
      <c r="W292">
        <v>1</v>
      </c>
      <c r="Y292" t="s">
        <v>41</v>
      </c>
      <c r="AG292" t="s">
        <v>142</v>
      </c>
      <c r="AJ292" t="s">
        <v>634</v>
      </c>
    </row>
    <row r="293" spans="1:36" x14ac:dyDescent="0.25">
      <c r="A293">
        <v>4</v>
      </c>
      <c r="B293">
        <v>5000004248</v>
      </c>
      <c r="C293" t="s">
        <v>155</v>
      </c>
      <c r="D293">
        <v>10803700</v>
      </c>
      <c r="E293">
        <v>5</v>
      </c>
      <c r="F293" t="s">
        <v>93</v>
      </c>
      <c r="G293" s="10">
        <v>45887</v>
      </c>
      <c r="H293" t="s">
        <v>36</v>
      </c>
      <c r="I293" t="s">
        <v>37</v>
      </c>
      <c r="J293" t="s">
        <v>38</v>
      </c>
      <c r="K293" t="s">
        <v>98</v>
      </c>
      <c r="L293" t="s">
        <v>39</v>
      </c>
      <c r="M293">
        <v>1</v>
      </c>
      <c r="P293">
        <v>0</v>
      </c>
      <c r="Q293">
        <v>5</v>
      </c>
      <c r="S293" t="s">
        <v>40</v>
      </c>
      <c r="T293" s="10">
        <v>45880</v>
      </c>
      <c r="U293" t="s">
        <v>40</v>
      </c>
      <c r="V293" s="25">
        <v>45880</v>
      </c>
      <c r="W293">
        <v>1</v>
      </c>
      <c r="Y293" t="s">
        <v>41</v>
      </c>
      <c r="AG293" t="s">
        <v>142</v>
      </c>
      <c r="AJ293" t="s">
        <v>634</v>
      </c>
    </row>
    <row r="294" spans="1:36" x14ac:dyDescent="0.25">
      <c r="A294">
        <v>5</v>
      </c>
      <c r="B294">
        <v>5000012021</v>
      </c>
      <c r="C294" t="s">
        <v>188</v>
      </c>
      <c r="D294">
        <v>10803700</v>
      </c>
      <c r="E294">
        <v>5</v>
      </c>
      <c r="F294" t="s">
        <v>93</v>
      </c>
      <c r="G294" s="10">
        <v>45887</v>
      </c>
      <c r="H294" t="s">
        <v>36</v>
      </c>
      <c r="I294" t="s">
        <v>37</v>
      </c>
      <c r="J294" t="s">
        <v>38</v>
      </c>
      <c r="K294" t="s">
        <v>98</v>
      </c>
      <c r="L294" t="s">
        <v>39</v>
      </c>
      <c r="M294">
        <v>1</v>
      </c>
      <c r="P294">
        <v>0</v>
      </c>
      <c r="Q294">
        <v>5</v>
      </c>
      <c r="S294" t="s">
        <v>40</v>
      </c>
      <c r="T294" s="10">
        <v>45880</v>
      </c>
      <c r="U294" t="s">
        <v>40</v>
      </c>
      <c r="V294" s="25">
        <v>45880</v>
      </c>
      <c r="W294">
        <v>1</v>
      </c>
      <c r="Y294" t="s">
        <v>41</v>
      </c>
      <c r="AG294" t="s">
        <v>142</v>
      </c>
      <c r="AJ294" t="s">
        <v>634</v>
      </c>
    </row>
    <row r="295" spans="1:36" x14ac:dyDescent="0.25">
      <c r="A295">
        <v>6</v>
      </c>
      <c r="B295">
        <v>5000016428</v>
      </c>
      <c r="C295" t="s">
        <v>157</v>
      </c>
      <c r="D295">
        <v>10803700</v>
      </c>
      <c r="E295">
        <v>1</v>
      </c>
      <c r="F295" t="s">
        <v>35</v>
      </c>
      <c r="G295" s="10">
        <v>45887</v>
      </c>
      <c r="H295" t="s">
        <v>36</v>
      </c>
      <c r="I295" t="s">
        <v>37</v>
      </c>
      <c r="J295" t="s">
        <v>38</v>
      </c>
      <c r="K295" t="s">
        <v>98</v>
      </c>
      <c r="L295" t="s">
        <v>39</v>
      </c>
      <c r="M295">
        <v>1</v>
      </c>
      <c r="P295">
        <v>0</v>
      </c>
      <c r="Q295">
        <v>1</v>
      </c>
      <c r="S295" t="s">
        <v>40</v>
      </c>
      <c r="T295" s="10">
        <v>45880</v>
      </c>
      <c r="W295">
        <v>1</v>
      </c>
      <c r="Y295" t="s">
        <v>41</v>
      </c>
      <c r="AG295" t="s">
        <v>142</v>
      </c>
      <c r="AJ295" t="s">
        <v>636</v>
      </c>
    </row>
    <row r="296" spans="1:36" x14ac:dyDescent="0.25">
      <c r="A296">
        <v>1</v>
      </c>
      <c r="B296">
        <v>5000017216</v>
      </c>
      <c r="C296" t="s">
        <v>183</v>
      </c>
      <c r="D296">
        <v>10803749</v>
      </c>
      <c r="E296">
        <v>1</v>
      </c>
      <c r="F296" t="s">
        <v>35</v>
      </c>
      <c r="G296" s="10">
        <v>45888</v>
      </c>
      <c r="H296" t="s">
        <v>36</v>
      </c>
      <c r="I296" t="s">
        <v>37</v>
      </c>
      <c r="J296" t="s">
        <v>38</v>
      </c>
      <c r="K296" t="s">
        <v>98</v>
      </c>
      <c r="L296" t="s">
        <v>39</v>
      </c>
      <c r="M296">
        <v>0</v>
      </c>
      <c r="P296">
        <v>1</v>
      </c>
      <c r="Q296">
        <v>0</v>
      </c>
      <c r="S296" t="s">
        <v>40</v>
      </c>
      <c r="T296" s="10">
        <v>45881</v>
      </c>
      <c r="W296">
        <v>1</v>
      </c>
      <c r="Y296" t="s">
        <v>41</v>
      </c>
      <c r="AG296" t="s">
        <v>142</v>
      </c>
      <c r="AJ296" t="s">
        <v>637</v>
      </c>
    </row>
    <row r="297" spans="1:36" x14ac:dyDescent="0.25">
      <c r="A297">
        <v>1</v>
      </c>
      <c r="B297">
        <v>5000008929</v>
      </c>
      <c r="C297" t="s">
        <v>100</v>
      </c>
      <c r="D297">
        <v>10803813</v>
      </c>
      <c r="E297">
        <v>2</v>
      </c>
      <c r="F297" t="s">
        <v>93</v>
      </c>
      <c r="G297" s="10">
        <v>45894</v>
      </c>
      <c r="H297" t="s">
        <v>36</v>
      </c>
      <c r="I297" t="s">
        <v>37</v>
      </c>
      <c r="J297" t="s">
        <v>38</v>
      </c>
      <c r="K297" t="s">
        <v>98</v>
      </c>
      <c r="L297" t="s">
        <v>39</v>
      </c>
      <c r="M297">
        <v>0</v>
      </c>
      <c r="P297">
        <v>2</v>
      </c>
      <c r="Q297">
        <v>0</v>
      </c>
      <c r="S297" t="s">
        <v>40</v>
      </c>
      <c r="T297" s="10">
        <v>45887</v>
      </c>
      <c r="W297">
        <v>1</v>
      </c>
      <c r="Y297" t="s">
        <v>41</v>
      </c>
      <c r="AG297" t="s">
        <v>142</v>
      </c>
      <c r="AJ297" t="s">
        <v>644</v>
      </c>
    </row>
    <row r="298" spans="1:36" x14ac:dyDescent="0.25">
      <c r="A298">
        <v>2</v>
      </c>
      <c r="B298">
        <v>5000005340</v>
      </c>
      <c r="C298" t="s">
        <v>199</v>
      </c>
      <c r="D298">
        <v>10803813</v>
      </c>
      <c r="E298">
        <v>3</v>
      </c>
      <c r="F298" t="s">
        <v>35</v>
      </c>
      <c r="G298" s="10">
        <v>45894</v>
      </c>
      <c r="H298" t="s">
        <v>36</v>
      </c>
      <c r="I298" t="s">
        <v>37</v>
      </c>
      <c r="J298" t="s">
        <v>38</v>
      </c>
      <c r="K298" t="s">
        <v>98</v>
      </c>
      <c r="L298" t="s">
        <v>39</v>
      </c>
      <c r="M298">
        <v>0</v>
      </c>
      <c r="P298">
        <v>3</v>
      </c>
      <c r="Q298">
        <v>0</v>
      </c>
      <c r="S298" t="s">
        <v>40</v>
      </c>
      <c r="T298" s="10">
        <v>45887</v>
      </c>
      <c r="W298">
        <v>1</v>
      </c>
      <c r="Y298" t="s">
        <v>41</v>
      </c>
      <c r="AG298" t="s">
        <v>142</v>
      </c>
      <c r="AJ298" t="s">
        <v>645</v>
      </c>
    </row>
    <row r="299" spans="1:36" x14ac:dyDescent="0.25">
      <c r="A299">
        <v>1</v>
      </c>
      <c r="B299">
        <v>5000016930</v>
      </c>
      <c r="C299" t="s">
        <v>203</v>
      </c>
      <c r="D299">
        <v>10803848</v>
      </c>
      <c r="E299">
        <v>1</v>
      </c>
      <c r="F299" t="s">
        <v>93</v>
      </c>
      <c r="G299" s="10">
        <v>45896</v>
      </c>
      <c r="H299" t="s">
        <v>36</v>
      </c>
      <c r="I299" t="s">
        <v>37</v>
      </c>
      <c r="J299" t="s">
        <v>38</v>
      </c>
      <c r="K299" t="s">
        <v>98</v>
      </c>
      <c r="L299" t="s">
        <v>39</v>
      </c>
      <c r="M299">
        <v>0</v>
      </c>
      <c r="P299">
        <v>1</v>
      </c>
      <c r="Q299">
        <v>0</v>
      </c>
      <c r="S299" t="s">
        <v>40</v>
      </c>
      <c r="T299" s="10">
        <v>45889</v>
      </c>
      <c r="V299" s="25"/>
      <c r="W299">
        <v>1</v>
      </c>
      <c r="Y299" t="s">
        <v>41</v>
      </c>
      <c r="AG299" t="s">
        <v>142</v>
      </c>
      <c r="AJ299" t="s">
        <v>646</v>
      </c>
    </row>
    <row r="300" spans="1:36" x14ac:dyDescent="0.25">
      <c r="A300">
        <v>1</v>
      </c>
      <c r="B300">
        <v>5000017216</v>
      </c>
      <c r="C300" t="s">
        <v>183</v>
      </c>
      <c r="D300">
        <v>10803873</v>
      </c>
      <c r="E300">
        <v>1</v>
      </c>
      <c r="F300" t="s">
        <v>35</v>
      </c>
      <c r="G300" s="10">
        <v>45897</v>
      </c>
      <c r="H300" t="s">
        <v>36</v>
      </c>
      <c r="I300" t="s">
        <v>37</v>
      </c>
      <c r="J300" t="s">
        <v>38</v>
      </c>
      <c r="K300" t="s">
        <v>98</v>
      </c>
      <c r="L300" t="s">
        <v>39</v>
      </c>
      <c r="M300">
        <v>1</v>
      </c>
      <c r="P300">
        <v>0</v>
      </c>
      <c r="Q300">
        <v>1</v>
      </c>
      <c r="S300" t="s">
        <v>40</v>
      </c>
      <c r="T300" s="10">
        <v>45890</v>
      </c>
      <c r="W300">
        <v>1</v>
      </c>
      <c r="Y300" t="s">
        <v>41</v>
      </c>
      <c r="AG300" t="s">
        <v>142</v>
      </c>
      <c r="AJ300" t="s">
        <v>647</v>
      </c>
    </row>
    <row r="301" spans="1:36" x14ac:dyDescent="0.25">
      <c r="A301">
        <v>5</v>
      </c>
      <c r="B301">
        <v>5000012021</v>
      </c>
      <c r="C301" t="s">
        <v>188</v>
      </c>
      <c r="D301">
        <v>10803873</v>
      </c>
      <c r="E301">
        <v>1</v>
      </c>
      <c r="F301" t="s">
        <v>93</v>
      </c>
      <c r="G301" s="10">
        <v>45897</v>
      </c>
      <c r="H301" t="s">
        <v>36</v>
      </c>
      <c r="I301" t="s">
        <v>37</v>
      </c>
      <c r="J301" t="s">
        <v>38</v>
      </c>
      <c r="K301" t="s">
        <v>98</v>
      </c>
      <c r="L301" t="s">
        <v>39</v>
      </c>
      <c r="M301">
        <v>1</v>
      </c>
      <c r="P301">
        <v>0</v>
      </c>
      <c r="Q301">
        <v>1</v>
      </c>
      <c r="S301" t="s">
        <v>40</v>
      </c>
      <c r="T301" s="10">
        <v>45890</v>
      </c>
      <c r="V301" s="25"/>
      <c r="W301">
        <v>1</v>
      </c>
      <c r="Y301" t="s">
        <v>41</v>
      </c>
      <c r="AG301" t="s">
        <v>142</v>
      </c>
      <c r="AJ301" t="s">
        <v>648</v>
      </c>
    </row>
    <row r="302" spans="1:36" x14ac:dyDescent="0.25">
      <c r="A302">
        <v>4</v>
      </c>
      <c r="B302">
        <v>5000004248</v>
      </c>
      <c r="C302" t="s">
        <v>155</v>
      </c>
      <c r="D302">
        <v>10803873</v>
      </c>
      <c r="E302">
        <v>1</v>
      </c>
      <c r="F302" t="s">
        <v>93</v>
      </c>
      <c r="G302" s="10">
        <v>45897</v>
      </c>
      <c r="H302" t="s">
        <v>36</v>
      </c>
      <c r="I302" t="s">
        <v>37</v>
      </c>
      <c r="J302" t="s">
        <v>38</v>
      </c>
      <c r="K302" t="s">
        <v>98</v>
      </c>
      <c r="L302" t="s">
        <v>39</v>
      </c>
      <c r="M302">
        <v>1</v>
      </c>
      <c r="P302">
        <v>0</v>
      </c>
      <c r="Q302">
        <v>1</v>
      </c>
      <c r="S302" t="s">
        <v>40</v>
      </c>
      <c r="T302" s="10">
        <v>45890</v>
      </c>
      <c r="W302">
        <v>1</v>
      </c>
      <c r="Y302" t="s">
        <v>41</v>
      </c>
      <c r="AG302" t="s">
        <v>142</v>
      </c>
      <c r="AJ302" t="s">
        <v>647</v>
      </c>
    </row>
    <row r="303" spans="1:36" x14ac:dyDescent="0.25">
      <c r="A303">
        <v>3</v>
      </c>
      <c r="B303">
        <v>5000005059</v>
      </c>
      <c r="C303" t="s">
        <v>153</v>
      </c>
      <c r="D303">
        <v>10803873</v>
      </c>
      <c r="E303">
        <v>1</v>
      </c>
      <c r="F303" t="s">
        <v>93</v>
      </c>
      <c r="G303" s="10">
        <v>45897</v>
      </c>
      <c r="H303" t="s">
        <v>36</v>
      </c>
      <c r="I303" t="s">
        <v>37</v>
      </c>
      <c r="J303" t="s">
        <v>38</v>
      </c>
      <c r="K303" t="s">
        <v>98</v>
      </c>
      <c r="L303" t="s">
        <v>39</v>
      </c>
      <c r="M303">
        <v>1</v>
      </c>
      <c r="P303">
        <v>0</v>
      </c>
      <c r="Q303">
        <v>1</v>
      </c>
      <c r="S303" t="s">
        <v>40</v>
      </c>
      <c r="T303" s="10">
        <v>45890</v>
      </c>
      <c r="W303">
        <v>1</v>
      </c>
      <c r="Y303" t="s">
        <v>41</v>
      </c>
      <c r="AG303" t="s">
        <v>142</v>
      </c>
      <c r="AJ303" t="s">
        <v>647</v>
      </c>
    </row>
    <row r="304" spans="1:36" x14ac:dyDescent="0.25">
      <c r="A304">
        <v>2</v>
      </c>
      <c r="B304">
        <v>5000016583</v>
      </c>
      <c r="C304" t="s">
        <v>324</v>
      </c>
      <c r="D304">
        <v>10803873</v>
      </c>
      <c r="E304">
        <v>1</v>
      </c>
      <c r="F304" t="s">
        <v>35</v>
      </c>
      <c r="G304" s="10">
        <v>45897</v>
      </c>
      <c r="H304" t="s">
        <v>36</v>
      </c>
      <c r="I304" t="s">
        <v>37</v>
      </c>
      <c r="J304" t="s">
        <v>38</v>
      </c>
      <c r="K304" t="s">
        <v>98</v>
      </c>
      <c r="L304" t="s">
        <v>39</v>
      </c>
      <c r="M304">
        <v>1</v>
      </c>
      <c r="P304">
        <v>0</v>
      </c>
      <c r="Q304">
        <v>1</v>
      </c>
      <c r="S304" t="s">
        <v>40</v>
      </c>
      <c r="T304" s="10">
        <v>45890</v>
      </c>
      <c r="W304">
        <v>1</v>
      </c>
      <c r="Y304" t="s">
        <v>41</v>
      </c>
      <c r="AG304" t="s">
        <v>142</v>
      </c>
      <c r="AJ304" t="s">
        <v>649</v>
      </c>
    </row>
    <row r="305" spans="1:36" x14ac:dyDescent="0.25">
      <c r="A305">
        <v>1</v>
      </c>
      <c r="B305">
        <v>5000016255</v>
      </c>
      <c r="C305" t="s">
        <v>110</v>
      </c>
      <c r="D305">
        <v>10803894</v>
      </c>
      <c r="E305">
        <v>2</v>
      </c>
      <c r="F305" t="s">
        <v>93</v>
      </c>
      <c r="G305" s="10">
        <v>45899</v>
      </c>
      <c r="H305" t="s">
        <v>36</v>
      </c>
      <c r="I305" t="s">
        <v>37</v>
      </c>
      <c r="J305" t="s">
        <v>38</v>
      </c>
      <c r="K305" t="s">
        <v>98</v>
      </c>
      <c r="L305" t="s">
        <v>39</v>
      </c>
      <c r="M305">
        <v>1</v>
      </c>
      <c r="P305">
        <v>0</v>
      </c>
      <c r="Q305">
        <v>2</v>
      </c>
      <c r="S305" t="s">
        <v>40</v>
      </c>
      <c r="T305" s="10">
        <v>45892</v>
      </c>
      <c r="W305">
        <v>1</v>
      </c>
      <c r="Y305" t="s">
        <v>41</v>
      </c>
      <c r="AG305" t="s">
        <v>142</v>
      </c>
      <c r="AJ305" t="s">
        <v>650</v>
      </c>
    </row>
    <row r="306" spans="1:36" x14ac:dyDescent="0.25">
      <c r="A306">
        <v>2</v>
      </c>
      <c r="B306">
        <v>5000015919</v>
      </c>
      <c r="C306" t="s">
        <v>425</v>
      </c>
      <c r="D306">
        <v>10803894</v>
      </c>
      <c r="E306">
        <v>1</v>
      </c>
      <c r="F306" t="s">
        <v>35</v>
      </c>
      <c r="G306" s="10">
        <v>45899</v>
      </c>
      <c r="H306" t="s">
        <v>36</v>
      </c>
      <c r="I306" t="s">
        <v>37</v>
      </c>
      <c r="J306" t="s">
        <v>38</v>
      </c>
      <c r="K306" t="s">
        <v>98</v>
      </c>
      <c r="L306" t="s">
        <v>39</v>
      </c>
      <c r="M306">
        <v>1</v>
      </c>
      <c r="P306">
        <v>0</v>
      </c>
      <c r="Q306">
        <v>1</v>
      </c>
      <c r="S306" t="s">
        <v>40</v>
      </c>
      <c r="T306" s="10">
        <v>45892</v>
      </c>
      <c r="W306">
        <v>1</v>
      </c>
      <c r="Y306" t="s">
        <v>41</v>
      </c>
      <c r="AG306" t="s">
        <v>142</v>
      </c>
      <c r="AJ306" t="s">
        <v>651</v>
      </c>
    </row>
    <row r="307" spans="1:36" x14ac:dyDescent="0.25">
      <c r="A307">
        <v>3</v>
      </c>
      <c r="B307">
        <v>5000015970</v>
      </c>
      <c r="C307" t="s">
        <v>427</v>
      </c>
      <c r="D307">
        <v>10803894</v>
      </c>
      <c r="E307">
        <v>1</v>
      </c>
      <c r="F307" t="s">
        <v>35</v>
      </c>
      <c r="G307" s="10">
        <v>45899</v>
      </c>
      <c r="H307" t="s">
        <v>36</v>
      </c>
      <c r="I307" t="s">
        <v>37</v>
      </c>
      <c r="J307" t="s">
        <v>38</v>
      </c>
      <c r="K307" t="s">
        <v>98</v>
      </c>
      <c r="L307" t="s">
        <v>39</v>
      </c>
      <c r="M307">
        <v>1</v>
      </c>
      <c r="P307">
        <v>0</v>
      </c>
      <c r="Q307">
        <v>1</v>
      </c>
      <c r="S307" t="s">
        <v>40</v>
      </c>
      <c r="T307" s="10">
        <v>45892</v>
      </c>
      <c r="W307">
        <v>1</v>
      </c>
      <c r="Y307" t="s">
        <v>41</v>
      </c>
      <c r="AG307" t="s">
        <v>142</v>
      </c>
      <c r="AJ307" t="s">
        <v>652</v>
      </c>
    </row>
    <row r="308" spans="1:36" x14ac:dyDescent="0.25">
      <c r="A308">
        <v>1</v>
      </c>
      <c r="B308">
        <v>5000017216</v>
      </c>
      <c r="C308" t="s">
        <v>183</v>
      </c>
      <c r="D308">
        <v>10803933</v>
      </c>
      <c r="E308">
        <v>1</v>
      </c>
      <c r="F308" t="s">
        <v>35</v>
      </c>
      <c r="G308" s="10">
        <v>45902</v>
      </c>
      <c r="H308" t="s">
        <v>36</v>
      </c>
      <c r="I308" t="s">
        <v>37</v>
      </c>
      <c r="J308" t="s">
        <v>38</v>
      </c>
      <c r="K308" t="s">
        <v>98</v>
      </c>
      <c r="L308" t="s">
        <v>39</v>
      </c>
      <c r="M308">
        <v>1</v>
      </c>
      <c r="P308">
        <v>-1</v>
      </c>
      <c r="Q308">
        <v>2</v>
      </c>
      <c r="S308" t="s">
        <v>40</v>
      </c>
      <c r="T308" s="10">
        <v>45895</v>
      </c>
      <c r="W308">
        <v>1</v>
      </c>
      <c r="Y308" t="s">
        <v>41</v>
      </c>
      <c r="AG308" t="s">
        <v>142</v>
      </c>
      <c r="AJ308" t="s">
        <v>653</v>
      </c>
    </row>
    <row r="309" spans="1:36" x14ac:dyDescent="0.25">
      <c r="A309">
        <v>2</v>
      </c>
      <c r="B309">
        <v>5000012006</v>
      </c>
      <c r="C309" t="s">
        <v>328</v>
      </c>
      <c r="D309">
        <v>10803933</v>
      </c>
      <c r="E309">
        <v>1</v>
      </c>
      <c r="F309" t="s">
        <v>35</v>
      </c>
      <c r="G309" s="10">
        <v>45902</v>
      </c>
      <c r="H309" t="s">
        <v>36</v>
      </c>
      <c r="I309" t="s">
        <v>37</v>
      </c>
      <c r="J309" t="s">
        <v>38</v>
      </c>
      <c r="K309" t="s">
        <v>98</v>
      </c>
      <c r="L309" t="s">
        <v>39</v>
      </c>
      <c r="M309">
        <v>1</v>
      </c>
      <c r="P309">
        <v>-1</v>
      </c>
      <c r="Q309">
        <v>2</v>
      </c>
      <c r="S309" t="s">
        <v>40</v>
      </c>
      <c r="T309" s="10">
        <v>45895</v>
      </c>
      <c r="W309">
        <v>1</v>
      </c>
      <c r="Y309" t="s">
        <v>41</v>
      </c>
      <c r="AG309" t="s">
        <v>142</v>
      </c>
      <c r="AJ309" t="s">
        <v>654</v>
      </c>
    </row>
    <row r="310" spans="1:36" x14ac:dyDescent="0.25">
      <c r="A310">
        <v>6</v>
      </c>
      <c r="B310">
        <v>5000014291</v>
      </c>
      <c r="C310" t="s">
        <v>406</v>
      </c>
      <c r="D310">
        <v>10803933</v>
      </c>
      <c r="E310">
        <v>1</v>
      </c>
      <c r="F310" t="s">
        <v>296</v>
      </c>
      <c r="G310" s="10">
        <v>45902</v>
      </c>
      <c r="H310" t="s">
        <v>36</v>
      </c>
      <c r="I310" t="s">
        <v>37</v>
      </c>
      <c r="J310" t="s">
        <v>38</v>
      </c>
      <c r="K310" t="s">
        <v>98</v>
      </c>
      <c r="L310" t="s">
        <v>39</v>
      </c>
      <c r="M310">
        <v>1</v>
      </c>
      <c r="P310">
        <v>0</v>
      </c>
      <c r="Q310">
        <v>1</v>
      </c>
      <c r="S310" t="s">
        <v>40</v>
      </c>
      <c r="T310" s="10">
        <v>45895</v>
      </c>
      <c r="W310">
        <v>1</v>
      </c>
      <c r="Y310" t="s">
        <v>41</v>
      </c>
      <c r="AG310" t="s">
        <v>142</v>
      </c>
      <c r="AJ310" t="s">
        <v>655</v>
      </c>
    </row>
    <row r="311" spans="1:36" x14ac:dyDescent="0.25">
      <c r="A311">
        <v>5</v>
      </c>
      <c r="B311">
        <v>5000011960</v>
      </c>
      <c r="C311" t="s">
        <v>478</v>
      </c>
      <c r="D311">
        <v>10803933</v>
      </c>
      <c r="E311">
        <v>1</v>
      </c>
      <c r="F311" t="s">
        <v>93</v>
      </c>
      <c r="G311" s="10">
        <v>45902</v>
      </c>
      <c r="H311" t="s">
        <v>36</v>
      </c>
      <c r="I311" t="s">
        <v>37</v>
      </c>
      <c r="J311" t="s">
        <v>38</v>
      </c>
      <c r="K311" t="s">
        <v>98</v>
      </c>
      <c r="L311" t="s">
        <v>39</v>
      </c>
      <c r="M311">
        <v>1</v>
      </c>
      <c r="P311">
        <v>-2</v>
      </c>
      <c r="Q311">
        <v>3</v>
      </c>
      <c r="S311" t="s">
        <v>40</v>
      </c>
      <c r="T311" s="10">
        <v>45895</v>
      </c>
      <c r="W311">
        <v>1</v>
      </c>
      <c r="Y311" t="s">
        <v>41</v>
      </c>
      <c r="AG311" t="s">
        <v>142</v>
      </c>
      <c r="AJ311" t="s">
        <v>656</v>
      </c>
    </row>
    <row r="312" spans="1:36" x14ac:dyDescent="0.25">
      <c r="A312">
        <v>4</v>
      </c>
      <c r="B312">
        <v>5000017856</v>
      </c>
      <c r="C312" t="s">
        <v>566</v>
      </c>
      <c r="D312">
        <v>10803933</v>
      </c>
      <c r="E312">
        <v>1</v>
      </c>
      <c r="F312" t="s">
        <v>35</v>
      </c>
      <c r="G312" s="10">
        <v>45902</v>
      </c>
      <c r="H312" t="s">
        <v>36</v>
      </c>
      <c r="I312" t="s">
        <v>37</v>
      </c>
      <c r="J312" t="s">
        <v>38</v>
      </c>
      <c r="K312" t="s">
        <v>98</v>
      </c>
      <c r="L312" t="s">
        <v>39</v>
      </c>
      <c r="M312">
        <v>1</v>
      </c>
      <c r="P312">
        <v>-2</v>
      </c>
      <c r="Q312">
        <v>3</v>
      </c>
      <c r="S312" t="s">
        <v>40</v>
      </c>
      <c r="T312" s="10">
        <v>45895</v>
      </c>
      <c r="W312">
        <v>1</v>
      </c>
      <c r="Y312" t="s">
        <v>41</v>
      </c>
      <c r="AG312" t="s">
        <v>142</v>
      </c>
      <c r="AJ312" t="s">
        <v>657</v>
      </c>
    </row>
    <row r="313" spans="1:36" x14ac:dyDescent="0.25">
      <c r="A313">
        <v>3</v>
      </c>
      <c r="B313">
        <v>5000012021</v>
      </c>
      <c r="C313" t="s">
        <v>188</v>
      </c>
      <c r="D313">
        <v>10803933</v>
      </c>
      <c r="E313">
        <v>1</v>
      </c>
      <c r="F313" t="s">
        <v>93</v>
      </c>
      <c r="G313" s="10">
        <v>45902</v>
      </c>
      <c r="H313" t="s">
        <v>36</v>
      </c>
      <c r="I313" t="s">
        <v>37</v>
      </c>
      <c r="J313" t="s">
        <v>38</v>
      </c>
      <c r="K313" t="s">
        <v>98</v>
      </c>
      <c r="L313" t="s">
        <v>39</v>
      </c>
      <c r="M313">
        <v>0</v>
      </c>
      <c r="P313">
        <v>1</v>
      </c>
      <c r="Q313">
        <v>0</v>
      </c>
      <c r="S313" t="s">
        <v>40</v>
      </c>
      <c r="T313" s="10">
        <v>45895</v>
      </c>
      <c r="W313">
        <v>1</v>
      </c>
      <c r="Y313" t="s">
        <v>41</v>
      </c>
      <c r="AG313" t="s">
        <v>142</v>
      </c>
      <c r="AJ313" t="s">
        <v>658</v>
      </c>
    </row>
    <row r="314" spans="1:36" x14ac:dyDescent="0.25">
      <c r="A314">
        <v>1</v>
      </c>
      <c r="B314">
        <v>5000005340</v>
      </c>
      <c r="C314" t="s">
        <v>199</v>
      </c>
      <c r="D314">
        <v>10803973</v>
      </c>
      <c r="E314">
        <v>1</v>
      </c>
      <c r="F314" t="s">
        <v>35</v>
      </c>
      <c r="G314" s="10">
        <v>45903</v>
      </c>
      <c r="H314" t="s">
        <v>36</v>
      </c>
      <c r="I314" t="s">
        <v>37</v>
      </c>
      <c r="J314" t="s">
        <v>38</v>
      </c>
      <c r="K314" t="s">
        <v>98</v>
      </c>
      <c r="L314" t="s">
        <v>39</v>
      </c>
      <c r="M314">
        <v>1</v>
      </c>
      <c r="P314">
        <v>0</v>
      </c>
      <c r="Q314">
        <v>1</v>
      </c>
      <c r="S314" t="s">
        <v>40</v>
      </c>
      <c r="T314" s="10">
        <v>45896</v>
      </c>
      <c r="W314">
        <v>1</v>
      </c>
      <c r="Y314" t="s">
        <v>41</v>
      </c>
      <c r="AG314" t="s">
        <v>142</v>
      </c>
      <c r="AJ314" t="s">
        <v>659</v>
      </c>
    </row>
    <row r="315" spans="1:36" x14ac:dyDescent="0.25">
      <c r="A315">
        <v>1</v>
      </c>
      <c r="B315">
        <v>5000016728</v>
      </c>
      <c r="C315" t="s">
        <v>146</v>
      </c>
      <c r="D315">
        <v>10804012</v>
      </c>
      <c r="E315">
        <v>1</v>
      </c>
      <c r="F315" t="s">
        <v>35</v>
      </c>
      <c r="G315" s="10">
        <v>45905</v>
      </c>
      <c r="H315" t="s">
        <v>36</v>
      </c>
      <c r="I315" t="s">
        <v>37</v>
      </c>
      <c r="J315" t="s">
        <v>38</v>
      </c>
      <c r="K315" t="s">
        <v>98</v>
      </c>
      <c r="L315" t="s">
        <v>39</v>
      </c>
      <c r="M315">
        <v>0</v>
      </c>
      <c r="P315">
        <v>1</v>
      </c>
      <c r="Q315">
        <v>0</v>
      </c>
      <c r="S315" t="s">
        <v>40</v>
      </c>
      <c r="T315" s="10">
        <v>45898</v>
      </c>
      <c r="U315" t="s">
        <v>40</v>
      </c>
      <c r="V315" s="25">
        <v>45898</v>
      </c>
      <c r="W315">
        <v>1</v>
      </c>
      <c r="Y315" t="s">
        <v>41</v>
      </c>
      <c r="AG315" t="s">
        <v>142</v>
      </c>
      <c r="AJ315" t="s">
        <v>662</v>
      </c>
    </row>
    <row r="316" spans="1:36" x14ac:dyDescent="0.25">
      <c r="A316">
        <v>2</v>
      </c>
      <c r="B316">
        <v>5000017927</v>
      </c>
      <c r="C316" t="s">
        <v>666</v>
      </c>
      <c r="D316">
        <v>10804012</v>
      </c>
      <c r="E316">
        <v>1</v>
      </c>
      <c r="F316" t="s">
        <v>93</v>
      </c>
      <c r="G316" s="10">
        <v>45905</v>
      </c>
      <c r="H316" t="s">
        <v>36</v>
      </c>
      <c r="I316" t="s">
        <v>37</v>
      </c>
      <c r="J316" t="s">
        <v>38</v>
      </c>
      <c r="K316" t="s">
        <v>98</v>
      </c>
      <c r="L316" t="s">
        <v>39</v>
      </c>
      <c r="M316">
        <v>0</v>
      </c>
      <c r="P316">
        <v>1</v>
      </c>
      <c r="Q316">
        <v>0</v>
      </c>
      <c r="S316" t="s">
        <v>40</v>
      </c>
      <c r="T316" s="10">
        <v>45898</v>
      </c>
      <c r="U316" t="s">
        <v>40</v>
      </c>
      <c r="V316" s="25">
        <v>45898</v>
      </c>
      <c r="W316">
        <v>1</v>
      </c>
      <c r="Y316" t="s">
        <v>41</v>
      </c>
      <c r="AG316" t="s">
        <v>142</v>
      </c>
      <c r="AJ316" t="s">
        <v>667</v>
      </c>
    </row>
    <row r="317" spans="1:36" x14ac:dyDescent="0.25">
      <c r="A317">
        <v>3</v>
      </c>
      <c r="B317">
        <v>5000017216</v>
      </c>
      <c r="C317" t="s">
        <v>183</v>
      </c>
      <c r="D317">
        <v>10804012</v>
      </c>
      <c r="E317">
        <v>1</v>
      </c>
      <c r="F317" t="s">
        <v>35</v>
      </c>
      <c r="G317" s="10">
        <v>45905</v>
      </c>
      <c r="H317" t="s">
        <v>36</v>
      </c>
      <c r="I317" t="s">
        <v>37</v>
      </c>
      <c r="J317" t="s">
        <v>38</v>
      </c>
      <c r="K317" t="s">
        <v>98</v>
      </c>
      <c r="L317" t="s">
        <v>39</v>
      </c>
      <c r="M317">
        <v>0</v>
      </c>
      <c r="P317">
        <v>1</v>
      </c>
      <c r="Q317">
        <v>0</v>
      </c>
      <c r="S317" t="s">
        <v>40</v>
      </c>
      <c r="T317" s="10">
        <v>45898</v>
      </c>
      <c r="W317">
        <v>1</v>
      </c>
      <c r="Y317" t="s">
        <v>41</v>
      </c>
      <c r="AG317" t="s">
        <v>142</v>
      </c>
      <c r="AJ317" t="s">
        <v>664</v>
      </c>
    </row>
    <row r="318" spans="1:36" x14ac:dyDescent="0.25">
      <c r="A318">
        <v>4</v>
      </c>
      <c r="B318">
        <v>5000016308</v>
      </c>
      <c r="C318" t="s">
        <v>143</v>
      </c>
      <c r="D318">
        <v>10804012</v>
      </c>
      <c r="E318">
        <v>1</v>
      </c>
      <c r="F318" t="s">
        <v>35</v>
      </c>
      <c r="G318" s="10">
        <v>45905</v>
      </c>
      <c r="H318" t="s">
        <v>36</v>
      </c>
      <c r="I318" t="s">
        <v>37</v>
      </c>
      <c r="J318" t="s">
        <v>38</v>
      </c>
      <c r="K318" t="s">
        <v>98</v>
      </c>
      <c r="L318" t="s">
        <v>39</v>
      </c>
      <c r="M318">
        <v>0</v>
      </c>
      <c r="P318">
        <v>1</v>
      </c>
      <c r="Q318">
        <v>0</v>
      </c>
      <c r="S318" t="s">
        <v>40</v>
      </c>
      <c r="T318" s="10">
        <v>45898</v>
      </c>
      <c r="W318">
        <v>1</v>
      </c>
      <c r="Y318" t="s">
        <v>41</v>
      </c>
      <c r="AG318" t="s">
        <v>142</v>
      </c>
      <c r="AJ318" t="s">
        <v>665</v>
      </c>
    </row>
    <row r="319" spans="1:36" x14ac:dyDescent="0.25">
      <c r="A319">
        <v>5</v>
      </c>
      <c r="B319">
        <v>5000005059</v>
      </c>
      <c r="C319" t="s">
        <v>153</v>
      </c>
      <c r="D319">
        <v>10804012</v>
      </c>
      <c r="E319">
        <v>1</v>
      </c>
      <c r="F319" t="s">
        <v>93</v>
      </c>
      <c r="G319" s="10">
        <v>45905</v>
      </c>
      <c r="H319" t="s">
        <v>36</v>
      </c>
      <c r="I319" t="s">
        <v>37</v>
      </c>
      <c r="J319" t="s">
        <v>38</v>
      </c>
      <c r="K319" t="s">
        <v>98</v>
      </c>
      <c r="L319" t="s">
        <v>39</v>
      </c>
      <c r="M319">
        <v>0</v>
      </c>
      <c r="P319">
        <v>1</v>
      </c>
      <c r="Q319">
        <v>0</v>
      </c>
      <c r="S319" t="s">
        <v>40</v>
      </c>
      <c r="T319" s="10">
        <v>45898</v>
      </c>
      <c r="W319">
        <v>1</v>
      </c>
      <c r="Y319" t="s">
        <v>41</v>
      </c>
      <c r="AG319" t="s">
        <v>142</v>
      </c>
      <c r="AJ319" t="s">
        <v>663</v>
      </c>
    </row>
    <row r="320" spans="1:36" x14ac:dyDescent="0.25">
      <c r="A320">
        <v>6</v>
      </c>
      <c r="B320">
        <v>5000004248</v>
      </c>
      <c r="C320" t="s">
        <v>155</v>
      </c>
      <c r="D320">
        <v>10804012</v>
      </c>
      <c r="E320">
        <v>1</v>
      </c>
      <c r="F320" t="s">
        <v>93</v>
      </c>
      <c r="G320" s="10">
        <v>45905</v>
      </c>
      <c r="H320" t="s">
        <v>36</v>
      </c>
      <c r="I320" t="s">
        <v>37</v>
      </c>
      <c r="J320" t="s">
        <v>38</v>
      </c>
      <c r="K320" t="s">
        <v>98</v>
      </c>
      <c r="L320" t="s">
        <v>39</v>
      </c>
      <c r="M320">
        <v>0</v>
      </c>
      <c r="P320">
        <v>1</v>
      </c>
      <c r="Q320">
        <v>0</v>
      </c>
      <c r="S320" t="s">
        <v>40</v>
      </c>
      <c r="T320" s="10">
        <v>45898</v>
      </c>
      <c r="W320">
        <v>1</v>
      </c>
      <c r="Y320" t="s">
        <v>41</v>
      </c>
      <c r="AG320" t="s">
        <v>142</v>
      </c>
      <c r="AJ320" t="s">
        <v>660</v>
      </c>
    </row>
    <row r="321" spans="1:36" x14ac:dyDescent="0.25">
      <c r="A321">
        <v>7</v>
      </c>
      <c r="B321">
        <v>5000012021</v>
      </c>
      <c r="C321" t="s">
        <v>188</v>
      </c>
      <c r="D321">
        <v>10804012</v>
      </c>
      <c r="E321">
        <v>1</v>
      </c>
      <c r="F321" t="s">
        <v>93</v>
      </c>
      <c r="G321" s="10">
        <v>45905</v>
      </c>
      <c r="H321" t="s">
        <v>36</v>
      </c>
      <c r="I321" t="s">
        <v>37</v>
      </c>
      <c r="J321" t="s">
        <v>38</v>
      </c>
      <c r="K321" t="s">
        <v>98</v>
      </c>
      <c r="L321" t="s">
        <v>39</v>
      </c>
      <c r="M321">
        <v>0</v>
      </c>
      <c r="P321">
        <v>1</v>
      </c>
      <c r="Q321">
        <v>0</v>
      </c>
      <c r="S321" t="s">
        <v>40</v>
      </c>
      <c r="T321" s="10">
        <v>45898</v>
      </c>
      <c r="W321">
        <v>1</v>
      </c>
      <c r="Y321" t="s">
        <v>41</v>
      </c>
      <c r="AG321" t="s">
        <v>142</v>
      </c>
      <c r="AJ321" t="s">
        <v>661</v>
      </c>
    </row>
    <row r="322" spans="1:36" x14ac:dyDescent="0.25">
      <c r="A322">
        <v>1</v>
      </c>
      <c r="B322">
        <v>5000005340</v>
      </c>
      <c r="C322" t="s">
        <v>199</v>
      </c>
      <c r="D322">
        <v>10804036</v>
      </c>
      <c r="E322">
        <v>2</v>
      </c>
      <c r="F322" t="s">
        <v>35</v>
      </c>
      <c r="G322" s="10">
        <v>45908</v>
      </c>
      <c r="H322" t="s">
        <v>36</v>
      </c>
      <c r="I322" t="s">
        <v>37</v>
      </c>
      <c r="J322" t="s">
        <v>38</v>
      </c>
      <c r="K322" t="s">
        <v>98</v>
      </c>
      <c r="L322" t="s">
        <v>39</v>
      </c>
      <c r="M322">
        <v>1</v>
      </c>
      <c r="P322">
        <v>0</v>
      </c>
      <c r="Q322">
        <v>2</v>
      </c>
      <c r="S322" t="s">
        <v>40</v>
      </c>
      <c r="T322" s="10">
        <v>45901</v>
      </c>
      <c r="W322">
        <v>1</v>
      </c>
      <c r="Y322" t="s">
        <v>41</v>
      </c>
      <c r="AG322" t="s">
        <v>142</v>
      </c>
      <c r="AJ322" t="s">
        <v>672</v>
      </c>
    </row>
    <row r="323" spans="1:36" x14ac:dyDescent="0.25">
      <c r="A323">
        <v>2</v>
      </c>
      <c r="B323">
        <v>5000016308</v>
      </c>
      <c r="C323" t="s">
        <v>143</v>
      </c>
      <c r="D323">
        <v>10804036</v>
      </c>
      <c r="E323">
        <v>1</v>
      </c>
      <c r="F323" t="s">
        <v>35</v>
      </c>
      <c r="G323" s="10">
        <v>45908</v>
      </c>
      <c r="H323" t="s">
        <v>36</v>
      </c>
      <c r="I323" t="s">
        <v>37</v>
      </c>
      <c r="J323" t="s">
        <v>38</v>
      </c>
      <c r="K323" t="s">
        <v>98</v>
      </c>
      <c r="L323" t="s">
        <v>39</v>
      </c>
      <c r="M323">
        <v>1</v>
      </c>
      <c r="P323">
        <v>0</v>
      </c>
      <c r="Q323">
        <v>1</v>
      </c>
      <c r="S323" t="s">
        <v>40</v>
      </c>
      <c r="T323" s="10">
        <v>45901</v>
      </c>
      <c r="W323">
        <v>1</v>
      </c>
      <c r="Y323" t="s">
        <v>41</v>
      </c>
      <c r="AG323" t="s">
        <v>142</v>
      </c>
      <c r="AJ323" t="s">
        <v>673</v>
      </c>
    </row>
    <row r="324" spans="1:36" x14ac:dyDescent="0.25">
      <c r="A324">
        <v>1</v>
      </c>
      <c r="B324">
        <v>5000016308</v>
      </c>
      <c r="C324" t="s">
        <v>143</v>
      </c>
      <c r="D324">
        <v>10804073</v>
      </c>
      <c r="E324">
        <v>2</v>
      </c>
      <c r="F324" t="s">
        <v>35</v>
      </c>
      <c r="G324" s="10">
        <v>45910</v>
      </c>
      <c r="H324" t="s">
        <v>36</v>
      </c>
      <c r="I324" t="s">
        <v>37</v>
      </c>
      <c r="J324" t="s">
        <v>38</v>
      </c>
      <c r="K324" t="s">
        <v>98</v>
      </c>
      <c r="L324" t="s">
        <v>39</v>
      </c>
      <c r="M324">
        <v>0</v>
      </c>
      <c r="P324">
        <v>2</v>
      </c>
      <c r="Q324">
        <v>0</v>
      </c>
      <c r="S324" t="s">
        <v>40</v>
      </c>
      <c r="T324" s="10">
        <v>45903</v>
      </c>
      <c r="U324" t="s">
        <v>40</v>
      </c>
      <c r="V324" s="25">
        <v>45903</v>
      </c>
      <c r="W324">
        <v>1</v>
      </c>
      <c r="Y324" t="s">
        <v>41</v>
      </c>
      <c r="AG324" t="s">
        <v>142</v>
      </c>
      <c r="AJ324" t="s">
        <v>674</v>
      </c>
    </row>
    <row r="325" spans="1:36" x14ac:dyDescent="0.25">
      <c r="A325">
        <v>2</v>
      </c>
      <c r="B325">
        <v>5000017216</v>
      </c>
      <c r="C325" t="s">
        <v>183</v>
      </c>
      <c r="D325">
        <v>10804073</v>
      </c>
      <c r="E325">
        <v>1</v>
      </c>
      <c r="F325" t="s">
        <v>35</v>
      </c>
      <c r="G325" s="10">
        <v>45910</v>
      </c>
      <c r="H325" t="s">
        <v>36</v>
      </c>
      <c r="I325" t="s">
        <v>37</v>
      </c>
      <c r="J325" t="s">
        <v>38</v>
      </c>
      <c r="K325" t="s">
        <v>98</v>
      </c>
      <c r="L325" t="s">
        <v>39</v>
      </c>
      <c r="M325">
        <v>0</v>
      </c>
      <c r="P325">
        <v>1</v>
      </c>
      <c r="Q325">
        <v>0</v>
      </c>
      <c r="S325" t="s">
        <v>40</v>
      </c>
      <c r="T325" s="10">
        <v>45903</v>
      </c>
      <c r="U325" t="s">
        <v>40</v>
      </c>
      <c r="V325" s="25">
        <v>45903</v>
      </c>
      <c r="W325">
        <v>1</v>
      </c>
      <c r="Y325" t="s">
        <v>41</v>
      </c>
      <c r="AG325" t="s">
        <v>142</v>
      </c>
      <c r="AJ325" t="s">
        <v>675</v>
      </c>
    </row>
    <row r="326" spans="1:36" x14ac:dyDescent="0.25">
      <c r="A326">
        <v>3</v>
      </c>
      <c r="B326">
        <v>5000005059</v>
      </c>
      <c r="C326" t="s">
        <v>153</v>
      </c>
      <c r="D326">
        <v>10804073</v>
      </c>
      <c r="E326">
        <v>1</v>
      </c>
      <c r="F326" t="s">
        <v>93</v>
      </c>
      <c r="G326" s="10">
        <v>45910</v>
      </c>
      <c r="H326" t="s">
        <v>36</v>
      </c>
      <c r="I326" t="s">
        <v>37</v>
      </c>
      <c r="J326" t="s">
        <v>38</v>
      </c>
      <c r="K326" t="s">
        <v>98</v>
      </c>
      <c r="L326" t="s">
        <v>39</v>
      </c>
      <c r="M326">
        <v>0</v>
      </c>
      <c r="P326">
        <v>1</v>
      </c>
      <c r="Q326">
        <v>0</v>
      </c>
      <c r="S326" t="s">
        <v>40</v>
      </c>
      <c r="T326" s="10">
        <v>45903</v>
      </c>
      <c r="U326" t="s">
        <v>40</v>
      </c>
      <c r="V326" s="25">
        <v>45903</v>
      </c>
      <c r="W326">
        <v>1</v>
      </c>
      <c r="Y326" t="s">
        <v>41</v>
      </c>
      <c r="AG326" t="s">
        <v>142</v>
      </c>
      <c r="AJ326" t="s">
        <v>676</v>
      </c>
    </row>
    <row r="327" spans="1:36" x14ac:dyDescent="0.25">
      <c r="A327">
        <v>4</v>
      </c>
      <c r="B327">
        <v>5000004248</v>
      </c>
      <c r="C327" t="s">
        <v>155</v>
      </c>
      <c r="D327">
        <v>10804073</v>
      </c>
      <c r="E327">
        <v>1</v>
      </c>
      <c r="F327" t="s">
        <v>93</v>
      </c>
      <c r="G327" s="10">
        <v>45910</v>
      </c>
      <c r="H327" t="s">
        <v>36</v>
      </c>
      <c r="I327" t="s">
        <v>37</v>
      </c>
      <c r="J327" t="s">
        <v>38</v>
      </c>
      <c r="K327" t="s">
        <v>98</v>
      </c>
      <c r="L327" t="s">
        <v>39</v>
      </c>
      <c r="M327">
        <v>0</v>
      </c>
      <c r="P327">
        <v>1</v>
      </c>
      <c r="Q327">
        <v>0</v>
      </c>
      <c r="S327" t="s">
        <v>40</v>
      </c>
      <c r="T327" s="10">
        <v>45903</v>
      </c>
      <c r="U327" t="s">
        <v>40</v>
      </c>
      <c r="V327" s="25">
        <v>45903</v>
      </c>
      <c r="W327">
        <v>1</v>
      </c>
      <c r="Y327" t="s">
        <v>41</v>
      </c>
      <c r="AG327" t="s">
        <v>142</v>
      </c>
      <c r="AJ327" t="s">
        <v>677</v>
      </c>
    </row>
    <row r="328" spans="1:36" x14ac:dyDescent="0.25">
      <c r="A328">
        <v>5</v>
      </c>
      <c r="B328">
        <v>5000012021</v>
      </c>
      <c r="C328" t="s">
        <v>188</v>
      </c>
      <c r="D328">
        <v>10804073</v>
      </c>
      <c r="E328">
        <v>1</v>
      </c>
      <c r="F328" t="s">
        <v>93</v>
      </c>
      <c r="G328" s="10">
        <v>45910</v>
      </c>
      <c r="H328" t="s">
        <v>36</v>
      </c>
      <c r="I328" t="s">
        <v>37</v>
      </c>
      <c r="J328" t="s">
        <v>38</v>
      </c>
      <c r="K328" t="s">
        <v>98</v>
      </c>
      <c r="L328" t="s">
        <v>39</v>
      </c>
      <c r="M328">
        <v>0</v>
      </c>
      <c r="P328">
        <v>1</v>
      </c>
      <c r="Q328">
        <v>0</v>
      </c>
      <c r="S328" t="s">
        <v>40</v>
      </c>
      <c r="T328" s="10">
        <v>45903</v>
      </c>
      <c r="U328" t="s">
        <v>40</v>
      </c>
      <c r="V328" s="25">
        <v>45903</v>
      </c>
      <c r="W328">
        <v>1</v>
      </c>
      <c r="Y328" t="s">
        <v>41</v>
      </c>
      <c r="AG328" t="s">
        <v>142</v>
      </c>
      <c r="AJ328" t="s">
        <v>678</v>
      </c>
    </row>
    <row r="329" spans="1:36" x14ac:dyDescent="0.25">
      <c r="A329">
        <v>1</v>
      </c>
      <c r="B329">
        <v>5000008242</v>
      </c>
      <c r="C329" t="s">
        <v>593</v>
      </c>
      <c r="D329">
        <v>10804091</v>
      </c>
      <c r="E329">
        <v>1</v>
      </c>
      <c r="F329" t="s">
        <v>296</v>
      </c>
      <c r="G329" s="10">
        <v>45911</v>
      </c>
      <c r="H329" t="s">
        <v>36</v>
      </c>
      <c r="I329" t="s">
        <v>37</v>
      </c>
      <c r="J329" t="s">
        <v>38</v>
      </c>
      <c r="K329" t="s">
        <v>98</v>
      </c>
      <c r="L329" t="s">
        <v>39</v>
      </c>
      <c r="M329">
        <v>0</v>
      </c>
      <c r="P329">
        <v>1</v>
      </c>
      <c r="Q329">
        <v>0</v>
      </c>
      <c r="S329" t="s">
        <v>40</v>
      </c>
      <c r="T329" s="10">
        <v>45904</v>
      </c>
      <c r="W329">
        <v>1</v>
      </c>
      <c r="Y329" t="s">
        <v>41</v>
      </c>
      <c r="AG329" t="s">
        <v>142</v>
      </c>
      <c r="AJ329" t="s">
        <v>594</v>
      </c>
    </row>
    <row r="330" spans="1:36" x14ac:dyDescent="0.25">
      <c r="A330">
        <v>2</v>
      </c>
      <c r="B330">
        <v>5000017216</v>
      </c>
      <c r="C330" t="s">
        <v>183</v>
      </c>
      <c r="D330">
        <v>10804091</v>
      </c>
      <c r="E330">
        <v>1</v>
      </c>
      <c r="F330" t="s">
        <v>35</v>
      </c>
      <c r="G330" s="10">
        <v>45911</v>
      </c>
      <c r="H330" t="s">
        <v>36</v>
      </c>
      <c r="I330" t="s">
        <v>37</v>
      </c>
      <c r="J330" t="s">
        <v>38</v>
      </c>
      <c r="K330" t="s">
        <v>98</v>
      </c>
      <c r="L330" t="s">
        <v>39</v>
      </c>
      <c r="M330">
        <v>0</v>
      </c>
      <c r="P330">
        <v>1</v>
      </c>
      <c r="Q330">
        <v>0</v>
      </c>
      <c r="S330" t="s">
        <v>40</v>
      </c>
      <c r="T330" s="10">
        <v>45904</v>
      </c>
      <c r="W330">
        <v>1</v>
      </c>
      <c r="Y330" t="s">
        <v>41</v>
      </c>
      <c r="AG330" t="s">
        <v>142</v>
      </c>
      <c r="AJ330" t="s">
        <v>681</v>
      </c>
    </row>
    <row r="331" spans="1:36" x14ac:dyDescent="0.25">
      <c r="A331">
        <v>3</v>
      </c>
      <c r="B331">
        <v>5000016308</v>
      </c>
      <c r="C331" t="s">
        <v>143</v>
      </c>
      <c r="D331">
        <v>10804091</v>
      </c>
      <c r="E331">
        <v>1</v>
      </c>
      <c r="F331" t="s">
        <v>35</v>
      </c>
      <c r="G331" s="10">
        <v>45911</v>
      </c>
      <c r="H331" t="s">
        <v>36</v>
      </c>
      <c r="I331" t="s">
        <v>37</v>
      </c>
      <c r="J331" t="s">
        <v>38</v>
      </c>
      <c r="K331" t="s">
        <v>98</v>
      </c>
      <c r="L331" t="s">
        <v>39</v>
      </c>
      <c r="M331">
        <v>0</v>
      </c>
      <c r="P331">
        <v>1</v>
      </c>
      <c r="Q331">
        <v>0</v>
      </c>
      <c r="S331" t="s">
        <v>40</v>
      </c>
      <c r="T331" s="10">
        <v>45904</v>
      </c>
      <c r="W331">
        <v>1</v>
      </c>
      <c r="Y331" t="s">
        <v>41</v>
      </c>
      <c r="AG331" t="s">
        <v>142</v>
      </c>
      <c r="AJ331" t="s">
        <v>682</v>
      </c>
    </row>
    <row r="332" spans="1:36" x14ac:dyDescent="0.25">
      <c r="A332">
        <v>4</v>
      </c>
      <c r="B332">
        <v>5000005059</v>
      </c>
      <c r="C332" t="s">
        <v>153</v>
      </c>
      <c r="D332">
        <v>10804091</v>
      </c>
      <c r="E332">
        <v>1</v>
      </c>
      <c r="F332" t="s">
        <v>93</v>
      </c>
      <c r="G332" s="10">
        <v>45911</v>
      </c>
      <c r="H332" t="s">
        <v>36</v>
      </c>
      <c r="I332" t="s">
        <v>37</v>
      </c>
      <c r="J332" t="s">
        <v>38</v>
      </c>
      <c r="K332" t="s">
        <v>98</v>
      </c>
      <c r="L332" t="s">
        <v>39</v>
      </c>
      <c r="M332">
        <v>0</v>
      </c>
      <c r="P332">
        <v>1</v>
      </c>
      <c r="Q332">
        <v>0</v>
      </c>
      <c r="S332" t="s">
        <v>40</v>
      </c>
      <c r="T332" s="10">
        <v>45904</v>
      </c>
      <c r="W332">
        <v>1</v>
      </c>
      <c r="Y332" t="s">
        <v>41</v>
      </c>
      <c r="AG332" t="s">
        <v>142</v>
      </c>
      <c r="AJ332" t="s">
        <v>683</v>
      </c>
    </row>
    <row r="333" spans="1:36" x14ac:dyDescent="0.25">
      <c r="A333">
        <v>5</v>
      </c>
      <c r="B333">
        <v>5000004248</v>
      </c>
      <c r="C333" t="s">
        <v>155</v>
      </c>
      <c r="D333">
        <v>10804091</v>
      </c>
      <c r="E333">
        <v>1</v>
      </c>
      <c r="F333" t="s">
        <v>93</v>
      </c>
      <c r="G333" s="10">
        <v>45911</v>
      </c>
      <c r="H333" t="s">
        <v>36</v>
      </c>
      <c r="I333" t="s">
        <v>37</v>
      </c>
      <c r="J333" t="s">
        <v>38</v>
      </c>
      <c r="K333" t="s">
        <v>98</v>
      </c>
      <c r="L333" t="s">
        <v>39</v>
      </c>
      <c r="M333">
        <v>0</v>
      </c>
      <c r="P333">
        <v>1</v>
      </c>
      <c r="Q333">
        <v>0</v>
      </c>
      <c r="S333" t="s">
        <v>40</v>
      </c>
      <c r="T333" s="10">
        <v>45904</v>
      </c>
      <c r="W333">
        <v>1</v>
      </c>
      <c r="Y333" t="s">
        <v>41</v>
      </c>
      <c r="AG333" t="s">
        <v>142</v>
      </c>
      <c r="AJ333" t="s">
        <v>684</v>
      </c>
    </row>
    <row r="334" spans="1:36" x14ac:dyDescent="0.25">
      <c r="A334">
        <v>6</v>
      </c>
      <c r="B334">
        <v>5000012021</v>
      </c>
      <c r="C334" t="s">
        <v>188</v>
      </c>
      <c r="D334">
        <v>10804091</v>
      </c>
      <c r="E334">
        <v>1</v>
      </c>
      <c r="F334" t="s">
        <v>93</v>
      </c>
      <c r="G334" s="10">
        <v>45911</v>
      </c>
      <c r="H334" t="s">
        <v>36</v>
      </c>
      <c r="I334" t="s">
        <v>37</v>
      </c>
      <c r="J334" t="s">
        <v>38</v>
      </c>
      <c r="K334" t="s">
        <v>98</v>
      </c>
      <c r="L334" t="s">
        <v>39</v>
      </c>
      <c r="M334">
        <v>0</v>
      </c>
      <c r="P334">
        <v>1</v>
      </c>
      <c r="Q334">
        <v>0</v>
      </c>
      <c r="S334" t="s">
        <v>40</v>
      </c>
      <c r="T334" s="10">
        <v>45904</v>
      </c>
      <c r="W334">
        <v>1</v>
      </c>
      <c r="Y334" t="s">
        <v>41</v>
      </c>
      <c r="AG334" t="s">
        <v>142</v>
      </c>
      <c r="AJ334" t="s">
        <v>685</v>
      </c>
    </row>
    <row r="335" spans="1:36" x14ac:dyDescent="0.25">
      <c r="A335">
        <v>1</v>
      </c>
      <c r="B335">
        <v>5000004248</v>
      </c>
      <c r="C335" t="s">
        <v>155</v>
      </c>
      <c r="D335">
        <v>10804152</v>
      </c>
      <c r="E335">
        <v>12</v>
      </c>
      <c r="F335" t="s">
        <v>93</v>
      </c>
      <c r="G335" s="10">
        <v>45915</v>
      </c>
      <c r="H335" t="s">
        <v>36</v>
      </c>
      <c r="I335" t="s">
        <v>37</v>
      </c>
      <c r="J335" t="s">
        <v>38</v>
      </c>
      <c r="K335" t="s">
        <v>98</v>
      </c>
      <c r="L335" t="s">
        <v>39</v>
      </c>
      <c r="M335">
        <v>0</v>
      </c>
      <c r="P335">
        <v>12</v>
      </c>
      <c r="Q335">
        <v>0</v>
      </c>
      <c r="S335" t="s">
        <v>40</v>
      </c>
      <c r="T335" s="10">
        <v>45908</v>
      </c>
      <c r="W335">
        <v>1</v>
      </c>
      <c r="Y335" t="s">
        <v>41</v>
      </c>
      <c r="AG335" t="s">
        <v>142</v>
      </c>
      <c r="AJ335" t="s">
        <v>686</v>
      </c>
    </row>
    <row r="336" spans="1:36" x14ac:dyDescent="0.25">
      <c r="A336">
        <v>2</v>
      </c>
      <c r="B336">
        <v>5000013080</v>
      </c>
      <c r="C336" t="s">
        <v>441</v>
      </c>
      <c r="D336">
        <v>10804152</v>
      </c>
      <c r="E336">
        <v>1</v>
      </c>
      <c r="F336" t="s">
        <v>35</v>
      </c>
      <c r="G336" s="10">
        <v>45915</v>
      </c>
      <c r="H336" t="s">
        <v>36</v>
      </c>
      <c r="I336" t="s">
        <v>37</v>
      </c>
      <c r="J336" t="s">
        <v>38</v>
      </c>
      <c r="K336" t="s">
        <v>98</v>
      </c>
      <c r="L336" t="s">
        <v>39</v>
      </c>
      <c r="M336">
        <v>0</v>
      </c>
      <c r="P336">
        <v>1</v>
      </c>
      <c r="Q336">
        <v>0</v>
      </c>
      <c r="S336" t="s">
        <v>40</v>
      </c>
      <c r="T336" s="10">
        <v>45908</v>
      </c>
      <c r="W336">
        <v>1</v>
      </c>
      <c r="Y336" t="s">
        <v>41</v>
      </c>
      <c r="AG336" t="s">
        <v>142</v>
      </c>
      <c r="AJ336" t="s">
        <v>687</v>
      </c>
    </row>
    <row r="337" spans="1:36" x14ac:dyDescent="0.25">
      <c r="A337">
        <v>3</v>
      </c>
      <c r="B337">
        <v>5000016255</v>
      </c>
      <c r="C337" t="s">
        <v>110</v>
      </c>
      <c r="D337">
        <v>10804152</v>
      </c>
      <c r="E337">
        <v>1</v>
      </c>
      <c r="F337" t="s">
        <v>93</v>
      </c>
      <c r="G337" s="10">
        <v>45915</v>
      </c>
      <c r="H337" t="s">
        <v>36</v>
      </c>
      <c r="I337" t="s">
        <v>37</v>
      </c>
      <c r="J337" t="s">
        <v>38</v>
      </c>
      <c r="K337" t="s">
        <v>98</v>
      </c>
      <c r="L337" t="s">
        <v>39</v>
      </c>
      <c r="M337">
        <v>0</v>
      </c>
      <c r="P337">
        <v>1</v>
      </c>
      <c r="Q337">
        <v>0</v>
      </c>
      <c r="S337" t="s">
        <v>40</v>
      </c>
      <c r="T337" s="10">
        <v>45908</v>
      </c>
      <c r="W337">
        <v>1</v>
      </c>
      <c r="Y337" t="s">
        <v>41</v>
      </c>
      <c r="AG337" t="s">
        <v>142</v>
      </c>
      <c r="AJ337" t="s">
        <v>688</v>
      </c>
    </row>
    <row r="338" spans="1:36" x14ac:dyDescent="0.25">
      <c r="A338">
        <v>1</v>
      </c>
      <c r="B338">
        <v>5000017216</v>
      </c>
      <c r="C338" t="s">
        <v>183</v>
      </c>
      <c r="D338">
        <v>10804180</v>
      </c>
      <c r="E338">
        <v>1</v>
      </c>
      <c r="F338" t="s">
        <v>35</v>
      </c>
      <c r="G338" s="10">
        <v>45917</v>
      </c>
      <c r="H338" t="s">
        <v>36</v>
      </c>
      <c r="I338" t="s">
        <v>37</v>
      </c>
      <c r="J338" t="s">
        <v>38</v>
      </c>
      <c r="K338" t="s">
        <v>98</v>
      </c>
      <c r="L338" t="s">
        <v>39</v>
      </c>
      <c r="M338">
        <v>0</v>
      </c>
      <c r="P338">
        <v>1</v>
      </c>
      <c r="Q338">
        <v>0</v>
      </c>
      <c r="S338" t="s">
        <v>40</v>
      </c>
      <c r="T338" s="10">
        <v>45910</v>
      </c>
      <c r="W338">
        <v>1</v>
      </c>
      <c r="Y338" t="s">
        <v>41</v>
      </c>
      <c r="AG338" t="s">
        <v>142</v>
      </c>
      <c r="AJ338" t="s">
        <v>690</v>
      </c>
    </row>
    <row r="339" spans="1:36" x14ac:dyDescent="0.25">
      <c r="A339">
        <v>1</v>
      </c>
      <c r="B339">
        <v>5000014291</v>
      </c>
      <c r="C339" t="s">
        <v>406</v>
      </c>
      <c r="D339">
        <v>10804220</v>
      </c>
      <c r="E339">
        <v>1</v>
      </c>
      <c r="F339" t="s">
        <v>296</v>
      </c>
      <c r="G339" s="10">
        <v>45918</v>
      </c>
      <c r="H339" t="s">
        <v>36</v>
      </c>
      <c r="I339" t="s">
        <v>37</v>
      </c>
      <c r="J339" t="s">
        <v>38</v>
      </c>
      <c r="K339" t="s">
        <v>98</v>
      </c>
      <c r="L339" t="s">
        <v>39</v>
      </c>
      <c r="M339">
        <v>0</v>
      </c>
      <c r="P339">
        <v>1</v>
      </c>
      <c r="Q339">
        <v>0</v>
      </c>
      <c r="S339" t="s">
        <v>40</v>
      </c>
      <c r="T339" s="10">
        <v>45911</v>
      </c>
      <c r="W339">
        <v>1</v>
      </c>
      <c r="Y339" t="s">
        <v>41</v>
      </c>
      <c r="AG339" t="s">
        <v>142</v>
      </c>
      <c r="AJ339" t="s">
        <v>691</v>
      </c>
    </row>
    <row r="340" spans="1:36" x14ac:dyDescent="0.25">
      <c r="A340">
        <v>2</v>
      </c>
      <c r="B340">
        <v>5000013080</v>
      </c>
      <c r="C340" t="s">
        <v>441</v>
      </c>
      <c r="D340">
        <v>10804220</v>
      </c>
      <c r="E340">
        <v>3</v>
      </c>
      <c r="F340" t="s">
        <v>35</v>
      </c>
      <c r="G340" s="10">
        <v>45918</v>
      </c>
      <c r="H340" t="s">
        <v>36</v>
      </c>
      <c r="I340" t="s">
        <v>37</v>
      </c>
      <c r="J340" t="s">
        <v>38</v>
      </c>
      <c r="K340" t="s">
        <v>98</v>
      </c>
      <c r="L340" t="s">
        <v>39</v>
      </c>
      <c r="M340">
        <v>0</v>
      </c>
      <c r="P340">
        <v>3</v>
      </c>
      <c r="Q340">
        <v>0</v>
      </c>
      <c r="S340" t="s">
        <v>40</v>
      </c>
      <c r="T340" s="10">
        <v>45911</v>
      </c>
      <c r="W340">
        <v>1</v>
      </c>
      <c r="Y340" t="s">
        <v>41</v>
      </c>
      <c r="AG340" t="s">
        <v>142</v>
      </c>
      <c r="AJ340" t="s">
        <v>692</v>
      </c>
    </row>
    <row r="341" spans="1:36" x14ac:dyDescent="0.25">
      <c r="A341">
        <v>1</v>
      </c>
      <c r="B341">
        <v>5000016931</v>
      </c>
      <c r="C341" t="s">
        <v>693</v>
      </c>
      <c r="D341">
        <v>10804323</v>
      </c>
      <c r="E341">
        <v>1</v>
      </c>
      <c r="F341" t="s">
        <v>93</v>
      </c>
      <c r="G341" s="10">
        <v>45924</v>
      </c>
      <c r="H341" t="s">
        <v>36</v>
      </c>
      <c r="I341" t="s">
        <v>37</v>
      </c>
      <c r="J341" t="s">
        <v>38</v>
      </c>
      <c r="K341" t="s">
        <v>98</v>
      </c>
      <c r="L341" t="s">
        <v>39</v>
      </c>
      <c r="M341">
        <v>0</v>
      </c>
      <c r="P341">
        <v>1</v>
      </c>
      <c r="Q341">
        <v>0</v>
      </c>
      <c r="S341" t="s">
        <v>40</v>
      </c>
      <c r="T341" s="10">
        <v>45917</v>
      </c>
      <c r="W341">
        <v>1</v>
      </c>
      <c r="Y341" t="s">
        <v>41</v>
      </c>
      <c r="AG341" t="s">
        <v>142</v>
      </c>
      <c r="AJ341" t="s">
        <v>694</v>
      </c>
    </row>
    <row r="342" spans="1:36" x14ac:dyDescent="0.25">
      <c r="A342">
        <v>1</v>
      </c>
      <c r="B342">
        <v>5000017216</v>
      </c>
      <c r="C342" t="s">
        <v>183</v>
      </c>
      <c r="D342">
        <v>10804334</v>
      </c>
      <c r="E342">
        <v>2</v>
      </c>
      <c r="F342" t="s">
        <v>35</v>
      </c>
      <c r="G342" s="10">
        <v>45925</v>
      </c>
      <c r="H342" t="s">
        <v>36</v>
      </c>
      <c r="I342" t="s">
        <v>37</v>
      </c>
      <c r="J342" t="s">
        <v>38</v>
      </c>
      <c r="K342" t="s">
        <v>98</v>
      </c>
      <c r="L342" t="s">
        <v>39</v>
      </c>
      <c r="M342">
        <v>1</v>
      </c>
      <c r="P342">
        <v>0</v>
      </c>
      <c r="Q342">
        <v>2</v>
      </c>
      <c r="S342" t="s">
        <v>40</v>
      </c>
      <c r="T342" s="10">
        <v>45918</v>
      </c>
      <c r="W342">
        <v>1</v>
      </c>
      <c r="Y342" t="s">
        <v>41</v>
      </c>
      <c r="AG342" t="s">
        <v>142</v>
      </c>
      <c r="AJ342" t="s">
        <v>696</v>
      </c>
    </row>
    <row r="343" spans="1:36" x14ac:dyDescent="0.25">
      <c r="A343">
        <v>2</v>
      </c>
      <c r="B343">
        <v>5000016308</v>
      </c>
      <c r="C343" t="s">
        <v>143</v>
      </c>
      <c r="D343">
        <v>10804334</v>
      </c>
      <c r="E343">
        <v>2</v>
      </c>
      <c r="F343" t="s">
        <v>35</v>
      </c>
      <c r="G343" s="10">
        <v>45925</v>
      </c>
      <c r="H343" t="s">
        <v>36</v>
      </c>
      <c r="I343" t="s">
        <v>37</v>
      </c>
      <c r="J343" t="s">
        <v>38</v>
      </c>
      <c r="K343" t="s">
        <v>98</v>
      </c>
      <c r="L343" t="s">
        <v>39</v>
      </c>
      <c r="M343">
        <v>1</v>
      </c>
      <c r="P343">
        <v>0</v>
      </c>
      <c r="Q343">
        <v>2</v>
      </c>
      <c r="S343" t="s">
        <v>40</v>
      </c>
      <c r="T343" s="10">
        <v>45918</v>
      </c>
      <c r="W343">
        <v>1</v>
      </c>
      <c r="Y343" t="s">
        <v>41</v>
      </c>
      <c r="AG343" t="s">
        <v>142</v>
      </c>
      <c r="AJ343" t="s">
        <v>697</v>
      </c>
    </row>
    <row r="344" spans="1:36" x14ac:dyDescent="0.25">
      <c r="A344">
        <v>3</v>
      </c>
      <c r="B344">
        <v>5000005059</v>
      </c>
      <c r="C344" t="s">
        <v>153</v>
      </c>
      <c r="D344">
        <v>10804334</v>
      </c>
      <c r="E344">
        <v>2</v>
      </c>
      <c r="F344" t="s">
        <v>93</v>
      </c>
      <c r="G344" s="10">
        <v>45925</v>
      </c>
      <c r="H344" t="s">
        <v>36</v>
      </c>
      <c r="I344" t="s">
        <v>37</v>
      </c>
      <c r="J344" t="s">
        <v>38</v>
      </c>
      <c r="K344" t="s">
        <v>98</v>
      </c>
      <c r="L344" t="s">
        <v>39</v>
      </c>
      <c r="M344">
        <v>1</v>
      </c>
      <c r="P344">
        <v>0</v>
      </c>
      <c r="Q344">
        <v>2</v>
      </c>
      <c r="S344" t="s">
        <v>40</v>
      </c>
      <c r="T344" s="10">
        <v>45918</v>
      </c>
      <c r="W344">
        <v>1</v>
      </c>
      <c r="Y344" t="s">
        <v>41</v>
      </c>
      <c r="AG344" t="s">
        <v>142</v>
      </c>
      <c r="AJ344" t="s">
        <v>698</v>
      </c>
    </row>
    <row r="345" spans="1:36" x14ac:dyDescent="0.25">
      <c r="A345">
        <v>4</v>
      </c>
      <c r="B345">
        <v>5000004248</v>
      </c>
      <c r="C345" t="s">
        <v>155</v>
      </c>
      <c r="D345">
        <v>10804334</v>
      </c>
      <c r="E345">
        <v>2</v>
      </c>
      <c r="F345" t="s">
        <v>93</v>
      </c>
      <c r="G345" s="10">
        <v>45925</v>
      </c>
      <c r="H345" t="s">
        <v>36</v>
      </c>
      <c r="I345" t="s">
        <v>37</v>
      </c>
      <c r="J345" t="s">
        <v>38</v>
      </c>
      <c r="K345" t="s">
        <v>98</v>
      </c>
      <c r="L345" t="s">
        <v>39</v>
      </c>
      <c r="M345">
        <v>1</v>
      </c>
      <c r="P345">
        <v>0</v>
      </c>
      <c r="Q345">
        <v>2</v>
      </c>
      <c r="S345" t="s">
        <v>40</v>
      </c>
      <c r="T345" s="10">
        <v>45918</v>
      </c>
      <c r="W345">
        <v>1</v>
      </c>
      <c r="Y345" t="s">
        <v>41</v>
      </c>
      <c r="AG345" t="s">
        <v>142</v>
      </c>
      <c r="AJ345" t="s">
        <v>699</v>
      </c>
    </row>
    <row r="346" spans="1:36" x14ac:dyDescent="0.25">
      <c r="A346">
        <v>5</v>
      </c>
      <c r="B346">
        <v>5000012021</v>
      </c>
      <c r="C346" t="s">
        <v>188</v>
      </c>
      <c r="D346">
        <v>10804334</v>
      </c>
      <c r="E346">
        <v>2</v>
      </c>
      <c r="F346" t="s">
        <v>93</v>
      </c>
      <c r="G346" s="10">
        <v>45925</v>
      </c>
      <c r="H346" t="s">
        <v>36</v>
      </c>
      <c r="I346" t="s">
        <v>37</v>
      </c>
      <c r="J346" t="s">
        <v>38</v>
      </c>
      <c r="K346" t="s">
        <v>98</v>
      </c>
      <c r="L346" t="s">
        <v>39</v>
      </c>
      <c r="M346">
        <v>1</v>
      </c>
      <c r="P346">
        <v>0</v>
      </c>
      <c r="Q346">
        <v>2</v>
      </c>
      <c r="S346" t="s">
        <v>40</v>
      </c>
      <c r="T346" s="10">
        <v>45918</v>
      </c>
      <c r="W346">
        <v>1</v>
      </c>
      <c r="Y346" t="s">
        <v>41</v>
      </c>
      <c r="AG346" t="s">
        <v>142</v>
      </c>
      <c r="AJ346" t="s">
        <v>700</v>
      </c>
    </row>
    <row r="347" spans="1:36" x14ac:dyDescent="0.25">
      <c r="A347">
        <v>6</v>
      </c>
      <c r="B347">
        <v>5000015861</v>
      </c>
      <c r="C347" t="s">
        <v>174</v>
      </c>
      <c r="D347">
        <v>10804334</v>
      </c>
      <c r="E347">
        <v>2</v>
      </c>
      <c r="F347" t="s">
        <v>35</v>
      </c>
      <c r="G347" s="10">
        <v>45925</v>
      </c>
      <c r="H347" t="s">
        <v>36</v>
      </c>
      <c r="I347" t="s">
        <v>37</v>
      </c>
      <c r="J347" t="s">
        <v>38</v>
      </c>
      <c r="K347" t="s">
        <v>98</v>
      </c>
      <c r="L347" t="s">
        <v>39</v>
      </c>
      <c r="M347">
        <v>1</v>
      </c>
      <c r="P347">
        <v>0</v>
      </c>
      <c r="Q347">
        <v>2</v>
      </c>
      <c r="S347" t="s">
        <v>40</v>
      </c>
      <c r="T347" s="10">
        <v>45919</v>
      </c>
      <c r="W347">
        <v>1</v>
      </c>
      <c r="Y347" t="s">
        <v>41</v>
      </c>
      <c r="AG347" t="s">
        <v>142</v>
      </c>
      <c r="AJ347" t="s">
        <v>701</v>
      </c>
    </row>
    <row r="348" spans="1:36" x14ac:dyDescent="0.25">
      <c r="A348">
        <v>7</v>
      </c>
      <c r="B348">
        <v>5000015000</v>
      </c>
      <c r="C348" t="s">
        <v>176</v>
      </c>
      <c r="D348">
        <v>10804334</v>
      </c>
      <c r="E348">
        <v>2</v>
      </c>
      <c r="F348" t="s">
        <v>35</v>
      </c>
      <c r="G348" s="10">
        <v>45925</v>
      </c>
      <c r="H348" t="s">
        <v>36</v>
      </c>
      <c r="I348" t="s">
        <v>37</v>
      </c>
      <c r="J348" t="s">
        <v>38</v>
      </c>
      <c r="K348" t="s">
        <v>98</v>
      </c>
      <c r="L348" t="s">
        <v>39</v>
      </c>
      <c r="M348">
        <v>1</v>
      </c>
      <c r="P348">
        <v>0</v>
      </c>
      <c r="Q348">
        <v>2</v>
      </c>
      <c r="S348" t="s">
        <v>40</v>
      </c>
      <c r="T348" s="10">
        <v>45919</v>
      </c>
      <c r="W348">
        <v>1</v>
      </c>
      <c r="Y348" t="s">
        <v>41</v>
      </c>
      <c r="AG348" t="s">
        <v>142</v>
      </c>
      <c r="AJ348" t="s">
        <v>702</v>
      </c>
    </row>
    <row r="349" spans="1:36" x14ac:dyDescent="0.25">
      <c r="A349">
        <v>1</v>
      </c>
      <c r="B349">
        <v>5000000739</v>
      </c>
      <c r="C349" t="s">
        <v>261</v>
      </c>
      <c r="D349">
        <v>10804358</v>
      </c>
      <c r="E349">
        <v>2</v>
      </c>
      <c r="F349" t="s">
        <v>262</v>
      </c>
      <c r="G349" s="10">
        <v>45926</v>
      </c>
      <c r="H349" t="s">
        <v>36</v>
      </c>
      <c r="I349" t="s">
        <v>37</v>
      </c>
      <c r="J349" t="s">
        <v>38</v>
      </c>
      <c r="K349" t="s">
        <v>98</v>
      </c>
      <c r="L349" t="s">
        <v>39</v>
      </c>
      <c r="M349">
        <v>1</v>
      </c>
      <c r="P349">
        <v>0</v>
      </c>
      <c r="Q349">
        <v>2</v>
      </c>
      <c r="S349" t="s">
        <v>40</v>
      </c>
      <c r="T349" s="10">
        <v>45919</v>
      </c>
      <c r="W349">
        <v>1</v>
      </c>
      <c r="Y349" t="s">
        <v>41</v>
      </c>
      <c r="AG349" t="s">
        <v>142</v>
      </c>
      <c r="AJ349" t="s">
        <v>703</v>
      </c>
    </row>
    <row r="350" spans="1:36" x14ac:dyDescent="0.25">
      <c r="A350">
        <v>1</v>
      </c>
      <c r="B350">
        <v>5000017216</v>
      </c>
      <c r="C350" t="s">
        <v>183</v>
      </c>
      <c r="D350">
        <v>10804395</v>
      </c>
      <c r="E350">
        <v>2</v>
      </c>
      <c r="F350" t="s">
        <v>35</v>
      </c>
      <c r="G350" s="10">
        <v>45929</v>
      </c>
      <c r="H350" t="s">
        <v>36</v>
      </c>
      <c r="I350" t="s">
        <v>37</v>
      </c>
      <c r="J350" t="s">
        <v>38</v>
      </c>
      <c r="K350" t="s">
        <v>98</v>
      </c>
      <c r="L350" t="s">
        <v>39</v>
      </c>
      <c r="M350">
        <v>1</v>
      </c>
      <c r="P350">
        <v>-2</v>
      </c>
      <c r="Q350">
        <v>4</v>
      </c>
      <c r="S350" t="s">
        <v>40</v>
      </c>
      <c r="T350" s="10">
        <v>45922</v>
      </c>
      <c r="W350">
        <v>1</v>
      </c>
      <c r="Y350" t="s">
        <v>41</v>
      </c>
      <c r="AG350" t="s">
        <v>142</v>
      </c>
      <c r="AJ350" t="s">
        <v>704</v>
      </c>
    </row>
    <row r="351" spans="1:36" x14ac:dyDescent="0.25">
      <c r="A351">
        <v>2</v>
      </c>
      <c r="B351">
        <v>5000016308</v>
      </c>
      <c r="C351" t="s">
        <v>143</v>
      </c>
      <c r="D351">
        <v>10804395</v>
      </c>
      <c r="E351">
        <v>1</v>
      </c>
      <c r="F351" t="s">
        <v>35</v>
      </c>
      <c r="G351" s="10">
        <v>45929</v>
      </c>
      <c r="H351" t="s">
        <v>36</v>
      </c>
      <c r="I351" t="s">
        <v>37</v>
      </c>
      <c r="J351" t="s">
        <v>38</v>
      </c>
      <c r="K351" t="s">
        <v>98</v>
      </c>
      <c r="L351" t="s">
        <v>39</v>
      </c>
      <c r="M351">
        <v>1</v>
      </c>
      <c r="P351">
        <v>0</v>
      </c>
      <c r="Q351">
        <v>1</v>
      </c>
      <c r="S351" t="s">
        <v>40</v>
      </c>
      <c r="T351" s="10">
        <v>45922</v>
      </c>
      <c r="W351">
        <v>1</v>
      </c>
      <c r="Y351" t="s">
        <v>41</v>
      </c>
      <c r="AG351" t="s">
        <v>142</v>
      </c>
      <c r="AJ351" t="s">
        <v>705</v>
      </c>
    </row>
    <row r="352" spans="1:36" x14ac:dyDescent="0.25">
      <c r="A352">
        <v>3</v>
      </c>
      <c r="B352">
        <v>5000005059</v>
      </c>
      <c r="C352" t="s">
        <v>153</v>
      </c>
      <c r="D352">
        <v>10804395</v>
      </c>
      <c r="E352">
        <v>4</v>
      </c>
      <c r="F352" t="s">
        <v>93</v>
      </c>
      <c r="G352" s="10">
        <v>45929</v>
      </c>
      <c r="H352" t="s">
        <v>36</v>
      </c>
      <c r="I352" t="s">
        <v>37</v>
      </c>
      <c r="J352" t="s">
        <v>38</v>
      </c>
      <c r="K352" t="s">
        <v>98</v>
      </c>
      <c r="L352" t="s">
        <v>39</v>
      </c>
      <c r="M352">
        <v>1</v>
      </c>
      <c r="P352">
        <v>-4</v>
      </c>
      <c r="Q352">
        <v>8</v>
      </c>
      <c r="S352" t="s">
        <v>40</v>
      </c>
      <c r="T352" s="10">
        <v>45922</v>
      </c>
      <c r="W352">
        <v>1</v>
      </c>
      <c r="Y352" t="s">
        <v>41</v>
      </c>
      <c r="AG352" t="s">
        <v>142</v>
      </c>
      <c r="AJ352" t="s">
        <v>706</v>
      </c>
    </row>
    <row r="353" spans="1:36" x14ac:dyDescent="0.25">
      <c r="A353">
        <v>4</v>
      </c>
      <c r="B353">
        <v>5000004248</v>
      </c>
      <c r="C353" t="s">
        <v>155</v>
      </c>
      <c r="D353">
        <v>10804395</v>
      </c>
      <c r="E353">
        <v>4</v>
      </c>
      <c r="F353" t="s">
        <v>93</v>
      </c>
      <c r="G353" s="10">
        <v>45929</v>
      </c>
      <c r="H353" t="s">
        <v>36</v>
      </c>
      <c r="I353" t="s">
        <v>37</v>
      </c>
      <c r="J353" t="s">
        <v>38</v>
      </c>
      <c r="K353" t="s">
        <v>98</v>
      </c>
      <c r="L353" t="s">
        <v>39</v>
      </c>
      <c r="M353">
        <v>1</v>
      </c>
      <c r="P353">
        <v>-4</v>
      </c>
      <c r="Q353">
        <v>8</v>
      </c>
      <c r="S353" t="s">
        <v>40</v>
      </c>
      <c r="T353" s="10">
        <v>45922</v>
      </c>
      <c r="W353">
        <v>1</v>
      </c>
      <c r="Y353" t="s">
        <v>41</v>
      </c>
      <c r="AG353" t="s">
        <v>142</v>
      </c>
      <c r="AJ353" t="s">
        <v>707</v>
      </c>
    </row>
    <row r="354" spans="1:36" x14ac:dyDescent="0.25">
      <c r="A354">
        <v>5</v>
      </c>
      <c r="B354">
        <v>5000012021</v>
      </c>
      <c r="C354" t="s">
        <v>188</v>
      </c>
      <c r="D354">
        <v>10804395</v>
      </c>
      <c r="E354">
        <v>1</v>
      </c>
      <c r="F354" t="s">
        <v>93</v>
      </c>
      <c r="G354" s="10">
        <v>45929</v>
      </c>
      <c r="H354" t="s">
        <v>36</v>
      </c>
      <c r="I354" t="s">
        <v>37</v>
      </c>
      <c r="J354" t="s">
        <v>38</v>
      </c>
      <c r="K354" t="s">
        <v>98</v>
      </c>
      <c r="L354" t="s">
        <v>39</v>
      </c>
      <c r="M354">
        <v>1</v>
      </c>
      <c r="P354">
        <v>-1</v>
      </c>
      <c r="Q354">
        <v>2</v>
      </c>
      <c r="S354" t="s">
        <v>40</v>
      </c>
      <c r="T354" s="10">
        <v>45922</v>
      </c>
      <c r="W354">
        <v>1</v>
      </c>
      <c r="Y354" t="s">
        <v>41</v>
      </c>
      <c r="AG354" t="s">
        <v>142</v>
      </c>
      <c r="AJ354" t="s">
        <v>708</v>
      </c>
    </row>
    <row r="355" spans="1:36" x14ac:dyDescent="0.25">
      <c r="A355">
        <v>6</v>
      </c>
      <c r="B355">
        <v>5000005512</v>
      </c>
      <c r="C355" t="s">
        <v>709</v>
      </c>
      <c r="D355">
        <v>10804395</v>
      </c>
      <c r="E355">
        <v>5</v>
      </c>
      <c r="F355" t="s">
        <v>35</v>
      </c>
      <c r="G355" s="10">
        <v>45929</v>
      </c>
      <c r="H355" t="s">
        <v>36</v>
      </c>
      <c r="I355" t="s">
        <v>37</v>
      </c>
      <c r="J355" t="s">
        <v>38</v>
      </c>
      <c r="K355" t="s">
        <v>98</v>
      </c>
      <c r="L355" t="s">
        <v>39</v>
      </c>
      <c r="M355">
        <v>1</v>
      </c>
      <c r="P355">
        <v>0</v>
      </c>
      <c r="Q355">
        <v>5</v>
      </c>
      <c r="S355" t="s">
        <v>40</v>
      </c>
      <c r="T355" s="10">
        <v>45922</v>
      </c>
      <c r="W355">
        <v>1</v>
      </c>
      <c r="Y355" t="s">
        <v>41</v>
      </c>
      <c r="AG355" t="s">
        <v>142</v>
      </c>
      <c r="AJ355" t="s">
        <v>710</v>
      </c>
    </row>
    <row r="356" spans="1:36" x14ac:dyDescent="0.25">
      <c r="A356">
        <v>1</v>
      </c>
      <c r="B356">
        <v>5000017857</v>
      </c>
      <c r="C356" t="s">
        <v>568</v>
      </c>
      <c r="D356">
        <v>10804441</v>
      </c>
      <c r="E356">
        <v>1</v>
      </c>
      <c r="F356" t="s">
        <v>35</v>
      </c>
      <c r="G356" s="10">
        <v>45931</v>
      </c>
      <c r="H356" t="s">
        <v>36</v>
      </c>
      <c r="I356" t="s">
        <v>37</v>
      </c>
      <c r="J356" t="s">
        <v>38</v>
      </c>
      <c r="K356" t="s">
        <v>98</v>
      </c>
      <c r="L356" t="s">
        <v>39</v>
      </c>
      <c r="M356">
        <v>0</v>
      </c>
      <c r="P356">
        <v>1</v>
      </c>
      <c r="Q356">
        <v>0</v>
      </c>
      <c r="S356" t="s">
        <v>40</v>
      </c>
      <c r="T356" s="10">
        <v>45924</v>
      </c>
      <c r="W356">
        <v>1</v>
      </c>
      <c r="Y356" t="s">
        <v>41</v>
      </c>
      <c r="AG356" t="s">
        <v>142</v>
      </c>
      <c r="AJ356" t="s">
        <v>711</v>
      </c>
    </row>
    <row r="357" spans="1:36" x14ac:dyDescent="0.25">
      <c r="A357">
        <v>2</v>
      </c>
      <c r="B357">
        <v>5000011960</v>
      </c>
      <c r="C357" t="s">
        <v>478</v>
      </c>
      <c r="D357">
        <v>10804441</v>
      </c>
      <c r="E357">
        <v>1</v>
      </c>
      <c r="F357" t="s">
        <v>93</v>
      </c>
      <c r="G357" s="10">
        <v>45931</v>
      </c>
      <c r="H357" t="s">
        <v>36</v>
      </c>
      <c r="I357" t="s">
        <v>37</v>
      </c>
      <c r="J357" t="s">
        <v>38</v>
      </c>
      <c r="K357" t="s">
        <v>98</v>
      </c>
      <c r="L357" t="s">
        <v>39</v>
      </c>
      <c r="M357">
        <v>0</v>
      </c>
      <c r="P357">
        <v>1</v>
      </c>
      <c r="Q357">
        <v>0</v>
      </c>
      <c r="S357" t="s">
        <v>40</v>
      </c>
      <c r="T357" s="10">
        <v>45924</v>
      </c>
      <c r="W357">
        <v>1</v>
      </c>
      <c r="Y357" t="s">
        <v>41</v>
      </c>
      <c r="AG357" t="s">
        <v>142</v>
      </c>
      <c r="AJ357" t="s">
        <v>712</v>
      </c>
    </row>
    <row r="358" spans="1:36" x14ac:dyDescent="0.25">
      <c r="A358">
        <v>3</v>
      </c>
      <c r="B358">
        <v>5000014291</v>
      </c>
      <c r="C358" t="s">
        <v>406</v>
      </c>
      <c r="D358">
        <v>10804441</v>
      </c>
      <c r="E358">
        <v>1</v>
      </c>
      <c r="F358" t="s">
        <v>296</v>
      </c>
      <c r="G358" s="10">
        <v>45931</v>
      </c>
      <c r="H358" t="s">
        <v>36</v>
      </c>
      <c r="I358" t="s">
        <v>37</v>
      </c>
      <c r="J358" t="s">
        <v>38</v>
      </c>
      <c r="K358" t="s">
        <v>98</v>
      </c>
      <c r="L358" t="s">
        <v>39</v>
      </c>
      <c r="M358">
        <v>0</v>
      </c>
      <c r="P358">
        <v>1</v>
      </c>
      <c r="Q358">
        <v>0</v>
      </c>
      <c r="S358" t="s">
        <v>40</v>
      </c>
      <c r="T358" s="10">
        <v>45924</v>
      </c>
      <c r="W358">
        <v>1</v>
      </c>
      <c r="Y358" t="s">
        <v>41</v>
      </c>
      <c r="AG358" t="s">
        <v>142</v>
      </c>
      <c r="AJ358" t="s">
        <v>713</v>
      </c>
    </row>
    <row r="359" spans="1:36" x14ac:dyDescent="0.25">
      <c r="A359">
        <v>1</v>
      </c>
      <c r="B359">
        <v>5000015861</v>
      </c>
      <c r="C359" t="s">
        <v>174</v>
      </c>
      <c r="D359">
        <v>10804483</v>
      </c>
      <c r="E359">
        <v>1</v>
      </c>
      <c r="F359" t="s">
        <v>35</v>
      </c>
      <c r="G359" s="10">
        <v>45933</v>
      </c>
      <c r="H359" t="s">
        <v>36</v>
      </c>
      <c r="I359" t="s">
        <v>37</v>
      </c>
      <c r="J359" t="s">
        <v>38</v>
      </c>
      <c r="K359" t="s">
        <v>98</v>
      </c>
      <c r="L359" t="s">
        <v>39</v>
      </c>
      <c r="M359">
        <v>0</v>
      </c>
      <c r="P359">
        <v>1</v>
      </c>
      <c r="Q359">
        <v>0</v>
      </c>
      <c r="S359" t="s">
        <v>40</v>
      </c>
      <c r="T359" s="10">
        <v>45926</v>
      </c>
      <c r="W359">
        <v>1</v>
      </c>
      <c r="Y359" t="s">
        <v>41</v>
      </c>
      <c r="AG359" t="s">
        <v>142</v>
      </c>
      <c r="AJ359" t="s">
        <v>714</v>
      </c>
    </row>
    <row r="360" spans="1:36" x14ac:dyDescent="0.25">
      <c r="A360">
        <v>2</v>
      </c>
      <c r="B360">
        <v>5000015000</v>
      </c>
      <c r="C360" t="s">
        <v>176</v>
      </c>
      <c r="D360">
        <v>10804483</v>
      </c>
      <c r="E360">
        <v>1</v>
      </c>
      <c r="F360" t="s">
        <v>35</v>
      </c>
      <c r="G360" s="10">
        <v>45933</v>
      </c>
      <c r="H360" t="s">
        <v>36</v>
      </c>
      <c r="I360" t="s">
        <v>37</v>
      </c>
      <c r="J360" t="s">
        <v>38</v>
      </c>
      <c r="K360" t="s">
        <v>98</v>
      </c>
      <c r="L360" t="s">
        <v>39</v>
      </c>
      <c r="M360">
        <v>0</v>
      </c>
      <c r="P360">
        <v>1</v>
      </c>
      <c r="Q360">
        <v>0</v>
      </c>
      <c r="S360" t="s">
        <v>40</v>
      </c>
      <c r="T360" s="10">
        <v>45926</v>
      </c>
      <c r="W360">
        <v>1</v>
      </c>
      <c r="Y360" t="s">
        <v>41</v>
      </c>
      <c r="AG360" t="s">
        <v>142</v>
      </c>
      <c r="AJ360" t="s">
        <v>715</v>
      </c>
    </row>
    <row r="361" spans="1:36" x14ac:dyDescent="0.25">
      <c r="A361">
        <v>3</v>
      </c>
      <c r="B361">
        <v>5000017216</v>
      </c>
      <c r="C361" t="s">
        <v>183</v>
      </c>
      <c r="D361">
        <v>10804483</v>
      </c>
      <c r="E361">
        <v>1</v>
      </c>
      <c r="F361" t="s">
        <v>35</v>
      </c>
      <c r="G361" s="10">
        <v>45933</v>
      </c>
      <c r="H361" t="s">
        <v>36</v>
      </c>
      <c r="I361" t="s">
        <v>37</v>
      </c>
      <c r="J361" t="s">
        <v>38</v>
      </c>
      <c r="K361" t="s">
        <v>98</v>
      </c>
      <c r="L361" t="s">
        <v>39</v>
      </c>
      <c r="M361">
        <v>0</v>
      </c>
      <c r="P361">
        <v>1</v>
      </c>
      <c r="Q361">
        <v>0</v>
      </c>
      <c r="S361" t="s">
        <v>40</v>
      </c>
      <c r="T361" s="10">
        <v>45926</v>
      </c>
      <c r="W361">
        <v>1</v>
      </c>
      <c r="Y361" t="s">
        <v>41</v>
      </c>
      <c r="AG361" t="s">
        <v>142</v>
      </c>
      <c r="AJ361" t="s">
        <v>716</v>
      </c>
    </row>
    <row r="362" spans="1:36" x14ac:dyDescent="0.25">
      <c r="A362">
        <v>4</v>
      </c>
      <c r="B362">
        <v>5000016308</v>
      </c>
      <c r="C362" t="s">
        <v>143</v>
      </c>
      <c r="D362">
        <v>10804483</v>
      </c>
      <c r="E362">
        <v>1</v>
      </c>
      <c r="F362" t="s">
        <v>35</v>
      </c>
      <c r="G362" s="10">
        <v>45933</v>
      </c>
      <c r="H362" t="s">
        <v>36</v>
      </c>
      <c r="I362" t="s">
        <v>37</v>
      </c>
      <c r="J362" t="s">
        <v>38</v>
      </c>
      <c r="K362" t="s">
        <v>98</v>
      </c>
      <c r="L362" t="s">
        <v>39</v>
      </c>
      <c r="M362">
        <v>0</v>
      </c>
      <c r="P362">
        <v>1</v>
      </c>
      <c r="Q362">
        <v>0</v>
      </c>
      <c r="S362" t="s">
        <v>40</v>
      </c>
      <c r="T362" s="10">
        <v>45926</v>
      </c>
      <c r="W362">
        <v>1</v>
      </c>
      <c r="Y362" t="s">
        <v>41</v>
      </c>
      <c r="AG362" t="s">
        <v>142</v>
      </c>
      <c r="AJ362" t="s">
        <v>717</v>
      </c>
    </row>
    <row r="363" spans="1:36" x14ac:dyDescent="0.25">
      <c r="A363">
        <v>5</v>
      </c>
      <c r="B363">
        <v>5000005059</v>
      </c>
      <c r="C363" t="s">
        <v>153</v>
      </c>
      <c r="D363">
        <v>10804483</v>
      </c>
      <c r="E363">
        <v>1</v>
      </c>
      <c r="F363" t="s">
        <v>93</v>
      </c>
      <c r="G363" s="10">
        <v>45933</v>
      </c>
      <c r="H363" t="s">
        <v>36</v>
      </c>
      <c r="I363" t="s">
        <v>37</v>
      </c>
      <c r="J363" t="s">
        <v>38</v>
      </c>
      <c r="K363" t="s">
        <v>98</v>
      </c>
      <c r="L363" t="s">
        <v>39</v>
      </c>
      <c r="M363">
        <v>0</v>
      </c>
      <c r="P363">
        <v>1</v>
      </c>
      <c r="Q363">
        <v>0</v>
      </c>
      <c r="S363" t="s">
        <v>40</v>
      </c>
      <c r="T363" s="10">
        <v>45926</v>
      </c>
      <c r="W363">
        <v>1</v>
      </c>
      <c r="Y363" t="s">
        <v>41</v>
      </c>
      <c r="AG363" t="s">
        <v>142</v>
      </c>
      <c r="AJ363" t="s">
        <v>718</v>
      </c>
    </row>
    <row r="364" spans="1:36" x14ac:dyDescent="0.25">
      <c r="A364">
        <v>6</v>
      </c>
      <c r="B364">
        <v>5000004248</v>
      </c>
      <c r="C364" t="s">
        <v>155</v>
      </c>
      <c r="D364">
        <v>10804483</v>
      </c>
      <c r="E364">
        <v>1</v>
      </c>
      <c r="F364" t="s">
        <v>93</v>
      </c>
      <c r="G364" s="10">
        <v>45933</v>
      </c>
      <c r="H364" t="s">
        <v>36</v>
      </c>
      <c r="I364" t="s">
        <v>37</v>
      </c>
      <c r="J364" t="s">
        <v>38</v>
      </c>
      <c r="K364" t="s">
        <v>98</v>
      </c>
      <c r="L364" t="s">
        <v>39</v>
      </c>
      <c r="M364">
        <v>0</v>
      </c>
      <c r="P364">
        <v>1</v>
      </c>
      <c r="Q364">
        <v>0</v>
      </c>
      <c r="S364" t="s">
        <v>40</v>
      </c>
      <c r="T364" s="10">
        <v>45926</v>
      </c>
      <c r="W364">
        <v>1</v>
      </c>
      <c r="Y364" t="s">
        <v>41</v>
      </c>
      <c r="AG364" t="s">
        <v>142</v>
      </c>
      <c r="AJ364" t="s">
        <v>719</v>
      </c>
    </row>
    <row r="365" spans="1:36" x14ac:dyDescent="0.25">
      <c r="A365">
        <v>7</v>
      </c>
      <c r="B365">
        <v>5000012021</v>
      </c>
      <c r="C365" t="s">
        <v>188</v>
      </c>
      <c r="D365">
        <v>10804483</v>
      </c>
      <c r="E365">
        <v>1</v>
      </c>
      <c r="F365" t="s">
        <v>93</v>
      </c>
      <c r="G365" s="10">
        <v>45933</v>
      </c>
      <c r="H365" t="s">
        <v>36</v>
      </c>
      <c r="I365" t="s">
        <v>37</v>
      </c>
      <c r="J365" t="s">
        <v>38</v>
      </c>
      <c r="K365" t="s">
        <v>98</v>
      </c>
      <c r="L365" t="s">
        <v>39</v>
      </c>
      <c r="M365">
        <v>0</v>
      </c>
      <c r="P365">
        <v>1</v>
      </c>
      <c r="Q365">
        <v>0</v>
      </c>
      <c r="S365" t="s">
        <v>40</v>
      </c>
      <c r="T365" s="10">
        <v>45926</v>
      </c>
      <c r="W365">
        <v>1</v>
      </c>
      <c r="Y365" t="s">
        <v>41</v>
      </c>
      <c r="AG365" t="s">
        <v>142</v>
      </c>
      <c r="AJ365" t="s">
        <v>720</v>
      </c>
    </row>
    <row r="366" spans="1:36" x14ac:dyDescent="0.25">
      <c r="A366">
        <v>8</v>
      </c>
      <c r="B366">
        <v>5000016428</v>
      </c>
      <c r="C366" t="s">
        <v>157</v>
      </c>
      <c r="D366">
        <v>10804483</v>
      </c>
      <c r="E366">
        <v>1</v>
      </c>
      <c r="F366" t="s">
        <v>35</v>
      </c>
      <c r="G366" s="10">
        <v>45933</v>
      </c>
      <c r="H366" t="s">
        <v>36</v>
      </c>
      <c r="I366" t="s">
        <v>37</v>
      </c>
      <c r="J366" t="s">
        <v>38</v>
      </c>
      <c r="K366" t="s">
        <v>98</v>
      </c>
      <c r="L366" t="s">
        <v>39</v>
      </c>
      <c r="M366">
        <v>0</v>
      </c>
      <c r="P366">
        <v>1</v>
      </c>
      <c r="Q366">
        <v>0</v>
      </c>
      <c r="S366" t="s">
        <v>40</v>
      </c>
      <c r="T366" s="10">
        <v>45926</v>
      </c>
      <c r="W366">
        <v>1</v>
      </c>
      <c r="Y366" t="s">
        <v>41</v>
      </c>
      <c r="AG366" t="s">
        <v>142</v>
      </c>
      <c r="AJ366" t="s">
        <v>721</v>
      </c>
    </row>
    <row r="367" spans="1:36" x14ac:dyDescent="0.25">
      <c r="A367">
        <v>1</v>
      </c>
      <c r="B367">
        <v>5000016671</v>
      </c>
      <c r="C367" t="s">
        <v>216</v>
      </c>
      <c r="D367">
        <v>10804537</v>
      </c>
      <c r="E367">
        <v>1</v>
      </c>
      <c r="F367" t="s">
        <v>93</v>
      </c>
      <c r="G367" s="10">
        <v>45936</v>
      </c>
      <c r="H367" t="s">
        <v>36</v>
      </c>
      <c r="I367" t="s">
        <v>37</v>
      </c>
      <c r="J367" t="s">
        <v>38</v>
      </c>
      <c r="K367" t="s">
        <v>98</v>
      </c>
      <c r="L367" t="s">
        <v>39</v>
      </c>
      <c r="M367">
        <v>1</v>
      </c>
      <c r="P367">
        <v>0</v>
      </c>
      <c r="Q367">
        <v>1</v>
      </c>
      <c r="S367" t="s">
        <v>40</v>
      </c>
      <c r="T367" s="10">
        <v>45929</v>
      </c>
      <c r="W367">
        <v>1</v>
      </c>
      <c r="Y367" t="s">
        <v>41</v>
      </c>
      <c r="AG367" t="s">
        <v>142</v>
      </c>
      <c r="AJ367" t="s">
        <v>725</v>
      </c>
    </row>
    <row r="368" spans="1:36" x14ac:dyDescent="0.25">
      <c r="A368">
        <v>2</v>
      </c>
      <c r="B368">
        <v>5000013080</v>
      </c>
      <c r="C368" t="s">
        <v>441</v>
      </c>
      <c r="D368">
        <v>10804537</v>
      </c>
      <c r="E368">
        <v>1</v>
      </c>
      <c r="F368" t="s">
        <v>35</v>
      </c>
      <c r="G368" s="10">
        <v>45936</v>
      </c>
      <c r="H368" t="s">
        <v>36</v>
      </c>
      <c r="I368" t="s">
        <v>37</v>
      </c>
      <c r="J368" t="s">
        <v>38</v>
      </c>
      <c r="K368" t="s">
        <v>98</v>
      </c>
      <c r="L368" t="s">
        <v>39</v>
      </c>
      <c r="M368">
        <v>1</v>
      </c>
      <c r="P368">
        <v>0</v>
      </c>
      <c r="Q368">
        <v>1</v>
      </c>
      <c r="S368" t="s">
        <v>40</v>
      </c>
      <c r="T368" s="10">
        <v>45929</v>
      </c>
      <c r="W368">
        <v>1</v>
      </c>
      <c r="Y368" t="s">
        <v>41</v>
      </c>
      <c r="AG368" t="s">
        <v>142</v>
      </c>
      <c r="AJ368" t="s">
        <v>726</v>
      </c>
    </row>
    <row r="369" spans="1:36" x14ac:dyDescent="0.25">
      <c r="A369">
        <v>3</v>
      </c>
      <c r="B369">
        <v>5000016930</v>
      </c>
      <c r="C369" t="s">
        <v>203</v>
      </c>
      <c r="D369">
        <v>10804537</v>
      </c>
      <c r="E369">
        <v>1</v>
      </c>
      <c r="F369" t="s">
        <v>93</v>
      </c>
      <c r="G369" s="10">
        <v>45936</v>
      </c>
      <c r="H369" t="s">
        <v>36</v>
      </c>
      <c r="I369" t="s">
        <v>37</v>
      </c>
      <c r="J369" t="s">
        <v>38</v>
      </c>
      <c r="K369" t="s">
        <v>98</v>
      </c>
      <c r="L369" t="s">
        <v>39</v>
      </c>
      <c r="M369">
        <v>0</v>
      </c>
      <c r="P369">
        <v>1</v>
      </c>
      <c r="Q369">
        <v>0</v>
      </c>
      <c r="S369" t="s">
        <v>40</v>
      </c>
      <c r="T369" s="10">
        <v>45929</v>
      </c>
      <c r="W369">
        <v>1</v>
      </c>
      <c r="Y369" t="s">
        <v>41</v>
      </c>
      <c r="AG369" t="s">
        <v>142</v>
      </c>
      <c r="AJ369" t="s">
        <v>727</v>
      </c>
    </row>
    <row r="370" spans="1:36" x14ac:dyDescent="0.25">
      <c r="A370">
        <v>1</v>
      </c>
      <c r="B370">
        <v>5000013499</v>
      </c>
      <c r="C370" t="s">
        <v>244</v>
      </c>
      <c r="D370">
        <v>10804553</v>
      </c>
      <c r="E370">
        <v>1</v>
      </c>
      <c r="F370" t="s">
        <v>35</v>
      </c>
      <c r="G370" s="10">
        <v>45937</v>
      </c>
      <c r="H370" t="s">
        <v>160</v>
      </c>
      <c r="I370" t="s">
        <v>37</v>
      </c>
      <c r="J370" t="s">
        <v>38</v>
      </c>
      <c r="K370" t="s">
        <v>98</v>
      </c>
      <c r="L370" t="s">
        <v>39</v>
      </c>
      <c r="M370">
        <v>1</v>
      </c>
      <c r="P370">
        <v>0</v>
      </c>
      <c r="Q370">
        <v>1</v>
      </c>
      <c r="S370" t="s">
        <v>40</v>
      </c>
      <c r="T370" s="10">
        <v>45930</v>
      </c>
      <c r="W370">
        <v>1</v>
      </c>
      <c r="Y370" t="s">
        <v>41</v>
      </c>
      <c r="AG370" t="s">
        <v>142</v>
      </c>
      <c r="AJ370" t="s">
        <v>728</v>
      </c>
    </row>
    <row r="371" spans="1:36" x14ac:dyDescent="0.25">
      <c r="A371">
        <v>2</v>
      </c>
      <c r="B371">
        <v>5000004248</v>
      </c>
      <c r="C371" t="s">
        <v>155</v>
      </c>
      <c r="D371">
        <v>10804553</v>
      </c>
      <c r="E371">
        <v>12</v>
      </c>
      <c r="F371" t="s">
        <v>93</v>
      </c>
      <c r="G371" s="10">
        <v>45937</v>
      </c>
      <c r="H371" t="s">
        <v>36</v>
      </c>
      <c r="I371" t="s">
        <v>37</v>
      </c>
      <c r="J371" t="s">
        <v>38</v>
      </c>
      <c r="K371" t="s">
        <v>98</v>
      </c>
      <c r="L371" t="s">
        <v>39</v>
      </c>
      <c r="M371">
        <v>1</v>
      </c>
      <c r="P371">
        <v>0</v>
      </c>
      <c r="Q371">
        <v>12</v>
      </c>
      <c r="S371" t="s">
        <v>40</v>
      </c>
      <c r="T371" s="10">
        <v>45930</v>
      </c>
      <c r="W371">
        <v>1</v>
      </c>
      <c r="Y371" t="s">
        <v>41</v>
      </c>
      <c r="AG371" t="s">
        <v>142</v>
      </c>
      <c r="AJ371" t="s">
        <v>729</v>
      </c>
    </row>
    <row r="372" spans="1:36" x14ac:dyDescent="0.25">
      <c r="A372">
        <v>1</v>
      </c>
      <c r="B372">
        <v>5000016255</v>
      </c>
      <c r="C372" t="s">
        <v>110</v>
      </c>
      <c r="D372">
        <v>10804586</v>
      </c>
      <c r="E372">
        <v>1</v>
      </c>
      <c r="F372" t="s">
        <v>93</v>
      </c>
      <c r="G372" s="10">
        <v>45939</v>
      </c>
      <c r="H372" t="s">
        <v>36</v>
      </c>
      <c r="I372" t="s">
        <v>37</v>
      </c>
      <c r="J372" t="s">
        <v>38</v>
      </c>
      <c r="K372" t="s">
        <v>98</v>
      </c>
      <c r="L372" t="s">
        <v>39</v>
      </c>
      <c r="M372">
        <v>0</v>
      </c>
      <c r="P372">
        <v>1</v>
      </c>
      <c r="Q372">
        <v>0</v>
      </c>
      <c r="S372" t="s">
        <v>40</v>
      </c>
      <c r="T372" s="10">
        <v>45932</v>
      </c>
      <c r="W372">
        <v>1</v>
      </c>
      <c r="Y372" t="s">
        <v>41</v>
      </c>
      <c r="AG372" t="s">
        <v>142</v>
      </c>
      <c r="AJ372" t="s">
        <v>730</v>
      </c>
    </row>
    <row r="373" spans="1:36" x14ac:dyDescent="0.25">
      <c r="A373">
        <v>1</v>
      </c>
      <c r="B373">
        <v>5000015919</v>
      </c>
      <c r="C373" t="s">
        <v>425</v>
      </c>
      <c r="D373">
        <v>10804599</v>
      </c>
      <c r="E373">
        <v>1</v>
      </c>
      <c r="F373" t="s">
        <v>35</v>
      </c>
      <c r="G373" s="10">
        <v>45940</v>
      </c>
      <c r="H373" t="s">
        <v>36</v>
      </c>
      <c r="I373" t="s">
        <v>37</v>
      </c>
      <c r="J373" t="s">
        <v>38</v>
      </c>
      <c r="K373" t="s">
        <v>98</v>
      </c>
      <c r="L373" t="s">
        <v>39</v>
      </c>
      <c r="M373">
        <v>0</v>
      </c>
      <c r="P373">
        <v>1</v>
      </c>
      <c r="Q373">
        <v>0</v>
      </c>
      <c r="S373" t="s">
        <v>40</v>
      </c>
      <c r="T373" s="10">
        <v>45933</v>
      </c>
      <c r="W373">
        <v>1</v>
      </c>
      <c r="Y373" t="s">
        <v>41</v>
      </c>
      <c r="AG373" t="s">
        <v>142</v>
      </c>
      <c r="AJ373" t="s">
        <v>731</v>
      </c>
    </row>
    <row r="374" spans="1:36" x14ac:dyDescent="0.25">
      <c r="A374">
        <v>2</v>
      </c>
      <c r="B374">
        <v>5000015970</v>
      </c>
      <c r="C374" t="s">
        <v>427</v>
      </c>
      <c r="D374">
        <v>10804599</v>
      </c>
      <c r="E374">
        <v>1</v>
      </c>
      <c r="F374" t="s">
        <v>35</v>
      </c>
      <c r="G374" s="10">
        <v>45940</v>
      </c>
      <c r="H374" t="s">
        <v>36</v>
      </c>
      <c r="I374" t="s">
        <v>37</v>
      </c>
      <c r="J374" t="s">
        <v>38</v>
      </c>
      <c r="K374" t="s">
        <v>98</v>
      </c>
      <c r="L374" t="s">
        <v>39</v>
      </c>
      <c r="M374">
        <v>0</v>
      </c>
      <c r="P374">
        <v>1</v>
      </c>
      <c r="Q374">
        <v>0</v>
      </c>
      <c r="S374" t="s">
        <v>40</v>
      </c>
      <c r="T374" s="10">
        <v>45933</v>
      </c>
      <c r="W374">
        <v>1</v>
      </c>
      <c r="Y374" t="s">
        <v>41</v>
      </c>
      <c r="AG374" t="s">
        <v>142</v>
      </c>
      <c r="AJ374" t="s">
        <v>732</v>
      </c>
    </row>
    <row r="375" spans="1:36" x14ac:dyDescent="0.25">
      <c r="A375">
        <v>3</v>
      </c>
      <c r="B375">
        <v>5000016185</v>
      </c>
      <c r="C375" t="s">
        <v>191</v>
      </c>
      <c r="D375">
        <v>10804599</v>
      </c>
      <c r="E375">
        <v>1</v>
      </c>
      <c r="F375" t="s">
        <v>93</v>
      </c>
      <c r="G375" s="10">
        <v>45940</v>
      </c>
      <c r="H375" t="s">
        <v>160</v>
      </c>
      <c r="I375" t="s">
        <v>37</v>
      </c>
      <c r="J375" t="s">
        <v>38</v>
      </c>
      <c r="K375" t="s">
        <v>98</v>
      </c>
      <c r="L375" t="s">
        <v>39</v>
      </c>
      <c r="M375">
        <v>0</v>
      </c>
      <c r="P375">
        <v>1</v>
      </c>
      <c r="Q375">
        <v>0</v>
      </c>
      <c r="S375" t="s">
        <v>40</v>
      </c>
      <c r="T375" s="10">
        <v>45933</v>
      </c>
      <c r="W375">
        <v>1</v>
      </c>
      <c r="Y375" t="s">
        <v>41</v>
      </c>
      <c r="AG375" t="s">
        <v>142</v>
      </c>
      <c r="AJ375" t="s">
        <v>733</v>
      </c>
    </row>
    <row r="376" spans="1:36" x14ac:dyDescent="0.25">
      <c r="A376">
        <v>4</v>
      </c>
      <c r="B376">
        <v>5000013499</v>
      </c>
      <c r="C376" t="s">
        <v>244</v>
      </c>
      <c r="D376">
        <v>10804599</v>
      </c>
      <c r="E376">
        <v>1</v>
      </c>
      <c r="F376" t="s">
        <v>35</v>
      </c>
      <c r="G376" s="10">
        <v>45940</v>
      </c>
      <c r="H376" t="s">
        <v>160</v>
      </c>
      <c r="I376" t="s">
        <v>37</v>
      </c>
      <c r="J376" t="s">
        <v>38</v>
      </c>
      <c r="K376" t="s">
        <v>98</v>
      </c>
      <c r="L376" t="s">
        <v>39</v>
      </c>
      <c r="M376">
        <v>0</v>
      </c>
      <c r="P376">
        <v>1</v>
      </c>
      <c r="Q376">
        <v>0</v>
      </c>
      <c r="S376" t="s">
        <v>40</v>
      </c>
      <c r="T376" s="10">
        <v>45933</v>
      </c>
      <c r="W376">
        <v>1</v>
      </c>
      <c r="Y376" t="s">
        <v>41</v>
      </c>
      <c r="AG376" t="s">
        <v>142</v>
      </c>
      <c r="AJ376" t="s">
        <v>734</v>
      </c>
    </row>
    <row r="377" spans="1:36" x14ac:dyDescent="0.25">
      <c r="A377">
        <v>1</v>
      </c>
      <c r="B377">
        <v>5000017967</v>
      </c>
      <c r="C377" t="s">
        <v>735</v>
      </c>
      <c r="D377">
        <v>10804625</v>
      </c>
      <c r="E377">
        <v>1</v>
      </c>
      <c r="F377" t="s">
        <v>93</v>
      </c>
      <c r="G377" s="10">
        <v>45941</v>
      </c>
      <c r="H377" t="s">
        <v>36</v>
      </c>
      <c r="I377" t="s">
        <v>37</v>
      </c>
      <c r="J377" t="s">
        <v>38</v>
      </c>
      <c r="K377" t="s">
        <v>98</v>
      </c>
      <c r="L377" t="s">
        <v>39</v>
      </c>
      <c r="M377">
        <v>0</v>
      </c>
      <c r="P377">
        <v>1</v>
      </c>
      <c r="Q377">
        <v>0</v>
      </c>
      <c r="S377" t="s">
        <v>40</v>
      </c>
      <c r="T377" s="10">
        <v>45934</v>
      </c>
      <c r="W377">
        <v>1</v>
      </c>
      <c r="Y377" t="s">
        <v>41</v>
      </c>
      <c r="AG377" t="s">
        <v>142</v>
      </c>
      <c r="AJ377" t="s">
        <v>736</v>
      </c>
    </row>
    <row r="378" spans="1:36" x14ac:dyDescent="0.25">
      <c r="A378">
        <v>2</v>
      </c>
      <c r="B378">
        <v>5000005340</v>
      </c>
      <c r="C378" t="s">
        <v>199</v>
      </c>
      <c r="D378">
        <v>10804625</v>
      </c>
      <c r="E378">
        <v>1</v>
      </c>
      <c r="F378" t="s">
        <v>35</v>
      </c>
      <c r="G378" s="10">
        <v>45941</v>
      </c>
      <c r="H378" t="s">
        <v>36</v>
      </c>
      <c r="I378" t="s">
        <v>37</v>
      </c>
      <c r="J378" t="s">
        <v>38</v>
      </c>
      <c r="K378" t="s">
        <v>98</v>
      </c>
      <c r="L378" t="s">
        <v>39</v>
      </c>
      <c r="M378">
        <v>0</v>
      </c>
      <c r="P378">
        <v>1</v>
      </c>
      <c r="Q378">
        <v>0</v>
      </c>
      <c r="S378" t="s">
        <v>40</v>
      </c>
      <c r="T378" s="10">
        <v>45934</v>
      </c>
      <c r="W378">
        <v>1</v>
      </c>
      <c r="Y378" t="s">
        <v>41</v>
      </c>
      <c r="AG378" t="s">
        <v>142</v>
      </c>
      <c r="AJ378" t="s">
        <v>737</v>
      </c>
    </row>
    <row r="379" spans="1:36" x14ac:dyDescent="0.25">
      <c r="A379">
        <v>1</v>
      </c>
      <c r="B379">
        <v>5000002171</v>
      </c>
      <c r="C379" t="s">
        <v>547</v>
      </c>
      <c r="D379">
        <v>10804651</v>
      </c>
      <c r="E379">
        <v>6</v>
      </c>
      <c r="F379" t="s">
        <v>93</v>
      </c>
      <c r="G379" s="10">
        <v>45943</v>
      </c>
      <c r="H379" t="s">
        <v>160</v>
      </c>
      <c r="I379" t="s">
        <v>37</v>
      </c>
      <c r="J379" t="s">
        <v>38</v>
      </c>
      <c r="K379" t="s">
        <v>98</v>
      </c>
      <c r="L379" t="s">
        <v>39</v>
      </c>
      <c r="M379">
        <v>0</v>
      </c>
      <c r="P379">
        <v>6</v>
      </c>
      <c r="Q379">
        <v>0</v>
      </c>
      <c r="S379" t="s">
        <v>40</v>
      </c>
      <c r="T379" s="10">
        <v>45936</v>
      </c>
      <c r="W379">
        <v>1</v>
      </c>
      <c r="Y379" t="s">
        <v>41</v>
      </c>
      <c r="AG379" t="s">
        <v>142</v>
      </c>
      <c r="AJ379" t="s">
        <v>738</v>
      </c>
    </row>
    <row r="380" spans="1:36" x14ac:dyDescent="0.25">
      <c r="A380">
        <v>2</v>
      </c>
      <c r="B380">
        <v>5000006532</v>
      </c>
      <c r="C380" t="s">
        <v>739</v>
      </c>
      <c r="D380">
        <v>10804651</v>
      </c>
      <c r="E380">
        <v>2</v>
      </c>
      <c r="F380" t="s">
        <v>93</v>
      </c>
      <c r="G380" s="10">
        <v>45943</v>
      </c>
      <c r="H380" t="s">
        <v>36</v>
      </c>
      <c r="I380" t="s">
        <v>37</v>
      </c>
      <c r="J380" t="s">
        <v>38</v>
      </c>
      <c r="K380" t="s">
        <v>98</v>
      </c>
      <c r="L380" t="s">
        <v>39</v>
      </c>
      <c r="M380">
        <v>0</v>
      </c>
      <c r="P380">
        <v>2</v>
      </c>
      <c r="Q380">
        <v>0</v>
      </c>
      <c r="S380" t="s">
        <v>40</v>
      </c>
      <c r="T380" s="10">
        <v>45936</v>
      </c>
      <c r="W380">
        <v>1</v>
      </c>
      <c r="Y380" t="s">
        <v>41</v>
      </c>
      <c r="AG380" t="s">
        <v>142</v>
      </c>
      <c r="AJ380" t="s">
        <v>738</v>
      </c>
    </row>
    <row r="381" spans="1:36" x14ac:dyDescent="0.25">
      <c r="A381">
        <v>1</v>
      </c>
      <c r="B381">
        <v>5000017216</v>
      </c>
      <c r="C381" t="s">
        <v>183</v>
      </c>
      <c r="D381">
        <v>10804696</v>
      </c>
      <c r="E381">
        <v>1</v>
      </c>
      <c r="F381" t="s">
        <v>35</v>
      </c>
      <c r="G381" s="10">
        <v>45945</v>
      </c>
      <c r="H381" t="s">
        <v>36</v>
      </c>
      <c r="I381" t="s">
        <v>37</v>
      </c>
      <c r="J381" t="s">
        <v>38</v>
      </c>
      <c r="K381" t="s">
        <v>98</v>
      </c>
      <c r="L381" t="s">
        <v>39</v>
      </c>
      <c r="M381">
        <v>0</v>
      </c>
      <c r="P381">
        <v>1</v>
      </c>
      <c r="Q381">
        <v>0</v>
      </c>
      <c r="S381" t="s">
        <v>40</v>
      </c>
      <c r="T381" s="10">
        <v>45938</v>
      </c>
      <c r="W381">
        <v>1</v>
      </c>
      <c r="Y381" t="s">
        <v>41</v>
      </c>
      <c r="AG381" t="s">
        <v>142</v>
      </c>
      <c r="AJ381" t="s">
        <v>744</v>
      </c>
    </row>
    <row r="382" spans="1:36" x14ac:dyDescent="0.25">
      <c r="A382">
        <v>2</v>
      </c>
      <c r="B382">
        <v>5000016308</v>
      </c>
      <c r="C382" t="s">
        <v>143</v>
      </c>
      <c r="D382">
        <v>10804696</v>
      </c>
      <c r="E382">
        <v>1</v>
      </c>
      <c r="F382" t="s">
        <v>35</v>
      </c>
      <c r="G382" s="10">
        <v>45945</v>
      </c>
      <c r="H382" t="s">
        <v>36</v>
      </c>
      <c r="I382" t="s">
        <v>37</v>
      </c>
      <c r="J382" t="s">
        <v>38</v>
      </c>
      <c r="K382" t="s">
        <v>98</v>
      </c>
      <c r="L382" t="s">
        <v>39</v>
      </c>
      <c r="M382">
        <v>0</v>
      </c>
      <c r="P382">
        <v>1</v>
      </c>
      <c r="Q382">
        <v>0</v>
      </c>
      <c r="S382" t="s">
        <v>40</v>
      </c>
      <c r="T382" s="10">
        <v>45938</v>
      </c>
      <c r="W382">
        <v>1</v>
      </c>
      <c r="Y382" t="s">
        <v>41</v>
      </c>
      <c r="AG382" t="s">
        <v>142</v>
      </c>
      <c r="AJ382" t="s">
        <v>745</v>
      </c>
    </row>
    <row r="383" spans="1:36" x14ac:dyDescent="0.25">
      <c r="A383">
        <v>3</v>
      </c>
      <c r="B383">
        <v>5000004248</v>
      </c>
      <c r="C383" t="s">
        <v>155</v>
      </c>
      <c r="D383">
        <v>10804696</v>
      </c>
      <c r="E383">
        <v>1</v>
      </c>
      <c r="F383" t="s">
        <v>93</v>
      </c>
      <c r="G383" s="10">
        <v>45945</v>
      </c>
      <c r="H383" t="s">
        <v>36</v>
      </c>
      <c r="I383" t="s">
        <v>37</v>
      </c>
      <c r="J383" t="s">
        <v>38</v>
      </c>
      <c r="K383" t="s">
        <v>98</v>
      </c>
      <c r="L383" t="s">
        <v>39</v>
      </c>
      <c r="M383">
        <v>0</v>
      </c>
      <c r="P383">
        <v>1</v>
      </c>
      <c r="Q383">
        <v>0</v>
      </c>
      <c r="S383" t="s">
        <v>40</v>
      </c>
      <c r="T383" s="10">
        <v>45938</v>
      </c>
      <c r="W383">
        <v>1</v>
      </c>
      <c r="Y383" t="s">
        <v>41</v>
      </c>
      <c r="AG383" t="s">
        <v>142</v>
      </c>
      <c r="AJ383" t="s">
        <v>746</v>
      </c>
    </row>
    <row r="384" spans="1:36" x14ac:dyDescent="0.25">
      <c r="A384">
        <v>4</v>
      </c>
      <c r="B384">
        <v>5000005059</v>
      </c>
      <c r="C384" t="s">
        <v>153</v>
      </c>
      <c r="D384">
        <v>10804696</v>
      </c>
      <c r="E384">
        <v>1</v>
      </c>
      <c r="F384" t="s">
        <v>93</v>
      </c>
      <c r="G384" s="10">
        <v>45945</v>
      </c>
      <c r="H384" t="s">
        <v>36</v>
      </c>
      <c r="I384" t="s">
        <v>37</v>
      </c>
      <c r="J384" t="s">
        <v>38</v>
      </c>
      <c r="K384" t="s">
        <v>98</v>
      </c>
      <c r="L384" t="s">
        <v>39</v>
      </c>
      <c r="M384">
        <v>0</v>
      </c>
      <c r="P384">
        <v>1</v>
      </c>
      <c r="Q384">
        <v>0</v>
      </c>
      <c r="S384" t="s">
        <v>40</v>
      </c>
      <c r="T384" s="10">
        <v>45938</v>
      </c>
      <c r="W384">
        <v>1</v>
      </c>
      <c r="Y384" t="s">
        <v>41</v>
      </c>
      <c r="AG384" t="s">
        <v>142</v>
      </c>
      <c r="AJ384" t="s">
        <v>747</v>
      </c>
    </row>
    <row r="385" spans="1:36" x14ac:dyDescent="0.25">
      <c r="A385">
        <v>5</v>
      </c>
      <c r="B385">
        <v>5000012021</v>
      </c>
      <c r="C385" t="s">
        <v>188</v>
      </c>
      <c r="D385">
        <v>10804696</v>
      </c>
      <c r="E385">
        <v>1</v>
      </c>
      <c r="F385" t="s">
        <v>93</v>
      </c>
      <c r="G385" s="10">
        <v>45945</v>
      </c>
      <c r="H385" t="s">
        <v>36</v>
      </c>
      <c r="I385" t="s">
        <v>37</v>
      </c>
      <c r="J385" t="s">
        <v>38</v>
      </c>
      <c r="K385" t="s">
        <v>98</v>
      </c>
      <c r="L385" t="s">
        <v>39</v>
      </c>
      <c r="M385">
        <v>0</v>
      </c>
      <c r="P385">
        <v>1</v>
      </c>
      <c r="Q385">
        <v>0</v>
      </c>
      <c r="S385" t="s">
        <v>40</v>
      </c>
      <c r="T385" s="10">
        <v>45938</v>
      </c>
      <c r="W385">
        <v>1</v>
      </c>
      <c r="Y385" t="s">
        <v>41</v>
      </c>
      <c r="AG385" t="s">
        <v>142</v>
      </c>
      <c r="AJ385" t="s">
        <v>748</v>
      </c>
    </row>
    <row r="386" spans="1:36" x14ac:dyDescent="0.25">
      <c r="A386">
        <v>6</v>
      </c>
      <c r="B386">
        <v>5000011754</v>
      </c>
      <c r="C386" t="s">
        <v>99</v>
      </c>
      <c r="D386">
        <v>10804696</v>
      </c>
      <c r="E386">
        <v>1</v>
      </c>
      <c r="F386" t="s">
        <v>93</v>
      </c>
      <c r="G386" s="10">
        <v>45945</v>
      </c>
      <c r="H386" t="s">
        <v>36</v>
      </c>
      <c r="I386" t="s">
        <v>37</v>
      </c>
      <c r="J386" t="s">
        <v>38</v>
      </c>
      <c r="K386" t="s">
        <v>98</v>
      </c>
      <c r="L386" t="s">
        <v>39</v>
      </c>
      <c r="M386">
        <v>0</v>
      </c>
      <c r="P386">
        <v>1</v>
      </c>
      <c r="Q386">
        <v>0</v>
      </c>
      <c r="S386" t="s">
        <v>40</v>
      </c>
      <c r="T386" s="10">
        <v>45938</v>
      </c>
      <c r="W386">
        <v>1</v>
      </c>
      <c r="Y386" t="s">
        <v>41</v>
      </c>
      <c r="AG386" t="s">
        <v>142</v>
      </c>
      <c r="AJ386" t="s">
        <v>749</v>
      </c>
    </row>
    <row r="387" spans="1:36" x14ac:dyDescent="0.25">
      <c r="A387">
        <v>1</v>
      </c>
      <c r="B387">
        <v>5000014667</v>
      </c>
      <c r="C387" t="s">
        <v>230</v>
      </c>
      <c r="D387">
        <v>10804719</v>
      </c>
      <c r="E387">
        <v>1</v>
      </c>
      <c r="F387" t="s">
        <v>35</v>
      </c>
      <c r="G387" s="10">
        <v>45946</v>
      </c>
      <c r="H387" t="s">
        <v>36</v>
      </c>
      <c r="I387" t="s">
        <v>37</v>
      </c>
      <c r="J387" t="s">
        <v>38</v>
      </c>
      <c r="K387" t="s">
        <v>98</v>
      </c>
      <c r="L387" t="s">
        <v>39</v>
      </c>
      <c r="M387">
        <v>0</v>
      </c>
      <c r="P387">
        <v>1</v>
      </c>
      <c r="Q387">
        <v>0</v>
      </c>
      <c r="S387" t="s">
        <v>40</v>
      </c>
      <c r="T387" s="10">
        <v>45939</v>
      </c>
      <c r="W387">
        <v>1</v>
      </c>
      <c r="Y387" t="s">
        <v>41</v>
      </c>
      <c r="AG387" t="s">
        <v>142</v>
      </c>
      <c r="AJ387" t="s">
        <v>750</v>
      </c>
    </row>
    <row r="388" spans="1:36" x14ac:dyDescent="0.25">
      <c r="A388">
        <v>1</v>
      </c>
      <c r="B388">
        <v>5000005340</v>
      </c>
      <c r="C388" t="s">
        <v>199</v>
      </c>
      <c r="D388">
        <v>10804742</v>
      </c>
      <c r="E388">
        <v>1</v>
      </c>
      <c r="F388" t="s">
        <v>35</v>
      </c>
      <c r="G388" s="10">
        <v>45947</v>
      </c>
      <c r="H388" t="s">
        <v>36</v>
      </c>
      <c r="I388" t="s">
        <v>37</v>
      </c>
      <c r="J388" t="s">
        <v>38</v>
      </c>
      <c r="K388" t="s">
        <v>98</v>
      </c>
      <c r="L388" t="s">
        <v>39</v>
      </c>
      <c r="M388">
        <v>0</v>
      </c>
      <c r="P388">
        <v>1</v>
      </c>
      <c r="Q388">
        <v>0</v>
      </c>
      <c r="S388" t="s">
        <v>40</v>
      </c>
      <c r="T388" s="10">
        <v>45940</v>
      </c>
      <c r="W388">
        <v>1</v>
      </c>
      <c r="Y388" t="s">
        <v>41</v>
      </c>
      <c r="AG388" t="s">
        <v>142</v>
      </c>
      <c r="AJ388" t="s">
        <v>751</v>
      </c>
    </row>
    <row r="389" spans="1:36" x14ac:dyDescent="0.25">
      <c r="A389">
        <v>1</v>
      </c>
      <c r="B389">
        <v>5000017624</v>
      </c>
      <c r="C389" t="s">
        <v>227</v>
      </c>
      <c r="D389">
        <v>10804744</v>
      </c>
      <c r="E389">
        <v>1</v>
      </c>
      <c r="F389" t="s">
        <v>35</v>
      </c>
      <c r="G389" s="10">
        <v>45948</v>
      </c>
      <c r="H389" t="s">
        <v>36</v>
      </c>
      <c r="I389" t="s">
        <v>37</v>
      </c>
      <c r="J389" t="s">
        <v>38</v>
      </c>
      <c r="K389" t="s">
        <v>98</v>
      </c>
      <c r="L389" t="s">
        <v>39</v>
      </c>
      <c r="M389">
        <v>1</v>
      </c>
      <c r="P389">
        <v>0</v>
      </c>
      <c r="Q389">
        <v>1</v>
      </c>
      <c r="S389" t="s">
        <v>40</v>
      </c>
      <c r="T389" s="10">
        <v>45941</v>
      </c>
      <c r="W389">
        <v>1</v>
      </c>
      <c r="Y389" t="s">
        <v>41</v>
      </c>
      <c r="AG389" t="s">
        <v>142</v>
      </c>
      <c r="AJ389" t="s">
        <v>753</v>
      </c>
    </row>
    <row r="390" spans="1:36" x14ac:dyDescent="0.25">
      <c r="A390">
        <v>2</v>
      </c>
      <c r="B390">
        <v>5000016308</v>
      </c>
      <c r="C390" t="s">
        <v>143</v>
      </c>
      <c r="D390">
        <v>10804744</v>
      </c>
      <c r="E390">
        <v>1</v>
      </c>
      <c r="F390" t="s">
        <v>35</v>
      </c>
      <c r="G390" s="10">
        <v>45948</v>
      </c>
      <c r="H390" t="s">
        <v>36</v>
      </c>
      <c r="I390" t="s">
        <v>37</v>
      </c>
      <c r="J390" t="s">
        <v>38</v>
      </c>
      <c r="K390" t="s">
        <v>98</v>
      </c>
      <c r="L390" t="s">
        <v>39</v>
      </c>
      <c r="M390">
        <v>1</v>
      </c>
      <c r="P390">
        <v>0</v>
      </c>
      <c r="Q390">
        <v>1</v>
      </c>
      <c r="S390" t="s">
        <v>40</v>
      </c>
      <c r="T390" s="10">
        <v>45941</v>
      </c>
      <c r="W390">
        <v>1</v>
      </c>
      <c r="Y390" t="s">
        <v>41</v>
      </c>
      <c r="AG390" t="s">
        <v>142</v>
      </c>
      <c r="AJ390" t="s">
        <v>754</v>
      </c>
    </row>
    <row r="391" spans="1:36" x14ac:dyDescent="0.25">
      <c r="A391">
        <v>1</v>
      </c>
      <c r="B391">
        <v>5000017971</v>
      </c>
      <c r="C391" t="s">
        <v>755</v>
      </c>
      <c r="D391">
        <v>10804759</v>
      </c>
      <c r="E391">
        <v>1</v>
      </c>
      <c r="F391" t="s">
        <v>93</v>
      </c>
      <c r="G391" s="10">
        <v>45950</v>
      </c>
      <c r="H391" t="s">
        <v>36</v>
      </c>
      <c r="I391" t="s">
        <v>37</v>
      </c>
      <c r="J391" t="s">
        <v>38</v>
      </c>
      <c r="K391" t="s">
        <v>451</v>
      </c>
      <c r="L391" t="s">
        <v>39</v>
      </c>
      <c r="M391">
        <v>0</v>
      </c>
      <c r="P391">
        <v>1</v>
      </c>
      <c r="Q391">
        <v>0</v>
      </c>
      <c r="S391" t="s">
        <v>40</v>
      </c>
      <c r="T391" s="10">
        <v>45943</v>
      </c>
      <c r="W391">
        <v>1</v>
      </c>
      <c r="Y391" t="s">
        <v>41</v>
      </c>
      <c r="AG391" t="s">
        <v>142</v>
      </c>
      <c r="AJ391" t="s">
        <v>756</v>
      </c>
    </row>
    <row r="392" spans="1:36" x14ac:dyDescent="0.25">
      <c r="A392">
        <v>1</v>
      </c>
      <c r="B392">
        <v>5000017216</v>
      </c>
      <c r="C392" t="s">
        <v>183</v>
      </c>
      <c r="D392">
        <v>10804785</v>
      </c>
      <c r="E392">
        <v>3</v>
      </c>
      <c r="F392" t="s">
        <v>35</v>
      </c>
      <c r="G392" s="10">
        <v>45951</v>
      </c>
      <c r="H392" t="s">
        <v>36</v>
      </c>
      <c r="I392" t="s">
        <v>37</v>
      </c>
      <c r="J392" t="s">
        <v>38</v>
      </c>
      <c r="K392" t="s">
        <v>98</v>
      </c>
      <c r="L392" t="s">
        <v>39</v>
      </c>
      <c r="M392">
        <v>0</v>
      </c>
      <c r="P392">
        <v>3</v>
      </c>
      <c r="Q392">
        <v>0</v>
      </c>
      <c r="S392" t="s">
        <v>40</v>
      </c>
      <c r="T392" s="10">
        <v>45944</v>
      </c>
      <c r="W392">
        <v>1</v>
      </c>
      <c r="Y392" t="s">
        <v>41</v>
      </c>
      <c r="AG392" t="s">
        <v>142</v>
      </c>
      <c r="AJ392" t="s">
        <v>757</v>
      </c>
    </row>
    <row r="393" spans="1:36" x14ac:dyDescent="0.25">
      <c r="A393">
        <v>2</v>
      </c>
      <c r="B393">
        <v>5000016308</v>
      </c>
      <c r="C393" t="s">
        <v>143</v>
      </c>
      <c r="D393">
        <v>10804785</v>
      </c>
      <c r="E393">
        <v>4</v>
      </c>
      <c r="F393" t="s">
        <v>35</v>
      </c>
      <c r="G393" s="10">
        <v>45951</v>
      </c>
      <c r="H393" t="s">
        <v>36</v>
      </c>
      <c r="I393" t="s">
        <v>37</v>
      </c>
      <c r="J393" t="s">
        <v>38</v>
      </c>
      <c r="K393" t="s">
        <v>98</v>
      </c>
      <c r="L393" t="s">
        <v>39</v>
      </c>
      <c r="M393">
        <v>0</v>
      </c>
      <c r="P393">
        <v>4</v>
      </c>
      <c r="Q393">
        <v>0</v>
      </c>
      <c r="S393" t="s">
        <v>40</v>
      </c>
      <c r="T393" s="10">
        <v>45944</v>
      </c>
      <c r="W393">
        <v>1</v>
      </c>
      <c r="Y393" t="s">
        <v>41</v>
      </c>
      <c r="AG393" t="s">
        <v>142</v>
      </c>
      <c r="AJ393" t="s">
        <v>758</v>
      </c>
    </row>
    <row r="394" spans="1:36" x14ac:dyDescent="0.25">
      <c r="A394">
        <v>3</v>
      </c>
      <c r="B394">
        <v>5000004248</v>
      </c>
      <c r="C394" t="s">
        <v>155</v>
      </c>
      <c r="D394">
        <v>10804785</v>
      </c>
      <c r="E394">
        <v>3</v>
      </c>
      <c r="F394" t="s">
        <v>93</v>
      </c>
      <c r="G394" s="10">
        <v>45951</v>
      </c>
      <c r="H394" t="s">
        <v>36</v>
      </c>
      <c r="I394" t="s">
        <v>37</v>
      </c>
      <c r="J394" t="s">
        <v>38</v>
      </c>
      <c r="K394" t="s">
        <v>98</v>
      </c>
      <c r="L394" t="s">
        <v>39</v>
      </c>
      <c r="M394">
        <v>0</v>
      </c>
      <c r="P394">
        <v>3</v>
      </c>
      <c r="Q394">
        <v>0</v>
      </c>
      <c r="S394" t="s">
        <v>40</v>
      </c>
      <c r="T394" s="10">
        <v>45944</v>
      </c>
      <c r="W394">
        <v>1</v>
      </c>
      <c r="Y394" t="s">
        <v>41</v>
      </c>
      <c r="AG394" t="s">
        <v>142</v>
      </c>
      <c r="AJ394" t="s">
        <v>759</v>
      </c>
    </row>
    <row r="395" spans="1:36" x14ac:dyDescent="0.25">
      <c r="A395">
        <v>4</v>
      </c>
      <c r="B395">
        <v>5000005059</v>
      </c>
      <c r="C395" t="s">
        <v>153</v>
      </c>
      <c r="D395">
        <v>10804785</v>
      </c>
      <c r="E395">
        <v>3</v>
      </c>
      <c r="F395" t="s">
        <v>93</v>
      </c>
      <c r="G395" s="10">
        <v>45951</v>
      </c>
      <c r="H395" t="s">
        <v>36</v>
      </c>
      <c r="I395" t="s">
        <v>37</v>
      </c>
      <c r="J395" t="s">
        <v>38</v>
      </c>
      <c r="K395" t="s">
        <v>98</v>
      </c>
      <c r="L395" t="s">
        <v>39</v>
      </c>
      <c r="M395">
        <v>0</v>
      </c>
      <c r="P395">
        <v>3</v>
      </c>
      <c r="Q395">
        <v>0</v>
      </c>
      <c r="S395" t="s">
        <v>40</v>
      </c>
      <c r="T395" s="10">
        <v>45944</v>
      </c>
      <c r="W395">
        <v>1</v>
      </c>
      <c r="Y395" t="s">
        <v>41</v>
      </c>
      <c r="AG395" t="s">
        <v>142</v>
      </c>
      <c r="AJ395" t="s">
        <v>760</v>
      </c>
    </row>
    <row r="396" spans="1:36" x14ac:dyDescent="0.25">
      <c r="A396">
        <v>5</v>
      </c>
      <c r="B396">
        <v>5000012021</v>
      </c>
      <c r="C396" t="s">
        <v>188</v>
      </c>
      <c r="D396">
        <v>10804785</v>
      </c>
      <c r="E396">
        <v>3</v>
      </c>
      <c r="F396" t="s">
        <v>93</v>
      </c>
      <c r="G396" s="10">
        <v>45951</v>
      </c>
      <c r="H396" t="s">
        <v>36</v>
      </c>
      <c r="I396" t="s">
        <v>37</v>
      </c>
      <c r="J396" t="s">
        <v>38</v>
      </c>
      <c r="K396" t="s">
        <v>98</v>
      </c>
      <c r="L396" t="s">
        <v>39</v>
      </c>
      <c r="M396">
        <v>0</v>
      </c>
      <c r="P396">
        <v>3</v>
      </c>
      <c r="Q396">
        <v>0</v>
      </c>
      <c r="S396" t="s">
        <v>40</v>
      </c>
      <c r="T396" s="10">
        <v>45944</v>
      </c>
      <c r="W396">
        <v>1</v>
      </c>
      <c r="Y396" t="s">
        <v>41</v>
      </c>
      <c r="AG396" t="s">
        <v>142</v>
      </c>
      <c r="AJ396" t="s">
        <v>761</v>
      </c>
    </row>
    <row r="397" spans="1:36" x14ac:dyDescent="0.25">
      <c r="A397">
        <v>6</v>
      </c>
      <c r="B397">
        <v>5000000739</v>
      </c>
      <c r="C397" t="s">
        <v>261</v>
      </c>
      <c r="D397">
        <v>10804785</v>
      </c>
      <c r="E397">
        <v>1</v>
      </c>
      <c r="F397" t="s">
        <v>262</v>
      </c>
      <c r="G397" s="10">
        <v>45951</v>
      </c>
      <c r="H397" t="s">
        <v>36</v>
      </c>
      <c r="I397" t="s">
        <v>37</v>
      </c>
      <c r="J397" t="s">
        <v>38</v>
      </c>
      <c r="K397" t="s">
        <v>98</v>
      </c>
      <c r="L397" t="s">
        <v>39</v>
      </c>
      <c r="M397">
        <v>1</v>
      </c>
      <c r="P397">
        <v>0</v>
      </c>
      <c r="Q397">
        <v>1</v>
      </c>
      <c r="S397" t="s">
        <v>40</v>
      </c>
      <c r="T397" s="10">
        <v>45944</v>
      </c>
      <c r="W397">
        <v>1</v>
      </c>
      <c r="Y397" t="s">
        <v>41</v>
      </c>
      <c r="AG397" t="s">
        <v>142</v>
      </c>
      <c r="AJ397" t="s">
        <v>765</v>
      </c>
    </row>
    <row r="398" spans="1:36" x14ac:dyDescent="0.25">
      <c r="A398">
        <v>7</v>
      </c>
      <c r="B398">
        <v>5000016728</v>
      </c>
      <c r="C398" t="s">
        <v>146</v>
      </c>
      <c r="D398">
        <v>10804785</v>
      </c>
      <c r="E398">
        <v>1</v>
      </c>
      <c r="F398" t="s">
        <v>35</v>
      </c>
      <c r="G398" s="10">
        <v>45951</v>
      </c>
      <c r="H398" t="s">
        <v>36</v>
      </c>
      <c r="I398" t="s">
        <v>37</v>
      </c>
      <c r="J398" t="s">
        <v>38</v>
      </c>
      <c r="K398" t="s">
        <v>98</v>
      </c>
      <c r="L398" t="s">
        <v>39</v>
      </c>
      <c r="M398">
        <v>1</v>
      </c>
      <c r="P398">
        <v>0</v>
      </c>
      <c r="Q398">
        <v>1</v>
      </c>
      <c r="S398" t="s">
        <v>40</v>
      </c>
      <c r="T398" s="10">
        <v>45944</v>
      </c>
      <c r="W398">
        <v>1</v>
      </c>
      <c r="Y398" t="s">
        <v>41</v>
      </c>
      <c r="AG398" t="s">
        <v>142</v>
      </c>
      <c r="AJ398" t="s">
        <v>766</v>
      </c>
    </row>
    <row r="399" spans="1:36" x14ac:dyDescent="0.25">
      <c r="A399">
        <v>8</v>
      </c>
      <c r="B399">
        <v>5000017978</v>
      </c>
      <c r="C399" t="s">
        <v>767</v>
      </c>
      <c r="D399">
        <v>10804785</v>
      </c>
      <c r="E399">
        <v>1</v>
      </c>
      <c r="F399" t="s">
        <v>93</v>
      </c>
      <c r="G399" s="10">
        <v>45951</v>
      </c>
      <c r="H399" t="s">
        <v>36</v>
      </c>
      <c r="I399" t="s">
        <v>37</v>
      </c>
      <c r="J399" t="s">
        <v>38</v>
      </c>
      <c r="K399" t="s">
        <v>98</v>
      </c>
      <c r="L399" t="s">
        <v>39</v>
      </c>
      <c r="M399">
        <v>0</v>
      </c>
      <c r="P399">
        <v>1</v>
      </c>
      <c r="Q399">
        <v>0</v>
      </c>
      <c r="S399" t="s">
        <v>40</v>
      </c>
      <c r="T399" s="10">
        <v>45944</v>
      </c>
      <c r="W399">
        <v>1</v>
      </c>
      <c r="Y399" t="s">
        <v>41</v>
      </c>
      <c r="AG399" t="s">
        <v>142</v>
      </c>
      <c r="AJ399" t="s">
        <v>766</v>
      </c>
    </row>
    <row r="400" spans="1:36" x14ac:dyDescent="0.25">
      <c r="A400">
        <v>1</v>
      </c>
      <c r="B400">
        <v>5000016428</v>
      </c>
      <c r="C400" t="s">
        <v>157</v>
      </c>
      <c r="D400">
        <v>10804805</v>
      </c>
      <c r="E400">
        <v>1</v>
      </c>
      <c r="F400" t="s">
        <v>35</v>
      </c>
      <c r="G400" s="10">
        <v>45952</v>
      </c>
      <c r="H400" t="s">
        <v>36</v>
      </c>
      <c r="I400" t="s">
        <v>37</v>
      </c>
      <c r="J400" t="s">
        <v>38</v>
      </c>
      <c r="K400" t="s">
        <v>98</v>
      </c>
      <c r="L400" t="s">
        <v>39</v>
      </c>
      <c r="M400">
        <v>1</v>
      </c>
      <c r="P400">
        <v>0</v>
      </c>
      <c r="Q400">
        <v>1</v>
      </c>
      <c r="S400" t="s">
        <v>40</v>
      </c>
      <c r="T400" s="10">
        <v>45945</v>
      </c>
      <c r="W400">
        <v>1</v>
      </c>
      <c r="Y400" t="s">
        <v>41</v>
      </c>
      <c r="AG400" t="s">
        <v>142</v>
      </c>
      <c r="AJ400" t="s">
        <v>768</v>
      </c>
    </row>
    <row r="401" spans="1:36" x14ac:dyDescent="0.25">
      <c r="A401">
        <v>2</v>
      </c>
      <c r="B401">
        <v>5000016308</v>
      </c>
      <c r="C401" t="s">
        <v>143</v>
      </c>
      <c r="D401">
        <v>10804805</v>
      </c>
      <c r="E401">
        <v>1</v>
      </c>
      <c r="F401" t="s">
        <v>35</v>
      </c>
      <c r="G401" s="10">
        <v>45952</v>
      </c>
      <c r="H401" t="s">
        <v>36</v>
      </c>
      <c r="I401" t="s">
        <v>37</v>
      </c>
      <c r="J401" t="s">
        <v>38</v>
      </c>
      <c r="K401" t="s">
        <v>98</v>
      </c>
      <c r="L401" t="s">
        <v>39</v>
      </c>
      <c r="M401">
        <v>1</v>
      </c>
      <c r="P401">
        <v>0</v>
      </c>
      <c r="Q401">
        <v>1</v>
      </c>
      <c r="S401" t="s">
        <v>40</v>
      </c>
      <c r="T401" s="10">
        <v>45945</v>
      </c>
      <c r="W401">
        <v>1</v>
      </c>
      <c r="Y401" t="s">
        <v>41</v>
      </c>
      <c r="AG401" t="s">
        <v>142</v>
      </c>
      <c r="AJ401" t="s">
        <v>769</v>
      </c>
    </row>
    <row r="402" spans="1:36" x14ac:dyDescent="0.25">
      <c r="A402">
        <v>1</v>
      </c>
      <c r="B402">
        <v>5000017425</v>
      </c>
      <c r="C402" t="s">
        <v>770</v>
      </c>
      <c r="D402">
        <v>10804840</v>
      </c>
      <c r="E402">
        <v>1</v>
      </c>
      <c r="F402" t="s">
        <v>93</v>
      </c>
      <c r="G402" s="10">
        <v>45954</v>
      </c>
      <c r="H402" t="s">
        <v>36</v>
      </c>
      <c r="I402" t="s">
        <v>37</v>
      </c>
      <c r="J402" t="s">
        <v>38</v>
      </c>
      <c r="K402" t="s">
        <v>98</v>
      </c>
      <c r="L402" t="s">
        <v>39</v>
      </c>
      <c r="M402">
        <v>0</v>
      </c>
      <c r="P402">
        <v>1</v>
      </c>
      <c r="Q402">
        <v>0</v>
      </c>
      <c r="S402" t="s">
        <v>40</v>
      </c>
      <c r="T402" s="10">
        <v>45947</v>
      </c>
      <c r="W402">
        <v>1</v>
      </c>
      <c r="Y402" t="s">
        <v>41</v>
      </c>
      <c r="AG402" t="s">
        <v>142</v>
      </c>
      <c r="AJ402" t="s">
        <v>771</v>
      </c>
    </row>
    <row r="403" spans="1:36" x14ac:dyDescent="0.25">
      <c r="A403">
        <v>2</v>
      </c>
      <c r="B403">
        <v>5000016930</v>
      </c>
      <c r="C403" t="s">
        <v>203</v>
      </c>
      <c r="D403">
        <v>10804840</v>
      </c>
      <c r="E403">
        <v>1</v>
      </c>
      <c r="F403" t="s">
        <v>93</v>
      </c>
      <c r="G403" s="10">
        <v>45954</v>
      </c>
      <c r="H403" t="s">
        <v>36</v>
      </c>
      <c r="I403" t="s">
        <v>37</v>
      </c>
      <c r="J403" t="s">
        <v>38</v>
      </c>
      <c r="K403" t="s">
        <v>98</v>
      </c>
      <c r="L403" t="s">
        <v>39</v>
      </c>
      <c r="M403">
        <v>0</v>
      </c>
      <c r="P403">
        <v>1</v>
      </c>
      <c r="Q403">
        <v>0</v>
      </c>
      <c r="S403" t="s">
        <v>40</v>
      </c>
      <c r="T403" s="10">
        <v>45947</v>
      </c>
      <c r="W403">
        <v>1</v>
      </c>
      <c r="Y403" t="s">
        <v>41</v>
      </c>
      <c r="AG403" t="s">
        <v>142</v>
      </c>
      <c r="AJ403" t="s">
        <v>772</v>
      </c>
    </row>
    <row r="404" spans="1:36" x14ac:dyDescent="0.25">
      <c r="A404">
        <v>3</v>
      </c>
      <c r="B404">
        <v>5000017979</v>
      </c>
      <c r="C404" t="s">
        <v>773</v>
      </c>
      <c r="D404">
        <v>10804840</v>
      </c>
      <c r="E404">
        <v>2</v>
      </c>
      <c r="F404" t="s">
        <v>93</v>
      </c>
      <c r="G404" s="10">
        <v>45954</v>
      </c>
      <c r="H404" t="s">
        <v>382</v>
      </c>
      <c r="I404" t="s">
        <v>37</v>
      </c>
      <c r="J404" t="s">
        <v>38</v>
      </c>
      <c r="K404" t="s">
        <v>98</v>
      </c>
      <c r="L404" t="s">
        <v>39</v>
      </c>
      <c r="M404">
        <v>0</v>
      </c>
      <c r="P404">
        <v>2</v>
      </c>
      <c r="Q404">
        <v>0</v>
      </c>
      <c r="S404" t="s">
        <v>40</v>
      </c>
      <c r="T404" s="10">
        <v>45947</v>
      </c>
      <c r="U404" t="s">
        <v>40</v>
      </c>
      <c r="V404" s="25">
        <v>45947</v>
      </c>
      <c r="W404">
        <v>1</v>
      </c>
      <c r="Y404" t="s">
        <v>41</v>
      </c>
      <c r="AG404" t="s">
        <v>142</v>
      </c>
      <c r="AJ404" t="s">
        <v>584</v>
      </c>
    </row>
    <row r="405" spans="1:36" x14ac:dyDescent="0.25">
      <c r="A405">
        <v>4</v>
      </c>
      <c r="B405">
        <v>5000013640</v>
      </c>
      <c r="C405" t="s">
        <v>159</v>
      </c>
      <c r="D405">
        <v>10804840</v>
      </c>
      <c r="E405">
        <v>19</v>
      </c>
      <c r="F405" t="s">
        <v>93</v>
      </c>
      <c r="G405" s="10">
        <v>45954</v>
      </c>
      <c r="H405" t="s">
        <v>160</v>
      </c>
      <c r="I405" t="s">
        <v>37</v>
      </c>
      <c r="J405" t="s">
        <v>38</v>
      </c>
      <c r="K405" t="s">
        <v>98</v>
      </c>
      <c r="L405" t="s">
        <v>39</v>
      </c>
      <c r="M405">
        <v>0</v>
      </c>
      <c r="P405">
        <v>19</v>
      </c>
      <c r="Q405">
        <v>0</v>
      </c>
      <c r="S405" t="s">
        <v>40</v>
      </c>
      <c r="T405" s="10">
        <v>45947</v>
      </c>
      <c r="W405">
        <v>1</v>
      </c>
      <c r="Y405" t="s">
        <v>41</v>
      </c>
      <c r="AG405" t="s">
        <v>142</v>
      </c>
      <c r="AJ405" t="s">
        <v>774</v>
      </c>
    </row>
    <row r="406" spans="1:36" x14ac:dyDescent="0.25">
      <c r="A406">
        <v>5</v>
      </c>
      <c r="B406">
        <v>5000016322</v>
      </c>
      <c r="C406" t="s">
        <v>388</v>
      </c>
      <c r="D406">
        <v>10804840</v>
      </c>
      <c r="E406">
        <v>19</v>
      </c>
      <c r="F406" t="s">
        <v>93</v>
      </c>
      <c r="G406" s="10">
        <v>45954</v>
      </c>
      <c r="H406" t="s">
        <v>36</v>
      </c>
      <c r="I406" t="s">
        <v>37</v>
      </c>
      <c r="J406" t="s">
        <v>38</v>
      </c>
      <c r="K406" t="s">
        <v>98</v>
      </c>
      <c r="L406" t="s">
        <v>39</v>
      </c>
      <c r="M406">
        <v>0</v>
      </c>
      <c r="P406">
        <v>19</v>
      </c>
      <c r="Q406">
        <v>0</v>
      </c>
      <c r="S406" t="s">
        <v>40</v>
      </c>
      <c r="T406" s="10">
        <v>45947</v>
      </c>
      <c r="W406">
        <v>1</v>
      </c>
      <c r="Y406" t="s">
        <v>41</v>
      </c>
      <c r="AG406" t="s">
        <v>142</v>
      </c>
      <c r="AJ406" t="s">
        <v>775</v>
      </c>
    </row>
    <row r="407" spans="1:36" x14ac:dyDescent="0.25">
      <c r="A407">
        <v>6</v>
      </c>
      <c r="B407">
        <v>5000016323</v>
      </c>
      <c r="C407" t="s">
        <v>596</v>
      </c>
      <c r="D407">
        <v>10804840</v>
      </c>
      <c r="E407">
        <v>10</v>
      </c>
      <c r="F407" t="s">
        <v>93</v>
      </c>
      <c r="G407" s="10">
        <v>45954</v>
      </c>
      <c r="H407" t="s">
        <v>36</v>
      </c>
      <c r="I407" t="s">
        <v>37</v>
      </c>
      <c r="J407" t="s">
        <v>38</v>
      </c>
      <c r="K407" t="s">
        <v>98</v>
      </c>
      <c r="L407" t="s">
        <v>39</v>
      </c>
      <c r="M407">
        <v>0</v>
      </c>
      <c r="P407">
        <v>10</v>
      </c>
      <c r="Q407">
        <v>0</v>
      </c>
      <c r="S407" t="s">
        <v>40</v>
      </c>
      <c r="T407" s="10">
        <v>45947</v>
      </c>
      <c r="W407">
        <v>1</v>
      </c>
      <c r="Y407" t="s">
        <v>41</v>
      </c>
      <c r="AG407" t="s">
        <v>142</v>
      </c>
      <c r="AJ407" t="s">
        <v>776</v>
      </c>
    </row>
    <row r="408" spans="1:36" x14ac:dyDescent="0.25">
      <c r="A408">
        <v>1</v>
      </c>
      <c r="B408">
        <v>5000017216</v>
      </c>
      <c r="C408" t="s">
        <v>183</v>
      </c>
      <c r="D408">
        <v>10804912</v>
      </c>
      <c r="E408">
        <v>1</v>
      </c>
      <c r="F408" t="s">
        <v>35</v>
      </c>
      <c r="G408" s="10">
        <v>45959</v>
      </c>
      <c r="H408" t="s">
        <v>36</v>
      </c>
      <c r="I408" t="s">
        <v>37</v>
      </c>
      <c r="J408" t="s">
        <v>38</v>
      </c>
      <c r="K408" t="s">
        <v>98</v>
      </c>
      <c r="L408" t="s">
        <v>39</v>
      </c>
      <c r="M408">
        <v>1</v>
      </c>
      <c r="P408">
        <v>0</v>
      </c>
      <c r="Q408">
        <v>1</v>
      </c>
      <c r="S408" t="s">
        <v>40</v>
      </c>
      <c r="T408" s="10">
        <v>45952</v>
      </c>
      <c r="W408">
        <v>1</v>
      </c>
      <c r="Y408" t="s">
        <v>41</v>
      </c>
      <c r="AG408" t="s">
        <v>142</v>
      </c>
      <c r="AJ408" t="s">
        <v>783</v>
      </c>
    </row>
    <row r="409" spans="1:36" x14ac:dyDescent="0.25">
      <c r="A409">
        <v>2</v>
      </c>
      <c r="B409">
        <v>5000011754</v>
      </c>
      <c r="C409" t="s">
        <v>99</v>
      </c>
      <c r="D409">
        <v>10804912</v>
      </c>
      <c r="E409">
        <v>5</v>
      </c>
      <c r="F409" t="s">
        <v>93</v>
      </c>
      <c r="G409" s="10">
        <v>45959</v>
      </c>
      <c r="H409" t="s">
        <v>36</v>
      </c>
      <c r="I409" t="s">
        <v>37</v>
      </c>
      <c r="J409" t="s">
        <v>38</v>
      </c>
      <c r="K409" t="s">
        <v>98</v>
      </c>
      <c r="L409" t="s">
        <v>39</v>
      </c>
      <c r="M409">
        <v>1</v>
      </c>
      <c r="P409">
        <v>0</v>
      </c>
      <c r="Q409">
        <v>5</v>
      </c>
      <c r="S409" t="s">
        <v>40</v>
      </c>
      <c r="T409" s="10">
        <v>45952</v>
      </c>
      <c r="W409">
        <v>1</v>
      </c>
      <c r="Y409" t="s">
        <v>41</v>
      </c>
      <c r="AG409" t="s">
        <v>142</v>
      </c>
      <c r="AJ409" t="s">
        <v>784</v>
      </c>
    </row>
    <row r="410" spans="1:36" x14ac:dyDescent="0.25">
      <c r="A410">
        <v>1</v>
      </c>
      <c r="B410">
        <v>5000005059</v>
      </c>
      <c r="C410" t="s">
        <v>153</v>
      </c>
      <c r="D410">
        <v>10804952</v>
      </c>
      <c r="E410">
        <v>1</v>
      </c>
      <c r="F410" t="s">
        <v>93</v>
      </c>
      <c r="G410" s="10">
        <v>45961</v>
      </c>
      <c r="H410" t="s">
        <v>36</v>
      </c>
      <c r="I410" t="s">
        <v>37</v>
      </c>
      <c r="J410" t="s">
        <v>38</v>
      </c>
      <c r="K410" t="s">
        <v>98</v>
      </c>
      <c r="L410" t="s">
        <v>39</v>
      </c>
      <c r="M410">
        <v>0</v>
      </c>
      <c r="P410">
        <v>1</v>
      </c>
      <c r="Q410">
        <v>0</v>
      </c>
      <c r="S410" t="s">
        <v>40</v>
      </c>
      <c r="T410" s="10">
        <v>45954</v>
      </c>
      <c r="W410">
        <v>1</v>
      </c>
      <c r="Y410" t="s">
        <v>41</v>
      </c>
      <c r="AG410" t="s">
        <v>142</v>
      </c>
      <c r="AJ410" t="s">
        <v>785</v>
      </c>
    </row>
    <row r="411" spans="1:36" x14ac:dyDescent="0.25">
      <c r="A411">
        <v>2</v>
      </c>
      <c r="B411">
        <v>5000016255</v>
      </c>
      <c r="C411" t="s">
        <v>110</v>
      </c>
      <c r="D411">
        <v>10804952</v>
      </c>
      <c r="E411">
        <v>1</v>
      </c>
      <c r="F411" t="s">
        <v>93</v>
      </c>
      <c r="G411" s="10">
        <v>45961</v>
      </c>
      <c r="H411" t="s">
        <v>36</v>
      </c>
      <c r="I411" t="s">
        <v>37</v>
      </c>
      <c r="J411" t="s">
        <v>38</v>
      </c>
      <c r="K411" t="s">
        <v>98</v>
      </c>
      <c r="L411" t="s">
        <v>39</v>
      </c>
      <c r="M411">
        <v>0</v>
      </c>
      <c r="P411">
        <v>1</v>
      </c>
      <c r="Q411">
        <v>0</v>
      </c>
      <c r="S411" t="s">
        <v>40</v>
      </c>
      <c r="T411" s="10">
        <v>45954</v>
      </c>
      <c r="W411">
        <v>1</v>
      </c>
      <c r="Y411" t="s">
        <v>41</v>
      </c>
      <c r="AG411" t="s">
        <v>142</v>
      </c>
      <c r="AJ411" t="s">
        <v>786</v>
      </c>
    </row>
    <row r="412" spans="1:36" x14ac:dyDescent="0.25">
      <c r="A412">
        <v>3</v>
      </c>
      <c r="B412">
        <v>5000014237</v>
      </c>
      <c r="C412" t="s">
        <v>305</v>
      </c>
      <c r="D412">
        <v>10804952</v>
      </c>
      <c r="E412">
        <v>1</v>
      </c>
      <c r="F412" t="s">
        <v>296</v>
      </c>
      <c r="G412" s="10">
        <v>45961</v>
      </c>
      <c r="H412" t="s">
        <v>36</v>
      </c>
      <c r="I412" t="s">
        <v>37</v>
      </c>
      <c r="J412" t="s">
        <v>38</v>
      </c>
      <c r="K412" t="s">
        <v>98</v>
      </c>
      <c r="L412" t="s">
        <v>39</v>
      </c>
      <c r="M412">
        <v>0</v>
      </c>
      <c r="P412">
        <v>1</v>
      </c>
      <c r="Q412">
        <v>0</v>
      </c>
      <c r="S412" t="s">
        <v>40</v>
      </c>
      <c r="T412" s="10">
        <v>45954</v>
      </c>
      <c r="W412">
        <v>1</v>
      </c>
      <c r="Y412" t="s">
        <v>41</v>
      </c>
      <c r="AG412" t="s">
        <v>142</v>
      </c>
      <c r="AJ412" t="s">
        <v>787</v>
      </c>
    </row>
    <row r="413" spans="1:36" x14ac:dyDescent="0.25">
      <c r="A413">
        <v>1</v>
      </c>
      <c r="B413">
        <v>5000016428</v>
      </c>
      <c r="C413" t="s">
        <v>157</v>
      </c>
      <c r="D413">
        <v>10804977</v>
      </c>
      <c r="E413">
        <v>1</v>
      </c>
      <c r="F413" t="s">
        <v>35</v>
      </c>
      <c r="G413" s="10">
        <v>45964</v>
      </c>
      <c r="H413" t="s">
        <v>36</v>
      </c>
      <c r="I413" t="s">
        <v>37</v>
      </c>
      <c r="J413" t="s">
        <v>38</v>
      </c>
      <c r="K413" t="s">
        <v>98</v>
      </c>
      <c r="L413" t="s">
        <v>39</v>
      </c>
      <c r="M413">
        <v>1</v>
      </c>
      <c r="P413">
        <v>0</v>
      </c>
      <c r="Q413">
        <v>1</v>
      </c>
      <c r="S413" t="s">
        <v>40</v>
      </c>
      <c r="T413" s="10">
        <v>45957</v>
      </c>
      <c r="W413">
        <v>1</v>
      </c>
      <c r="Y413" t="s">
        <v>41</v>
      </c>
      <c r="AG413" t="s">
        <v>142</v>
      </c>
      <c r="AJ413" t="s">
        <v>789</v>
      </c>
    </row>
    <row r="414" spans="1:36" x14ac:dyDescent="0.25">
      <c r="A414">
        <v>2</v>
      </c>
      <c r="B414">
        <v>5000016930</v>
      </c>
      <c r="C414" t="s">
        <v>203</v>
      </c>
      <c r="D414">
        <v>10804977</v>
      </c>
      <c r="E414">
        <v>1</v>
      </c>
      <c r="F414" t="s">
        <v>93</v>
      </c>
      <c r="G414" s="10">
        <v>45964</v>
      </c>
      <c r="H414" t="s">
        <v>36</v>
      </c>
      <c r="I414" t="s">
        <v>37</v>
      </c>
      <c r="J414" t="s">
        <v>38</v>
      </c>
      <c r="K414" t="s">
        <v>98</v>
      </c>
      <c r="L414" t="s">
        <v>39</v>
      </c>
      <c r="M414">
        <v>0</v>
      </c>
      <c r="P414">
        <v>1</v>
      </c>
      <c r="Q414">
        <v>0</v>
      </c>
      <c r="S414" t="s">
        <v>40</v>
      </c>
      <c r="T414" s="10">
        <v>45957</v>
      </c>
      <c r="W414">
        <v>1</v>
      </c>
      <c r="Y414" t="s">
        <v>41</v>
      </c>
      <c r="AG414" t="s">
        <v>142</v>
      </c>
      <c r="AJ414" t="s">
        <v>790</v>
      </c>
    </row>
    <row r="415" spans="1:36" x14ac:dyDescent="0.25">
      <c r="A415">
        <v>3</v>
      </c>
      <c r="B415">
        <v>5000017216</v>
      </c>
      <c r="C415" t="s">
        <v>183</v>
      </c>
      <c r="D415">
        <v>10804977</v>
      </c>
      <c r="E415">
        <v>1</v>
      </c>
      <c r="F415" t="s">
        <v>35</v>
      </c>
      <c r="G415" s="10">
        <v>45964</v>
      </c>
      <c r="H415" t="s">
        <v>36</v>
      </c>
      <c r="I415" t="s">
        <v>37</v>
      </c>
      <c r="J415" t="s">
        <v>38</v>
      </c>
      <c r="K415" t="s">
        <v>98</v>
      </c>
      <c r="L415" t="s">
        <v>39</v>
      </c>
      <c r="M415">
        <v>1</v>
      </c>
      <c r="P415">
        <v>0</v>
      </c>
      <c r="Q415">
        <v>1</v>
      </c>
      <c r="S415" t="s">
        <v>40</v>
      </c>
      <c r="T415" s="10">
        <v>45957</v>
      </c>
      <c r="W415">
        <v>1</v>
      </c>
      <c r="Y415" t="s">
        <v>41</v>
      </c>
      <c r="AG415" t="s">
        <v>142</v>
      </c>
      <c r="AJ415" t="s">
        <v>791</v>
      </c>
    </row>
    <row r="416" spans="1:36" x14ac:dyDescent="0.25">
      <c r="A416">
        <v>4</v>
      </c>
      <c r="B416">
        <v>5000005059</v>
      </c>
      <c r="C416" t="s">
        <v>153</v>
      </c>
      <c r="D416">
        <v>10804977</v>
      </c>
      <c r="E416">
        <v>1</v>
      </c>
      <c r="F416" t="s">
        <v>93</v>
      </c>
      <c r="G416" s="10">
        <v>45964</v>
      </c>
      <c r="H416" t="s">
        <v>36</v>
      </c>
      <c r="I416" t="s">
        <v>37</v>
      </c>
      <c r="J416" t="s">
        <v>38</v>
      </c>
      <c r="K416" t="s">
        <v>98</v>
      </c>
      <c r="L416" t="s">
        <v>39</v>
      </c>
      <c r="M416">
        <v>1</v>
      </c>
      <c r="P416">
        <v>0</v>
      </c>
      <c r="Q416">
        <v>1</v>
      </c>
      <c r="S416" t="s">
        <v>40</v>
      </c>
      <c r="T416" s="10">
        <v>45957</v>
      </c>
      <c r="W416">
        <v>1</v>
      </c>
      <c r="Y416" t="s">
        <v>41</v>
      </c>
      <c r="AG416" t="s">
        <v>142</v>
      </c>
      <c r="AJ416" t="s">
        <v>792</v>
      </c>
    </row>
    <row r="417" spans="1:36" x14ac:dyDescent="0.25">
      <c r="A417">
        <v>5</v>
      </c>
      <c r="B417">
        <v>5000016308</v>
      </c>
      <c r="C417" t="s">
        <v>143</v>
      </c>
      <c r="D417">
        <v>10804977</v>
      </c>
      <c r="E417">
        <v>1</v>
      </c>
      <c r="F417" t="s">
        <v>35</v>
      </c>
      <c r="G417" s="10">
        <v>45964</v>
      </c>
      <c r="H417" t="s">
        <v>36</v>
      </c>
      <c r="I417" t="s">
        <v>37</v>
      </c>
      <c r="J417" t="s">
        <v>38</v>
      </c>
      <c r="K417" t="s">
        <v>98</v>
      </c>
      <c r="L417" t="s">
        <v>39</v>
      </c>
      <c r="M417">
        <v>1</v>
      </c>
      <c r="P417">
        <v>0</v>
      </c>
      <c r="Q417">
        <v>1</v>
      </c>
      <c r="S417" t="s">
        <v>40</v>
      </c>
      <c r="T417" s="10">
        <v>45957</v>
      </c>
      <c r="W417">
        <v>1</v>
      </c>
      <c r="Y417" t="s">
        <v>41</v>
      </c>
      <c r="AG417" t="s">
        <v>142</v>
      </c>
      <c r="AJ417" t="s">
        <v>793</v>
      </c>
    </row>
    <row r="418" spans="1:36" x14ac:dyDescent="0.25">
      <c r="A418">
        <v>6</v>
      </c>
      <c r="B418">
        <v>5000004248</v>
      </c>
      <c r="C418" t="s">
        <v>155</v>
      </c>
      <c r="D418">
        <v>10804977</v>
      </c>
      <c r="E418">
        <v>1</v>
      </c>
      <c r="F418" t="s">
        <v>93</v>
      </c>
      <c r="G418" s="10">
        <v>45964</v>
      </c>
      <c r="H418" t="s">
        <v>36</v>
      </c>
      <c r="I418" t="s">
        <v>37</v>
      </c>
      <c r="J418" t="s">
        <v>38</v>
      </c>
      <c r="K418" t="s">
        <v>98</v>
      </c>
      <c r="L418" t="s">
        <v>39</v>
      </c>
      <c r="M418">
        <v>1</v>
      </c>
      <c r="P418">
        <v>0</v>
      </c>
      <c r="Q418">
        <v>1</v>
      </c>
      <c r="S418" t="s">
        <v>40</v>
      </c>
      <c r="T418" s="10">
        <v>45957</v>
      </c>
      <c r="W418">
        <v>1</v>
      </c>
      <c r="Y418" t="s">
        <v>41</v>
      </c>
      <c r="AG418" t="s">
        <v>142</v>
      </c>
      <c r="AJ418" t="s">
        <v>794</v>
      </c>
    </row>
    <row r="419" spans="1:36" x14ac:dyDescent="0.25">
      <c r="A419">
        <v>7</v>
      </c>
      <c r="B419">
        <v>5000012021</v>
      </c>
      <c r="C419" t="s">
        <v>188</v>
      </c>
      <c r="D419">
        <v>10804977</v>
      </c>
      <c r="E419">
        <v>1</v>
      </c>
      <c r="F419" t="s">
        <v>93</v>
      </c>
      <c r="G419" s="10">
        <v>45964</v>
      </c>
      <c r="H419" t="s">
        <v>36</v>
      </c>
      <c r="I419" t="s">
        <v>37</v>
      </c>
      <c r="J419" t="s">
        <v>38</v>
      </c>
      <c r="K419" t="s">
        <v>98</v>
      </c>
      <c r="L419" t="s">
        <v>39</v>
      </c>
      <c r="M419">
        <v>1</v>
      </c>
      <c r="P419">
        <v>0</v>
      </c>
      <c r="Q419">
        <v>1</v>
      </c>
      <c r="S419" t="s">
        <v>40</v>
      </c>
      <c r="T419" s="10">
        <v>45957</v>
      </c>
      <c r="W419">
        <v>1</v>
      </c>
      <c r="Y419" t="s">
        <v>41</v>
      </c>
      <c r="AG419" t="s">
        <v>142</v>
      </c>
      <c r="AJ419" t="s">
        <v>795</v>
      </c>
    </row>
    <row r="420" spans="1:36" x14ac:dyDescent="0.25">
      <c r="A420">
        <v>8</v>
      </c>
      <c r="B420">
        <v>5000011754</v>
      </c>
      <c r="C420" t="s">
        <v>99</v>
      </c>
      <c r="D420">
        <v>10804977</v>
      </c>
      <c r="E420">
        <v>1</v>
      </c>
      <c r="F420" t="s">
        <v>93</v>
      </c>
      <c r="G420" s="10">
        <v>45964</v>
      </c>
      <c r="H420" t="s">
        <v>36</v>
      </c>
      <c r="I420" t="s">
        <v>37</v>
      </c>
      <c r="J420" t="s">
        <v>38</v>
      </c>
      <c r="K420" t="s">
        <v>98</v>
      </c>
      <c r="L420" t="s">
        <v>39</v>
      </c>
      <c r="M420">
        <v>1</v>
      </c>
      <c r="P420">
        <v>0</v>
      </c>
      <c r="Q420">
        <v>1</v>
      </c>
      <c r="S420" t="s">
        <v>40</v>
      </c>
      <c r="T420" s="10">
        <v>45957</v>
      </c>
      <c r="W420">
        <v>1</v>
      </c>
      <c r="Y420" t="s">
        <v>41</v>
      </c>
      <c r="AG420" t="s">
        <v>142</v>
      </c>
      <c r="AJ420" t="s">
        <v>794</v>
      </c>
    </row>
    <row r="421" spans="1:36" x14ac:dyDescent="0.25">
      <c r="A421">
        <v>9</v>
      </c>
      <c r="B421">
        <v>5000015000</v>
      </c>
      <c r="C421" t="s">
        <v>176</v>
      </c>
      <c r="D421">
        <v>10804977</v>
      </c>
      <c r="E421">
        <v>2</v>
      </c>
      <c r="F421" t="s">
        <v>35</v>
      </c>
      <c r="G421" s="10">
        <v>45964</v>
      </c>
      <c r="H421" t="s">
        <v>36</v>
      </c>
      <c r="I421" t="s">
        <v>37</v>
      </c>
      <c r="J421" t="s">
        <v>38</v>
      </c>
      <c r="K421" t="s">
        <v>98</v>
      </c>
      <c r="L421" t="s">
        <v>39</v>
      </c>
      <c r="M421">
        <v>0</v>
      </c>
      <c r="P421">
        <v>2</v>
      </c>
      <c r="Q421">
        <v>0</v>
      </c>
      <c r="S421" t="s">
        <v>40</v>
      </c>
      <c r="T421" s="10">
        <v>45957</v>
      </c>
      <c r="W421">
        <v>1</v>
      </c>
      <c r="Y421" t="s">
        <v>41</v>
      </c>
      <c r="AG421" t="s">
        <v>142</v>
      </c>
      <c r="AJ421" t="s">
        <v>796</v>
      </c>
    </row>
    <row r="422" spans="1:36" x14ac:dyDescent="0.25">
      <c r="A422">
        <v>10</v>
      </c>
      <c r="B422">
        <v>5000005340</v>
      </c>
      <c r="C422" t="s">
        <v>199</v>
      </c>
      <c r="D422">
        <v>10804977</v>
      </c>
      <c r="E422">
        <v>1</v>
      </c>
      <c r="F422" t="s">
        <v>35</v>
      </c>
      <c r="G422" s="10">
        <v>45964</v>
      </c>
      <c r="H422" t="s">
        <v>36</v>
      </c>
      <c r="I422" t="s">
        <v>37</v>
      </c>
      <c r="J422" t="s">
        <v>38</v>
      </c>
      <c r="K422" t="s">
        <v>98</v>
      </c>
      <c r="L422" t="s">
        <v>39</v>
      </c>
      <c r="M422">
        <v>0</v>
      </c>
      <c r="P422">
        <v>1</v>
      </c>
      <c r="Q422">
        <v>0</v>
      </c>
      <c r="S422" t="s">
        <v>40</v>
      </c>
      <c r="T422" s="10">
        <v>45957</v>
      </c>
      <c r="W422">
        <v>1</v>
      </c>
      <c r="Y422" t="s">
        <v>41</v>
      </c>
      <c r="AG422" t="s">
        <v>142</v>
      </c>
      <c r="AJ422" t="s">
        <v>797</v>
      </c>
    </row>
    <row r="423" spans="1:36" x14ac:dyDescent="0.25">
      <c r="A423">
        <v>1</v>
      </c>
      <c r="B423">
        <v>5000017856</v>
      </c>
      <c r="C423" t="s">
        <v>566</v>
      </c>
      <c r="D423">
        <v>10805000</v>
      </c>
      <c r="E423">
        <v>1</v>
      </c>
      <c r="F423" t="s">
        <v>35</v>
      </c>
      <c r="G423" s="10">
        <v>45965</v>
      </c>
      <c r="H423" t="s">
        <v>36</v>
      </c>
      <c r="I423" t="s">
        <v>37</v>
      </c>
      <c r="J423" t="s">
        <v>38</v>
      </c>
      <c r="K423" t="s">
        <v>98</v>
      </c>
      <c r="L423" t="s">
        <v>39</v>
      </c>
      <c r="M423">
        <v>0</v>
      </c>
      <c r="P423">
        <v>1</v>
      </c>
      <c r="Q423">
        <v>0</v>
      </c>
      <c r="S423" t="s">
        <v>40</v>
      </c>
      <c r="T423" s="10">
        <v>45958</v>
      </c>
      <c r="W423">
        <v>1</v>
      </c>
      <c r="Y423" t="s">
        <v>41</v>
      </c>
      <c r="AG423" t="s">
        <v>142</v>
      </c>
      <c r="AJ423" t="s">
        <v>798</v>
      </c>
    </row>
    <row r="424" spans="1:36" x14ac:dyDescent="0.25">
      <c r="A424">
        <v>2</v>
      </c>
      <c r="B424">
        <v>5000011960</v>
      </c>
      <c r="C424" t="s">
        <v>478</v>
      </c>
      <c r="D424">
        <v>10805000</v>
      </c>
      <c r="E424">
        <v>1</v>
      </c>
      <c r="F424" t="s">
        <v>93</v>
      </c>
      <c r="G424" s="10">
        <v>45965</v>
      </c>
      <c r="H424" t="s">
        <v>36</v>
      </c>
      <c r="I424" t="s">
        <v>37</v>
      </c>
      <c r="J424" t="s">
        <v>38</v>
      </c>
      <c r="K424" t="s">
        <v>98</v>
      </c>
      <c r="L424" t="s">
        <v>39</v>
      </c>
      <c r="M424">
        <v>0</v>
      </c>
      <c r="P424">
        <v>1</v>
      </c>
      <c r="Q424">
        <v>0</v>
      </c>
      <c r="S424" t="s">
        <v>40</v>
      </c>
      <c r="T424" s="10">
        <v>45958</v>
      </c>
      <c r="W424">
        <v>1</v>
      </c>
      <c r="Y424" t="s">
        <v>41</v>
      </c>
      <c r="AG424" t="s">
        <v>142</v>
      </c>
      <c r="AJ424" t="s">
        <v>799</v>
      </c>
    </row>
    <row r="425" spans="1:36" x14ac:dyDescent="0.25">
      <c r="A425">
        <v>3</v>
      </c>
      <c r="B425">
        <v>5000014291</v>
      </c>
      <c r="C425" t="s">
        <v>406</v>
      </c>
      <c r="D425">
        <v>10805000</v>
      </c>
      <c r="E425">
        <v>1</v>
      </c>
      <c r="F425" t="s">
        <v>296</v>
      </c>
      <c r="G425" s="10">
        <v>45965</v>
      </c>
      <c r="H425" t="s">
        <v>36</v>
      </c>
      <c r="I425" t="s">
        <v>37</v>
      </c>
      <c r="J425" t="s">
        <v>38</v>
      </c>
      <c r="K425" t="s">
        <v>98</v>
      </c>
      <c r="L425" t="s">
        <v>39</v>
      </c>
      <c r="M425">
        <v>0</v>
      </c>
      <c r="P425">
        <v>1</v>
      </c>
      <c r="Q425">
        <v>0</v>
      </c>
      <c r="S425" t="s">
        <v>40</v>
      </c>
      <c r="T425" s="10">
        <v>45958</v>
      </c>
      <c r="W425">
        <v>1</v>
      </c>
      <c r="Y425" t="s">
        <v>41</v>
      </c>
      <c r="AG425" t="s">
        <v>142</v>
      </c>
      <c r="AJ425" t="s">
        <v>800</v>
      </c>
    </row>
    <row r="426" spans="1:36" x14ac:dyDescent="0.25">
      <c r="A426">
        <v>4</v>
      </c>
      <c r="B426">
        <v>5000016671</v>
      </c>
      <c r="C426" t="s">
        <v>216</v>
      </c>
      <c r="D426">
        <v>10805000</v>
      </c>
      <c r="E426">
        <v>1</v>
      </c>
      <c r="F426" t="s">
        <v>93</v>
      </c>
      <c r="G426" s="10">
        <v>45965</v>
      </c>
      <c r="H426" t="s">
        <v>36</v>
      </c>
      <c r="I426" t="s">
        <v>37</v>
      </c>
      <c r="J426" t="s">
        <v>38</v>
      </c>
      <c r="K426" t="s">
        <v>98</v>
      </c>
      <c r="L426" t="s">
        <v>39</v>
      </c>
      <c r="M426">
        <v>0</v>
      </c>
      <c r="P426">
        <v>1</v>
      </c>
      <c r="Q426">
        <v>0</v>
      </c>
      <c r="S426" t="s">
        <v>40</v>
      </c>
      <c r="T426" s="10">
        <v>45958</v>
      </c>
      <c r="W426">
        <v>1</v>
      </c>
      <c r="Y426" t="s">
        <v>41</v>
      </c>
      <c r="AG426" t="s">
        <v>142</v>
      </c>
      <c r="AJ426" t="s">
        <v>801</v>
      </c>
    </row>
    <row r="427" spans="1:36" x14ac:dyDescent="0.25">
      <c r="A427">
        <v>1</v>
      </c>
      <c r="B427">
        <v>5000018001</v>
      </c>
      <c r="C427" t="s">
        <v>804</v>
      </c>
      <c r="D427">
        <v>10805038</v>
      </c>
      <c r="E427">
        <v>1</v>
      </c>
      <c r="F427" t="s">
        <v>35</v>
      </c>
      <c r="G427" s="10">
        <v>45966</v>
      </c>
      <c r="H427" t="s">
        <v>36</v>
      </c>
      <c r="I427" t="s">
        <v>37</v>
      </c>
      <c r="J427" t="s">
        <v>38</v>
      </c>
      <c r="K427" t="s">
        <v>98</v>
      </c>
      <c r="L427" t="s">
        <v>39</v>
      </c>
      <c r="M427">
        <v>0</v>
      </c>
      <c r="P427">
        <v>1</v>
      </c>
      <c r="Q427">
        <v>0</v>
      </c>
      <c r="S427" t="s">
        <v>40</v>
      </c>
      <c r="T427" s="10">
        <v>45959</v>
      </c>
      <c r="W427">
        <v>1</v>
      </c>
      <c r="Y427" t="s">
        <v>41</v>
      </c>
      <c r="AG427" t="s">
        <v>142</v>
      </c>
      <c r="AJ427" t="s">
        <v>805</v>
      </c>
    </row>
    <row r="428" spans="1:36" x14ac:dyDescent="0.25">
      <c r="A428">
        <v>2</v>
      </c>
      <c r="B428">
        <v>5000018002</v>
      </c>
      <c r="C428" t="s">
        <v>812</v>
      </c>
      <c r="D428">
        <v>10805038</v>
      </c>
      <c r="E428">
        <v>5</v>
      </c>
      <c r="F428" t="s">
        <v>93</v>
      </c>
      <c r="G428" s="10">
        <v>45966</v>
      </c>
      <c r="H428" t="s">
        <v>36</v>
      </c>
      <c r="I428" t="s">
        <v>37</v>
      </c>
      <c r="J428" t="s">
        <v>38</v>
      </c>
      <c r="K428" t="s">
        <v>98</v>
      </c>
      <c r="L428" t="s">
        <v>39</v>
      </c>
      <c r="M428">
        <v>0</v>
      </c>
      <c r="P428">
        <v>5</v>
      </c>
      <c r="Q428">
        <v>0</v>
      </c>
      <c r="S428" t="s">
        <v>40</v>
      </c>
      <c r="T428" s="10">
        <v>45959</v>
      </c>
      <c r="W428">
        <v>1</v>
      </c>
      <c r="Y428" t="s">
        <v>41</v>
      </c>
      <c r="AG428" t="s">
        <v>142</v>
      </c>
      <c r="AJ428" t="s">
        <v>806</v>
      </c>
    </row>
    <row r="429" spans="1:36" x14ac:dyDescent="0.25">
      <c r="A429">
        <v>3</v>
      </c>
      <c r="B429">
        <v>5000015560</v>
      </c>
      <c r="C429" t="s">
        <v>319</v>
      </c>
      <c r="D429">
        <v>10805038</v>
      </c>
      <c r="E429">
        <v>1</v>
      </c>
      <c r="F429" t="s">
        <v>93</v>
      </c>
      <c r="G429" s="10">
        <v>45966</v>
      </c>
      <c r="H429" t="s">
        <v>36</v>
      </c>
      <c r="I429" t="s">
        <v>37</v>
      </c>
      <c r="J429" t="s">
        <v>38</v>
      </c>
      <c r="K429" t="s">
        <v>98</v>
      </c>
      <c r="L429" t="s">
        <v>39</v>
      </c>
      <c r="M429">
        <v>0</v>
      </c>
      <c r="P429">
        <v>1</v>
      </c>
      <c r="Q429">
        <v>0</v>
      </c>
      <c r="S429" t="s">
        <v>40</v>
      </c>
      <c r="T429" s="10">
        <v>45959</v>
      </c>
      <c r="W429">
        <v>1</v>
      </c>
      <c r="Y429" t="s">
        <v>41</v>
      </c>
      <c r="AG429" t="s">
        <v>142</v>
      </c>
      <c r="AJ429" t="s">
        <v>807</v>
      </c>
    </row>
    <row r="430" spans="1:36" x14ac:dyDescent="0.25">
      <c r="A430">
        <v>1</v>
      </c>
      <c r="B430">
        <v>5000014904</v>
      </c>
      <c r="C430" t="s">
        <v>204</v>
      </c>
      <c r="D430">
        <v>10805071</v>
      </c>
      <c r="E430">
        <v>1</v>
      </c>
      <c r="F430" t="s">
        <v>35</v>
      </c>
      <c r="G430" s="10">
        <v>45968</v>
      </c>
      <c r="H430" t="s">
        <v>36</v>
      </c>
      <c r="I430" t="s">
        <v>37</v>
      </c>
      <c r="J430" t="s">
        <v>38</v>
      </c>
      <c r="K430" t="s">
        <v>98</v>
      </c>
      <c r="L430" t="s">
        <v>39</v>
      </c>
      <c r="M430">
        <v>1</v>
      </c>
      <c r="P430">
        <v>0</v>
      </c>
      <c r="Q430">
        <v>1</v>
      </c>
      <c r="S430" t="s">
        <v>40</v>
      </c>
      <c r="T430" s="10">
        <v>45961</v>
      </c>
      <c r="W430">
        <v>1</v>
      </c>
      <c r="Y430" t="s">
        <v>41</v>
      </c>
      <c r="AG430" t="s">
        <v>142</v>
      </c>
      <c r="AJ430" t="s">
        <v>808</v>
      </c>
    </row>
    <row r="431" spans="1:36" x14ac:dyDescent="0.25">
      <c r="A431">
        <v>1</v>
      </c>
      <c r="B431">
        <v>5000016930</v>
      </c>
      <c r="C431" t="s">
        <v>203</v>
      </c>
      <c r="D431">
        <v>10805088</v>
      </c>
      <c r="E431">
        <v>1</v>
      </c>
      <c r="F431" t="s">
        <v>93</v>
      </c>
      <c r="G431" s="10">
        <v>45969</v>
      </c>
      <c r="H431" t="s">
        <v>36</v>
      </c>
      <c r="I431" t="s">
        <v>37</v>
      </c>
      <c r="J431" t="s">
        <v>38</v>
      </c>
      <c r="K431" t="s">
        <v>98</v>
      </c>
      <c r="L431" t="s">
        <v>39</v>
      </c>
      <c r="M431">
        <v>0</v>
      </c>
      <c r="P431">
        <v>1</v>
      </c>
      <c r="Q431">
        <v>0</v>
      </c>
      <c r="S431" t="s">
        <v>40</v>
      </c>
      <c r="T431" s="10">
        <v>45962</v>
      </c>
      <c r="W431">
        <v>1</v>
      </c>
      <c r="Y431" t="s">
        <v>41</v>
      </c>
      <c r="AG431" t="s">
        <v>142</v>
      </c>
      <c r="AJ431" t="s">
        <v>809</v>
      </c>
    </row>
    <row r="432" spans="1:36" x14ac:dyDescent="0.25">
      <c r="A432">
        <v>1</v>
      </c>
      <c r="B432">
        <v>5000016541</v>
      </c>
      <c r="C432" t="s">
        <v>181</v>
      </c>
      <c r="D432">
        <v>10805114</v>
      </c>
      <c r="E432">
        <v>1</v>
      </c>
      <c r="F432" t="s">
        <v>93</v>
      </c>
      <c r="G432" s="10">
        <v>45972</v>
      </c>
      <c r="H432" t="s">
        <v>36</v>
      </c>
      <c r="I432" t="s">
        <v>37</v>
      </c>
      <c r="J432" t="s">
        <v>38</v>
      </c>
      <c r="K432" t="s">
        <v>98</v>
      </c>
      <c r="L432" t="s">
        <v>39</v>
      </c>
      <c r="M432">
        <v>0</v>
      </c>
      <c r="P432">
        <v>1</v>
      </c>
      <c r="Q432">
        <v>0</v>
      </c>
      <c r="S432" t="s">
        <v>40</v>
      </c>
      <c r="T432" s="10">
        <v>45965</v>
      </c>
      <c r="W432">
        <v>1</v>
      </c>
      <c r="Y432" t="s">
        <v>41</v>
      </c>
      <c r="AG432" t="s">
        <v>142</v>
      </c>
      <c r="AJ432" t="s">
        <v>372</v>
      </c>
    </row>
    <row r="433" spans="1:36" x14ac:dyDescent="0.25">
      <c r="A433">
        <v>1</v>
      </c>
      <c r="B433">
        <v>5000005059</v>
      </c>
      <c r="C433" t="s">
        <v>153</v>
      </c>
      <c r="D433">
        <v>10805133</v>
      </c>
      <c r="E433">
        <v>10</v>
      </c>
      <c r="F433" t="s">
        <v>93</v>
      </c>
      <c r="G433" s="10">
        <v>45973</v>
      </c>
      <c r="H433" t="s">
        <v>36</v>
      </c>
      <c r="I433" t="s">
        <v>37</v>
      </c>
      <c r="J433" t="s">
        <v>38</v>
      </c>
      <c r="K433" t="s">
        <v>98</v>
      </c>
      <c r="L433" t="s">
        <v>39</v>
      </c>
      <c r="M433">
        <v>0</v>
      </c>
      <c r="P433">
        <v>10</v>
      </c>
      <c r="Q433">
        <v>0</v>
      </c>
      <c r="S433" t="s">
        <v>40</v>
      </c>
      <c r="T433" s="10">
        <v>45966</v>
      </c>
      <c r="W433">
        <v>1</v>
      </c>
      <c r="Y433" t="s">
        <v>41</v>
      </c>
      <c r="AG433" t="s">
        <v>142</v>
      </c>
      <c r="AJ433" t="s">
        <v>813</v>
      </c>
    </row>
    <row r="434" spans="1:36" x14ac:dyDescent="0.25">
      <c r="A434">
        <v>1</v>
      </c>
      <c r="B434">
        <v>5000015861</v>
      </c>
      <c r="C434" t="s">
        <v>174</v>
      </c>
      <c r="D434">
        <v>10805175</v>
      </c>
      <c r="E434">
        <v>1</v>
      </c>
      <c r="F434" t="s">
        <v>35</v>
      </c>
      <c r="G434" s="10">
        <v>45974</v>
      </c>
      <c r="H434" t="s">
        <v>36</v>
      </c>
      <c r="I434" t="s">
        <v>37</v>
      </c>
      <c r="J434" t="s">
        <v>38</v>
      </c>
      <c r="K434" t="s">
        <v>98</v>
      </c>
      <c r="L434" t="s">
        <v>39</v>
      </c>
      <c r="M434">
        <v>0</v>
      </c>
      <c r="P434">
        <v>1</v>
      </c>
      <c r="Q434">
        <v>0</v>
      </c>
      <c r="S434" t="s">
        <v>40</v>
      </c>
      <c r="T434" s="10">
        <v>45967</v>
      </c>
      <c r="W434">
        <v>1</v>
      </c>
      <c r="Y434" t="s">
        <v>41</v>
      </c>
      <c r="AG434" t="s">
        <v>142</v>
      </c>
      <c r="AJ434" t="s">
        <v>814</v>
      </c>
    </row>
    <row r="435" spans="1:36" x14ac:dyDescent="0.25">
      <c r="A435">
        <v>2</v>
      </c>
      <c r="B435">
        <v>5000015000</v>
      </c>
      <c r="C435" t="s">
        <v>176</v>
      </c>
      <c r="D435">
        <v>10805175</v>
      </c>
      <c r="E435">
        <v>1</v>
      </c>
      <c r="F435" t="s">
        <v>35</v>
      </c>
      <c r="G435" s="10">
        <v>45974</v>
      </c>
      <c r="H435" t="s">
        <v>36</v>
      </c>
      <c r="I435" t="s">
        <v>37</v>
      </c>
      <c r="J435" t="s">
        <v>38</v>
      </c>
      <c r="K435" t="s">
        <v>98</v>
      </c>
      <c r="L435" t="s">
        <v>39</v>
      </c>
      <c r="M435">
        <v>0</v>
      </c>
      <c r="P435">
        <v>1</v>
      </c>
      <c r="Q435">
        <v>0</v>
      </c>
      <c r="S435" t="s">
        <v>40</v>
      </c>
      <c r="T435" s="10">
        <v>45967</v>
      </c>
      <c r="W435">
        <v>1</v>
      </c>
      <c r="Y435" t="s">
        <v>41</v>
      </c>
      <c r="AG435" t="s">
        <v>142</v>
      </c>
      <c r="AJ435" t="s">
        <v>815</v>
      </c>
    </row>
    <row r="436" spans="1:36" x14ac:dyDescent="0.25">
      <c r="A436">
        <v>1</v>
      </c>
      <c r="B436">
        <v>5000016728</v>
      </c>
      <c r="C436" t="s">
        <v>146</v>
      </c>
      <c r="D436">
        <v>10805190</v>
      </c>
      <c r="E436">
        <v>2</v>
      </c>
      <c r="F436" t="s">
        <v>35</v>
      </c>
      <c r="G436" s="10">
        <v>45975</v>
      </c>
      <c r="H436" t="s">
        <v>36</v>
      </c>
      <c r="I436" t="s">
        <v>37</v>
      </c>
      <c r="J436" t="s">
        <v>38</v>
      </c>
      <c r="K436" t="s">
        <v>98</v>
      </c>
      <c r="L436" t="s">
        <v>39</v>
      </c>
      <c r="M436">
        <v>1</v>
      </c>
      <c r="P436">
        <v>0</v>
      </c>
      <c r="Q436">
        <v>2</v>
      </c>
      <c r="S436" t="s">
        <v>40</v>
      </c>
      <c r="T436" s="10">
        <v>45968</v>
      </c>
      <c r="W436">
        <v>1</v>
      </c>
      <c r="Y436" t="s">
        <v>41</v>
      </c>
      <c r="AG436" t="s">
        <v>142</v>
      </c>
      <c r="AJ436" t="s">
        <v>816</v>
      </c>
    </row>
    <row r="437" spans="1:36" x14ac:dyDescent="0.25">
      <c r="A437">
        <v>2</v>
      </c>
      <c r="B437">
        <v>5000016779</v>
      </c>
      <c r="C437" t="s">
        <v>267</v>
      </c>
      <c r="D437">
        <v>10805190</v>
      </c>
      <c r="E437">
        <v>1</v>
      </c>
      <c r="F437" t="s">
        <v>35</v>
      </c>
      <c r="G437" s="10">
        <v>45975</v>
      </c>
      <c r="H437" t="s">
        <v>36</v>
      </c>
      <c r="I437" t="s">
        <v>37</v>
      </c>
      <c r="J437" t="s">
        <v>38</v>
      </c>
      <c r="K437" t="s">
        <v>98</v>
      </c>
      <c r="L437" t="s">
        <v>39</v>
      </c>
      <c r="M437">
        <v>1</v>
      </c>
      <c r="P437">
        <v>0</v>
      </c>
      <c r="Q437">
        <v>1</v>
      </c>
      <c r="S437" t="s">
        <v>40</v>
      </c>
      <c r="T437" s="10">
        <v>45968</v>
      </c>
      <c r="W437">
        <v>1</v>
      </c>
      <c r="Y437" t="s">
        <v>41</v>
      </c>
      <c r="AG437" t="s">
        <v>142</v>
      </c>
      <c r="AJ437" t="s">
        <v>816</v>
      </c>
    </row>
    <row r="438" spans="1:36" x14ac:dyDescent="0.25">
      <c r="A438">
        <v>1</v>
      </c>
      <c r="B438">
        <v>5000016255</v>
      </c>
      <c r="C438" t="s">
        <v>110</v>
      </c>
      <c r="D438">
        <v>10805237</v>
      </c>
      <c r="E438">
        <v>1</v>
      </c>
      <c r="F438" t="s">
        <v>93</v>
      </c>
      <c r="G438" s="10">
        <v>45978</v>
      </c>
      <c r="H438" t="s">
        <v>36</v>
      </c>
      <c r="I438" t="s">
        <v>37</v>
      </c>
      <c r="J438" t="s">
        <v>38</v>
      </c>
      <c r="K438" t="s">
        <v>98</v>
      </c>
      <c r="L438" t="s">
        <v>39</v>
      </c>
      <c r="M438">
        <v>0</v>
      </c>
      <c r="P438">
        <v>1</v>
      </c>
      <c r="Q438">
        <v>0</v>
      </c>
      <c r="S438" t="s">
        <v>40</v>
      </c>
      <c r="T438" s="10">
        <v>45971</v>
      </c>
      <c r="W438">
        <v>1</v>
      </c>
      <c r="Y438" t="s">
        <v>41</v>
      </c>
      <c r="AG438" t="s">
        <v>142</v>
      </c>
      <c r="AJ438" t="s">
        <v>817</v>
      </c>
    </row>
    <row r="439" spans="1:36" x14ac:dyDescent="0.25">
      <c r="A439">
        <v>1</v>
      </c>
      <c r="B439">
        <v>5000016028</v>
      </c>
      <c r="C439" t="s">
        <v>822</v>
      </c>
      <c r="D439">
        <v>10805263</v>
      </c>
      <c r="E439">
        <v>1</v>
      </c>
      <c r="F439" t="s">
        <v>35</v>
      </c>
      <c r="G439" s="10">
        <v>45979</v>
      </c>
      <c r="H439" t="s">
        <v>36</v>
      </c>
      <c r="I439" t="s">
        <v>37</v>
      </c>
      <c r="J439" t="s">
        <v>38</v>
      </c>
      <c r="K439" t="s">
        <v>98</v>
      </c>
      <c r="L439" t="s">
        <v>39</v>
      </c>
      <c r="M439">
        <v>0</v>
      </c>
      <c r="P439">
        <v>1</v>
      </c>
      <c r="Q439">
        <v>0</v>
      </c>
      <c r="S439" t="s">
        <v>40</v>
      </c>
      <c r="T439" s="10">
        <v>45972</v>
      </c>
      <c r="W439">
        <v>1</v>
      </c>
      <c r="Y439" t="s">
        <v>41</v>
      </c>
      <c r="AG439" t="s">
        <v>142</v>
      </c>
      <c r="AJ439" t="s">
        <v>823</v>
      </c>
    </row>
    <row r="440" spans="1:36" x14ac:dyDescent="0.25">
      <c r="A440">
        <v>2</v>
      </c>
      <c r="B440">
        <v>5000002803</v>
      </c>
      <c r="C440" t="s">
        <v>824</v>
      </c>
      <c r="D440">
        <v>10805263</v>
      </c>
      <c r="E440">
        <v>1</v>
      </c>
      <c r="F440" t="s">
        <v>300</v>
      </c>
      <c r="G440" s="10">
        <v>45979</v>
      </c>
      <c r="H440" t="s">
        <v>36</v>
      </c>
      <c r="I440" t="s">
        <v>37</v>
      </c>
      <c r="J440" t="s">
        <v>38</v>
      </c>
      <c r="K440" t="s">
        <v>98</v>
      </c>
      <c r="L440" t="s">
        <v>39</v>
      </c>
      <c r="M440">
        <v>0</v>
      </c>
      <c r="P440">
        <v>1</v>
      </c>
      <c r="Q440">
        <v>0</v>
      </c>
      <c r="S440" t="s">
        <v>40</v>
      </c>
      <c r="T440" s="10">
        <v>45972</v>
      </c>
      <c r="W440">
        <v>1</v>
      </c>
      <c r="Y440" t="s">
        <v>41</v>
      </c>
      <c r="AG440" t="s">
        <v>142</v>
      </c>
      <c r="AJ440" t="s">
        <v>825</v>
      </c>
    </row>
    <row r="441" spans="1:36" x14ac:dyDescent="0.25">
      <c r="A441">
        <v>3</v>
      </c>
      <c r="B441">
        <v>5000016428</v>
      </c>
      <c r="C441" t="s">
        <v>157</v>
      </c>
      <c r="D441">
        <v>10805263</v>
      </c>
      <c r="E441">
        <v>1</v>
      </c>
      <c r="F441" t="s">
        <v>35</v>
      </c>
      <c r="G441" s="10">
        <v>45979</v>
      </c>
      <c r="H441" t="s">
        <v>36</v>
      </c>
      <c r="I441" t="s">
        <v>37</v>
      </c>
      <c r="J441" t="s">
        <v>38</v>
      </c>
      <c r="K441" t="s">
        <v>98</v>
      </c>
      <c r="L441" t="s">
        <v>39</v>
      </c>
      <c r="M441">
        <v>0</v>
      </c>
      <c r="P441">
        <v>1</v>
      </c>
      <c r="Q441">
        <v>0</v>
      </c>
      <c r="S441" t="s">
        <v>40</v>
      </c>
      <c r="T441" s="10">
        <v>45972</v>
      </c>
      <c r="W441">
        <v>1</v>
      </c>
      <c r="Y441" t="s">
        <v>41</v>
      </c>
      <c r="AG441" t="s">
        <v>142</v>
      </c>
      <c r="AJ441" t="s">
        <v>826</v>
      </c>
    </row>
    <row r="442" spans="1:36" x14ac:dyDescent="0.25">
      <c r="A442">
        <v>1</v>
      </c>
      <c r="B442">
        <v>5000018012</v>
      </c>
      <c r="C442" t="s">
        <v>827</v>
      </c>
      <c r="D442">
        <v>10805299</v>
      </c>
      <c r="E442">
        <v>1</v>
      </c>
      <c r="F442" t="s">
        <v>35</v>
      </c>
      <c r="G442" s="10">
        <v>45981</v>
      </c>
      <c r="H442" t="s">
        <v>36</v>
      </c>
      <c r="I442" t="s">
        <v>37</v>
      </c>
      <c r="J442" t="s">
        <v>38</v>
      </c>
      <c r="K442" t="s">
        <v>98</v>
      </c>
      <c r="L442" t="s">
        <v>39</v>
      </c>
      <c r="M442">
        <v>0</v>
      </c>
      <c r="P442">
        <v>1</v>
      </c>
      <c r="Q442">
        <v>0</v>
      </c>
      <c r="S442" t="s">
        <v>40</v>
      </c>
      <c r="T442" s="10">
        <v>45974</v>
      </c>
      <c r="W442">
        <v>1</v>
      </c>
      <c r="Y442" t="s">
        <v>41</v>
      </c>
      <c r="AG442" t="s">
        <v>142</v>
      </c>
      <c r="AJ442" t="s">
        <v>828</v>
      </c>
    </row>
    <row r="443" spans="1:36" x14ac:dyDescent="0.25">
      <c r="A443">
        <v>1</v>
      </c>
      <c r="B443">
        <v>5000004248</v>
      </c>
      <c r="C443" t="s">
        <v>155</v>
      </c>
      <c r="D443">
        <v>10805328</v>
      </c>
      <c r="E443">
        <v>12</v>
      </c>
      <c r="F443" t="s">
        <v>93</v>
      </c>
      <c r="G443" s="10">
        <v>45982</v>
      </c>
      <c r="H443" t="s">
        <v>36</v>
      </c>
      <c r="I443" t="s">
        <v>37</v>
      </c>
      <c r="J443" t="s">
        <v>38</v>
      </c>
      <c r="K443" t="s">
        <v>98</v>
      </c>
      <c r="L443" t="s">
        <v>39</v>
      </c>
      <c r="M443">
        <v>0</v>
      </c>
      <c r="P443">
        <v>12</v>
      </c>
      <c r="Q443">
        <v>0</v>
      </c>
      <c r="S443" t="s">
        <v>40</v>
      </c>
      <c r="T443" s="10">
        <v>45975</v>
      </c>
      <c r="W443">
        <v>1</v>
      </c>
      <c r="Y443" t="s">
        <v>41</v>
      </c>
      <c r="AG443" t="s">
        <v>142</v>
      </c>
      <c r="AJ443" t="s">
        <v>829</v>
      </c>
    </row>
    <row r="444" spans="1:36" x14ac:dyDescent="0.25">
      <c r="A444">
        <v>1</v>
      </c>
      <c r="B444">
        <v>5000011448</v>
      </c>
      <c r="C444" t="s">
        <v>97</v>
      </c>
      <c r="D444">
        <v>10805381</v>
      </c>
      <c r="E444">
        <v>1</v>
      </c>
      <c r="F444" t="s">
        <v>35</v>
      </c>
      <c r="G444" s="10">
        <v>45986</v>
      </c>
      <c r="H444" t="s">
        <v>36</v>
      </c>
      <c r="I444" t="s">
        <v>37</v>
      </c>
      <c r="J444" t="s">
        <v>38</v>
      </c>
      <c r="K444" t="s">
        <v>98</v>
      </c>
      <c r="L444" t="s">
        <v>39</v>
      </c>
      <c r="M444">
        <v>0</v>
      </c>
      <c r="P444">
        <v>1</v>
      </c>
      <c r="Q444">
        <v>0</v>
      </c>
      <c r="S444" t="s">
        <v>40</v>
      </c>
      <c r="T444" s="10">
        <v>45979</v>
      </c>
      <c r="W444">
        <v>1</v>
      </c>
      <c r="Y444" t="s">
        <v>41</v>
      </c>
      <c r="AG444" t="s">
        <v>142</v>
      </c>
      <c r="AJ444" t="s">
        <v>830</v>
      </c>
    </row>
    <row r="445" spans="1:36" x14ac:dyDescent="0.25">
      <c r="A445">
        <v>1</v>
      </c>
      <c r="B445">
        <v>5000005059</v>
      </c>
      <c r="C445" t="s">
        <v>153</v>
      </c>
      <c r="D445">
        <v>10805390</v>
      </c>
      <c r="E445">
        <v>2</v>
      </c>
      <c r="F445" t="s">
        <v>93</v>
      </c>
      <c r="G445" s="10">
        <v>45987</v>
      </c>
      <c r="H445" t="s">
        <v>36</v>
      </c>
      <c r="I445" t="s">
        <v>37</v>
      </c>
      <c r="J445" t="s">
        <v>38</v>
      </c>
      <c r="K445" t="s">
        <v>98</v>
      </c>
      <c r="L445" t="s">
        <v>39</v>
      </c>
      <c r="M445">
        <v>1</v>
      </c>
      <c r="P445">
        <v>0</v>
      </c>
      <c r="Q445">
        <v>2</v>
      </c>
      <c r="S445" t="s">
        <v>40</v>
      </c>
      <c r="T445" s="10">
        <v>45980</v>
      </c>
      <c r="W445">
        <v>1</v>
      </c>
      <c r="Y445" t="s">
        <v>41</v>
      </c>
      <c r="AG445" t="s">
        <v>142</v>
      </c>
      <c r="AJ445" t="s">
        <v>832</v>
      </c>
    </row>
    <row r="446" spans="1:36" x14ac:dyDescent="0.25">
      <c r="A446">
        <v>2</v>
      </c>
      <c r="B446">
        <v>5000004248</v>
      </c>
      <c r="C446" t="s">
        <v>155</v>
      </c>
      <c r="D446">
        <v>10805390</v>
      </c>
      <c r="E446">
        <v>2</v>
      </c>
      <c r="F446" t="s">
        <v>93</v>
      </c>
      <c r="G446" s="10">
        <v>45987</v>
      </c>
      <c r="H446" t="s">
        <v>36</v>
      </c>
      <c r="I446" t="s">
        <v>37</v>
      </c>
      <c r="J446" t="s">
        <v>38</v>
      </c>
      <c r="K446" t="s">
        <v>98</v>
      </c>
      <c r="L446" t="s">
        <v>39</v>
      </c>
      <c r="M446">
        <v>1</v>
      </c>
      <c r="P446">
        <v>0</v>
      </c>
      <c r="Q446">
        <v>2</v>
      </c>
      <c r="S446" t="s">
        <v>40</v>
      </c>
      <c r="T446" s="10">
        <v>45980</v>
      </c>
      <c r="W446">
        <v>1</v>
      </c>
      <c r="Y446" t="s">
        <v>41</v>
      </c>
      <c r="AG446" t="s">
        <v>142</v>
      </c>
      <c r="AJ446" t="s">
        <v>833</v>
      </c>
    </row>
    <row r="447" spans="1:36" x14ac:dyDescent="0.25">
      <c r="A447">
        <v>3</v>
      </c>
      <c r="B447">
        <v>5000005340</v>
      </c>
      <c r="C447" t="s">
        <v>199</v>
      </c>
      <c r="D447">
        <v>10805390</v>
      </c>
      <c r="E447">
        <v>1</v>
      </c>
      <c r="F447" t="s">
        <v>35</v>
      </c>
      <c r="G447" s="10">
        <v>45987</v>
      </c>
      <c r="H447" t="s">
        <v>36</v>
      </c>
      <c r="I447" t="s">
        <v>37</v>
      </c>
      <c r="J447" t="s">
        <v>38</v>
      </c>
      <c r="K447" t="s">
        <v>98</v>
      </c>
      <c r="L447" t="s">
        <v>39</v>
      </c>
      <c r="M447">
        <v>1</v>
      </c>
      <c r="P447">
        <v>0</v>
      </c>
      <c r="Q447">
        <v>1</v>
      </c>
      <c r="S447" t="s">
        <v>40</v>
      </c>
      <c r="T447" s="10">
        <v>45980</v>
      </c>
      <c r="W447">
        <v>1</v>
      </c>
      <c r="Y447" t="s">
        <v>41</v>
      </c>
      <c r="AG447" t="s">
        <v>142</v>
      </c>
      <c r="AJ447" t="s">
        <v>834</v>
      </c>
    </row>
    <row r="448" spans="1:36" x14ac:dyDescent="0.25">
      <c r="A448">
        <v>4</v>
      </c>
      <c r="B448">
        <v>5000017624</v>
      </c>
      <c r="C448" t="s">
        <v>227</v>
      </c>
      <c r="D448">
        <v>10805390</v>
      </c>
      <c r="E448">
        <v>1</v>
      </c>
      <c r="F448" t="s">
        <v>35</v>
      </c>
      <c r="G448" s="10">
        <v>45987</v>
      </c>
      <c r="H448" t="s">
        <v>36</v>
      </c>
      <c r="I448" t="s">
        <v>37</v>
      </c>
      <c r="J448" t="s">
        <v>38</v>
      </c>
      <c r="K448" t="s">
        <v>98</v>
      </c>
      <c r="L448" t="s">
        <v>39</v>
      </c>
      <c r="M448">
        <v>1</v>
      </c>
      <c r="P448">
        <v>0</v>
      </c>
      <c r="Q448">
        <v>1</v>
      </c>
      <c r="S448" t="s">
        <v>40</v>
      </c>
      <c r="T448" s="10">
        <v>45980</v>
      </c>
      <c r="W448">
        <v>1</v>
      </c>
      <c r="Y448" t="s">
        <v>41</v>
      </c>
      <c r="AG448" t="s">
        <v>142</v>
      </c>
      <c r="AJ448" t="s">
        <v>835</v>
      </c>
    </row>
    <row r="449" spans="1:36" x14ac:dyDescent="0.25">
      <c r="A449">
        <v>1</v>
      </c>
      <c r="B449">
        <v>5000016659</v>
      </c>
      <c r="C449" t="s">
        <v>327</v>
      </c>
      <c r="D449">
        <v>10805458</v>
      </c>
      <c r="E449">
        <v>1</v>
      </c>
      <c r="F449" t="s">
        <v>93</v>
      </c>
      <c r="G449" s="10">
        <v>45992</v>
      </c>
      <c r="H449" t="s">
        <v>36</v>
      </c>
      <c r="I449" t="s">
        <v>37</v>
      </c>
      <c r="J449" t="s">
        <v>38</v>
      </c>
      <c r="K449" t="s">
        <v>98</v>
      </c>
      <c r="L449" t="s">
        <v>39</v>
      </c>
      <c r="M449">
        <v>0</v>
      </c>
      <c r="P449">
        <v>1</v>
      </c>
      <c r="Q449">
        <v>0</v>
      </c>
      <c r="S449" t="s">
        <v>40</v>
      </c>
      <c r="T449" s="10">
        <v>45985</v>
      </c>
      <c r="W449">
        <v>1</v>
      </c>
      <c r="Y449" t="s">
        <v>41</v>
      </c>
      <c r="AG449" t="s">
        <v>142</v>
      </c>
      <c r="AJ449" t="s">
        <v>836</v>
      </c>
    </row>
    <row r="450" spans="1:36" x14ac:dyDescent="0.25">
      <c r="A450">
        <v>1</v>
      </c>
      <c r="B450">
        <v>5000002803</v>
      </c>
      <c r="C450" t="s">
        <v>824</v>
      </c>
      <c r="D450">
        <v>10805511</v>
      </c>
      <c r="E450">
        <v>1</v>
      </c>
      <c r="F450" t="s">
        <v>300</v>
      </c>
      <c r="G450" s="10">
        <v>45994</v>
      </c>
      <c r="H450" t="s">
        <v>36</v>
      </c>
      <c r="I450" t="s">
        <v>37</v>
      </c>
      <c r="J450" t="s">
        <v>38</v>
      </c>
      <c r="K450" t="s">
        <v>98</v>
      </c>
      <c r="L450" t="s">
        <v>39</v>
      </c>
      <c r="M450">
        <v>0</v>
      </c>
      <c r="P450">
        <v>1</v>
      </c>
      <c r="Q450">
        <v>0</v>
      </c>
      <c r="S450" t="s">
        <v>40</v>
      </c>
      <c r="T450" s="10">
        <v>45987</v>
      </c>
      <c r="W450">
        <v>1</v>
      </c>
      <c r="Y450" t="s">
        <v>41</v>
      </c>
      <c r="AG450" t="s">
        <v>142</v>
      </c>
      <c r="AJ450" t="s">
        <v>838</v>
      </c>
    </row>
    <row r="451" spans="1:36" x14ac:dyDescent="0.25">
      <c r="A451">
        <v>2</v>
      </c>
      <c r="B451">
        <v>5000011754</v>
      </c>
      <c r="C451" t="s">
        <v>99</v>
      </c>
      <c r="D451">
        <v>10805511</v>
      </c>
      <c r="E451">
        <v>2</v>
      </c>
      <c r="F451" t="s">
        <v>93</v>
      </c>
      <c r="G451" s="10">
        <v>45994</v>
      </c>
      <c r="H451" t="s">
        <v>36</v>
      </c>
      <c r="I451" t="s">
        <v>37</v>
      </c>
      <c r="J451" t="s">
        <v>38</v>
      </c>
      <c r="K451" t="s">
        <v>98</v>
      </c>
      <c r="L451" t="s">
        <v>39</v>
      </c>
      <c r="M451">
        <v>0</v>
      </c>
      <c r="P451">
        <v>2</v>
      </c>
      <c r="Q451">
        <v>0</v>
      </c>
      <c r="S451" t="s">
        <v>40</v>
      </c>
      <c r="T451" s="10">
        <v>45987</v>
      </c>
      <c r="W451">
        <v>1</v>
      </c>
      <c r="Y451" t="s">
        <v>41</v>
      </c>
      <c r="AG451" t="s">
        <v>142</v>
      </c>
      <c r="AJ451" t="s">
        <v>839</v>
      </c>
    </row>
    <row r="452" spans="1:36" x14ac:dyDescent="0.25">
      <c r="A452">
        <v>3</v>
      </c>
      <c r="B452">
        <v>5000016308</v>
      </c>
      <c r="C452" t="s">
        <v>143</v>
      </c>
      <c r="D452">
        <v>10805511</v>
      </c>
      <c r="E452">
        <v>1</v>
      </c>
      <c r="F452" t="s">
        <v>35</v>
      </c>
      <c r="G452" s="10">
        <v>45994</v>
      </c>
      <c r="H452" t="s">
        <v>36</v>
      </c>
      <c r="I452" t="s">
        <v>37</v>
      </c>
      <c r="J452" t="s">
        <v>38</v>
      </c>
      <c r="K452" t="s">
        <v>98</v>
      </c>
      <c r="L452" t="s">
        <v>39</v>
      </c>
      <c r="M452">
        <v>0</v>
      </c>
      <c r="P452">
        <v>1</v>
      </c>
      <c r="Q452">
        <v>0</v>
      </c>
      <c r="S452" t="s">
        <v>40</v>
      </c>
      <c r="T452" s="10">
        <v>45987</v>
      </c>
      <c r="W452">
        <v>1</v>
      </c>
      <c r="Y452" t="s">
        <v>41</v>
      </c>
      <c r="AG452" t="s">
        <v>142</v>
      </c>
      <c r="AJ452" t="s">
        <v>840</v>
      </c>
    </row>
    <row r="453" spans="1:36" x14ac:dyDescent="0.25">
      <c r="A453">
        <v>1</v>
      </c>
      <c r="B453">
        <v>5000016308</v>
      </c>
      <c r="C453" t="s">
        <v>143</v>
      </c>
      <c r="D453">
        <v>10805529</v>
      </c>
      <c r="E453">
        <v>1</v>
      </c>
      <c r="F453" t="s">
        <v>35</v>
      </c>
      <c r="G453" s="10">
        <v>45995</v>
      </c>
      <c r="H453" t="s">
        <v>36</v>
      </c>
      <c r="I453" t="s">
        <v>37</v>
      </c>
      <c r="J453" t="s">
        <v>38</v>
      </c>
      <c r="K453" t="s">
        <v>98</v>
      </c>
      <c r="L453" t="s">
        <v>39</v>
      </c>
      <c r="M453">
        <v>0</v>
      </c>
      <c r="P453">
        <v>1</v>
      </c>
      <c r="Q453">
        <v>0</v>
      </c>
      <c r="S453" t="s">
        <v>40</v>
      </c>
      <c r="T453" s="10">
        <v>45988</v>
      </c>
      <c r="W453">
        <v>1</v>
      </c>
      <c r="Y453" t="s">
        <v>41</v>
      </c>
      <c r="AG453" t="s">
        <v>142</v>
      </c>
      <c r="AJ453" t="s">
        <v>841</v>
      </c>
    </row>
    <row r="454" spans="1:36" x14ac:dyDescent="0.25">
      <c r="A454">
        <v>2</v>
      </c>
      <c r="B454">
        <v>5000016428</v>
      </c>
      <c r="C454" t="s">
        <v>157</v>
      </c>
      <c r="D454">
        <v>10805529</v>
      </c>
      <c r="E454">
        <v>1</v>
      </c>
      <c r="F454" t="s">
        <v>35</v>
      </c>
      <c r="G454" s="10">
        <v>45995</v>
      </c>
      <c r="H454" t="s">
        <v>36</v>
      </c>
      <c r="I454" t="s">
        <v>37</v>
      </c>
      <c r="J454" t="s">
        <v>38</v>
      </c>
      <c r="K454" t="s">
        <v>98</v>
      </c>
      <c r="L454" t="s">
        <v>39</v>
      </c>
      <c r="M454">
        <v>0</v>
      </c>
      <c r="P454">
        <v>1</v>
      </c>
      <c r="Q454">
        <v>0</v>
      </c>
      <c r="S454" t="s">
        <v>40</v>
      </c>
      <c r="T454" s="10">
        <v>45988</v>
      </c>
      <c r="W454">
        <v>1</v>
      </c>
      <c r="Y454" t="s">
        <v>41</v>
      </c>
      <c r="AG454" t="s">
        <v>142</v>
      </c>
      <c r="AJ454" t="s">
        <v>842</v>
      </c>
    </row>
    <row r="455" spans="1:36" x14ac:dyDescent="0.25">
      <c r="A455">
        <v>3</v>
      </c>
      <c r="B455">
        <v>5000016255</v>
      </c>
      <c r="C455" t="s">
        <v>110</v>
      </c>
      <c r="D455">
        <v>10805529</v>
      </c>
      <c r="E455">
        <v>1</v>
      </c>
      <c r="F455" t="s">
        <v>93</v>
      </c>
      <c r="G455" s="10">
        <v>45995</v>
      </c>
      <c r="H455" t="s">
        <v>36</v>
      </c>
      <c r="I455" t="s">
        <v>37</v>
      </c>
      <c r="J455" t="s">
        <v>38</v>
      </c>
      <c r="K455" t="s">
        <v>98</v>
      </c>
      <c r="L455" t="s">
        <v>39</v>
      </c>
      <c r="M455">
        <v>0</v>
      </c>
      <c r="P455">
        <v>1</v>
      </c>
      <c r="Q455">
        <v>0</v>
      </c>
      <c r="S455" t="s">
        <v>40</v>
      </c>
      <c r="T455" s="10">
        <v>45988</v>
      </c>
      <c r="W455">
        <v>1</v>
      </c>
      <c r="Y455" t="s">
        <v>41</v>
      </c>
      <c r="AG455" t="s">
        <v>142</v>
      </c>
      <c r="AJ455" t="s">
        <v>843</v>
      </c>
    </row>
    <row r="456" spans="1:36" x14ac:dyDescent="0.25">
      <c r="A456">
        <v>4</v>
      </c>
      <c r="B456">
        <v>5000005059</v>
      </c>
      <c r="C456" t="s">
        <v>153</v>
      </c>
      <c r="D456">
        <v>10805529</v>
      </c>
      <c r="E456">
        <v>1</v>
      </c>
      <c r="F456" t="s">
        <v>93</v>
      </c>
      <c r="G456" s="10">
        <v>45995</v>
      </c>
      <c r="H456" t="s">
        <v>36</v>
      </c>
      <c r="I456" t="s">
        <v>37</v>
      </c>
      <c r="J456" t="s">
        <v>38</v>
      </c>
      <c r="K456" t="s">
        <v>98</v>
      </c>
      <c r="L456" t="s">
        <v>39</v>
      </c>
      <c r="M456">
        <v>0</v>
      </c>
      <c r="P456">
        <v>1</v>
      </c>
      <c r="Q456">
        <v>0</v>
      </c>
      <c r="S456" t="s">
        <v>40</v>
      </c>
      <c r="T456" s="10">
        <v>45988</v>
      </c>
      <c r="W456">
        <v>1</v>
      </c>
      <c r="Y456" t="s">
        <v>41</v>
      </c>
      <c r="AG456" t="s">
        <v>142</v>
      </c>
      <c r="AJ456" t="s">
        <v>844</v>
      </c>
    </row>
    <row r="457" spans="1:36" x14ac:dyDescent="0.25">
      <c r="A457">
        <v>5</v>
      </c>
      <c r="B457">
        <v>5000004248</v>
      </c>
      <c r="C457" t="s">
        <v>155</v>
      </c>
      <c r="D457">
        <v>10805529</v>
      </c>
      <c r="E457">
        <v>1</v>
      </c>
      <c r="F457" t="s">
        <v>93</v>
      </c>
      <c r="G457" s="10">
        <v>45995</v>
      </c>
      <c r="H457" t="s">
        <v>36</v>
      </c>
      <c r="I457" t="s">
        <v>37</v>
      </c>
      <c r="J457" t="s">
        <v>38</v>
      </c>
      <c r="K457" t="s">
        <v>98</v>
      </c>
      <c r="L457" t="s">
        <v>39</v>
      </c>
      <c r="M457">
        <v>0</v>
      </c>
      <c r="P457">
        <v>1</v>
      </c>
      <c r="Q457">
        <v>0</v>
      </c>
      <c r="S457" t="s">
        <v>40</v>
      </c>
      <c r="T457" s="10">
        <v>45988</v>
      </c>
      <c r="W457">
        <v>1</v>
      </c>
      <c r="Y457" t="s">
        <v>41</v>
      </c>
      <c r="AG457" t="s">
        <v>142</v>
      </c>
      <c r="AJ457" t="s">
        <v>845</v>
      </c>
    </row>
    <row r="458" spans="1:36" x14ac:dyDescent="0.25">
      <c r="A458">
        <v>1</v>
      </c>
      <c r="B458">
        <v>5000016322</v>
      </c>
      <c r="C458" t="s">
        <v>388</v>
      </c>
      <c r="D458">
        <v>10805549</v>
      </c>
      <c r="E458">
        <v>6</v>
      </c>
      <c r="F458" t="s">
        <v>93</v>
      </c>
      <c r="G458" s="10">
        <v>45996</v>
      </c>
      <c r="H458" t="s">
        <v>36</v>
      </c>
      <c r="I458" t="s">
        <v>37</v>
      </c>
      <c r="J458" t="s">
        <v>38</v>
      </c>
      <c r="K458" t="s">
        <v>98</v>
      </c>
      <c r="L458" t="s">
        <v>39</v>
      </c>
      <c r="M458">
        <v>0</v>
      </c>
      <c r="P458">
        <v>6</v>
      </c>
      <c r="Q458">
        <v>0</v>
      </c>
      <c r="S458" t="s">
        <v>40</v>
      </c>
      <c r="T458" s="10">
        <v>45989</v>
      </c>
      <c r="W458">
        <v>1</v>
      </c>
      <c r="Y458" t="s">
        <v>41</v>
      </c>
      <c r="AG458" t="s">
        <v>142</v>
      </c>
      <c r="AJ458" t="s">
        <v>846</v>
      </c>
    </row>
    <row r="459" spans="1:36" x14ac:dyDescent="0.25">
      <c r="A459">
        <v>2</v>
      </c>
      <c r="B459">
        <v>5000013640</v>
      </c>
      <c r="C459" t="s">
        <v>159</v>
      </c>
      <c r="D459">
        <v>10805549</v>
      </c>
      <c r="E459">
        <v>6</v>
      </c>
      <c r="F459" t="s">
        <v>93</v>
      </c>
      <c r="G459" s="10">
        <v>45996</v>
      </c>
      <c r="H459" t="s">
        <v>160</v>
      </c>
      <c r="I459" t="s">
        <v>37</v>
      </c>
      <c r="J459" t="s">
        <v>38</v>
      </c>
      <c r="K459" t="s">
        <v>98</v>
      </c>
      <c r="L459" t="s">
        <v>39</v>
      </c>
      <c r="M459">
        <v>0</v>
      </c>
      <c r="P459">
        <v>6</v>
      </c>
      <c r="Q459">
        <v>0</v>
      </c>
      <c r="S459" t="s">
        <v>40</v>
      </c>
      <c r="T459" s="10">
        <v>45989</v>
      </c>
      <c r="W459">
        <v>1</v>
      </c>
      <c r="Y459" t="s">
        <v>41</v>
      </c>
      <c r="AG459" t="s">
        <v>142</v>
      </c>
      <c r="AJ459" t="s">
        <v>847</v>
      </c>
    </row>
    <row r="460" spans="1:36" x14ac:dyDescent="0.25">
      <c r="A460">
        <v>1</v>
      </c>
      <c r="B460">
        <v>5000008929</v>
      </c>
      <c r="C460" t="s">
        <v>100</v>
      </c>
      <c r="D460">
        <v>10805600</v>
      </c>
      <c r="E460">
        <v>1</v>
      </c>
      <c r="F460" t="s">
        <v>93</v>
      </c>
      <c r="G460" s="10">
        <v>45999</v>
      </c>
      <c r="H460" t="s">
        <v>36</v>
      </c>
      <c r="I460" t="s">
        <v>37</v>
      </c>
      <c r="J460" t="s">
        <v>38</v>
      </c>
      <c r="K460" t="s">
        <v>98</v>
      </c>
      <c r="L460" t="s">
        <v>39</v>
      </c>
      <c r="M460">
        <v>0</v>
      </c>
      <c r="P460">
        <v>1</v>
      </c>
      <c r="Q460">
        <v>0</v>
      </c>
      <c r="S460" t="s">
        <v>40</v>
      </c>
      <c r="T460" s="10">
        <v>45992</v>
      </c>
      <c r="W460">
        <v>1</v>
      </c>
      <c r="Y460" t="s">
        <v>41</v>
      </c>
      <c r="AG460" t="s">
        <v>142</v>
      </c>
      <c r="AJ460" t="s">
        <v>848</v>
      </c>
    </row>
    <row r="461" spans="1:36" x14ac:dyDescent="0.25">
      <c r="A461">
        <v>2</v>
      </c>
      <c r="B461">
        <v>5000012479</v>
      </c>
      <c r="C461" t="s">
        <v>849</v>
      </c>
      <c r="D461">
        <v>10805600</v>
      </c>
      <c r="E461">
        <v>2</v>
      </c>
      <c r="F461" t="s">
        <v>35</v>
      </c>
      <c r="G461" s="10">
        <v>45999</v>
      </c>
      <c r="H461" t="s">
        <v>36</v>
      </c>
      <c r="I461" t="s">
        <v>37</v>
      </c>
      <c r="J461" t="s">
        <v>38</v>
      </c>
      <c r="K461" t="s">
        <v>98</v>
      </c>
      <c r="L461" t="s">
        <v>39</v>
      </c>
      <c r="M461">
        <v>0</v>
      </c>
      <c r="P461">
        <v>2</v>
      </c>
      <c r="Q461">
        <v>0</v>
      </c>
      <c r="S461" t="s">
        <v>40</v>
      </c>
      <c r="T461" s="10">
        <v>45992</v>
      </c>
      <c r="W461">
        <v>1</v>
      </c>
      <c r="Y461" t="s">
        <v>41</v>
      </c>
      <c r="AG461" t="s">
        <v>142</v>
      </c>
      <c r="AJ461" t="s">
        <v>850</v>
      </c>
    </row>
    <row r="462" spans="1:36" x14ac:dyDescent="0.25">
      <c r="A462">
        <v>1</v>
      </c>
      <c r="B462">
        <v>5000018023</v>
      </c>
      <c r="C462" t="s">
        <v>852</v>
      </c>
      <c r="D462">
        <v>10805624</v>
      </c>
      <c r="E462">
        <v>1</v>
      </c>
      <c r="F462" t="s">
        <v>93</v>
      </c>
      <c r="G462" s="10">
        <v>46000</v>
      </c>
      <c r="H462" t="s">
        <v>36</v>
      </c>
      <c r="I462" t="s">
        <v>37</v>
      </c>
      <c r="J462" t="s">
        <v>38</v>
      </c>
      <c r="K462" t="s">
        <v>98</v>
      </c>
      <c r="L462" t="s">
        <v>39</v>
      </c>
      <c r="M462">
        <v>0</v>
      </c>
      <c r="P462">
        <v>1</v>
      </c>
      <c r="Q462">
        <v>0</v>
      </c>
      <c r="S462" t="s">
        <v>40</v>
      </c>
      <c r="T462" s="10">
        <v>45993</v>
      </c>
      <c r="W462">
        <v>1</v>
      </c>
      <c r="Y462" t="s">
        <v>41</v>
      </c>
      <c r="AG462" t="s">
        <v>142</v>
      </c>
      <c r="AJ462" t="s">
        <v>853</v>
      </c>
    </row>
    <row r="467" spans="22:22" x14ac:dyDescent="0.25">
      <c r="V467" s="25"/>
    </row>
  </sheetData>
  <autoFilter ref="A1:AK293"/>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Z9141"/>
  <sheetViews>
    <sheetView topLeftCell="B1" zoomScale="85" zoomScaleNormal="85" workbookViewId="0">
      <pane ySplit="1" topLeftCell="A619" activePane="bottomLeft" state="frozen"/>
      <selection activeCell="B1" sqref="B1"/>
      <selection pane="bottomLeft" activeCell="B623" sqref="B623"/>
    </sheetView>
  </sheetViews>
  <sheetFormatPr defaultRowHeight="15" x14ac:dyDescent="0.25"/>
  <cols>
    <col min="1" max="1" width="22" hidden="1" customWidth="1"/>
    <col min="2" max="2" width="4.42578125" bestFit="1" customWidth="1"/>
    <col min="3" max="3" width="9.85546875" bestFit="1" customWidth="1"/>
    <col min="4" max="4" width="7.7109375" bestFit="1" customWidth="1"/>
    <col min="5" max="5" width="13" customWidth="1"/>
    <col min="6" max="6" width="50.5703125" bestFit="1" customWidth="1"/>
    <col min="9" max="9" width="17.140625" style="10" bestFit="1" customWidth="1"/>
    <col min="10" max="10" width="12.28515625" bestFit="1" customWidth="1"/>
    <col min="11" max="11" width="13.85546875" style="23" bestFit="1" customWidth="1"/>
    <col min="13" max="13" width="13" bestFit="1" customWidth="1"/>
    <col min="17" max="17" width="17" bestFit="1" customWidth="1"/>
    <col min="18" max="18" width="10" bestFit="1" customWidth="1"/>
    <col min="19" max="19" width="7.42578125" bestFit="1" customWidth="1"/>
    <col min="21" max="21" width="11.5703125" bestFit="1" customWidth="1"/>
    <col min="24" max="24" width="11.42578125" bestFit="1" customWidth="1"/>
    <col min="25" max="25" width="13.28515625" style="10" bestFit="1" customWidth="1"/>
    <col min="27" max="27" width="14.85546875" bestFit="1" customWidth="1"/>
    <col min="30" max="30" width="13.5703125" bestFit="1" customWidth="1"/>
    <col min="32" max="32" width="18.7109375" bestFit="1" customWidth="1"/>
    <col min="50" max="50" width="11" bestFit="1" customWidth="1"/>
    <col min="51" max="51" width="92.7109375" bestFit="1" customWidth="1"/>
  </cols>
  <sheetData>
    <row r="1" spans="1:52" x14ac:dyDescent="0.25">
      <c r="B1" t="s">
        <v>44</v>
      </c>
      <c r="C1" t="s">
        <v>45</v>
      </c>
      <c r="D1" t="s">
        <v>46</v>
      </c>
      <c r="E1" t="s">
        <v>1</v>
      </c>
      <c r="F1" t="s">
        <v>47</v>
      </c>
      <c r="G1" t="s">
        <v>48</v>
      </c>
      <c r="H1" t="s">
        <v>49</v>
      </c>
      <c r="I1" s="10" t="s">
        <v>4</v>
      </c>
      <c r="J1" t="s">
        <v>29</v>
      </c>
      <c r="K1" s="23" t="s">
        <v>50</v>
      </c>
      <c r="L1" t="s">
        <v>51</v>
      </c>
      <c r="M1" t="s">
        <v>52</v>
      </c>
      <c r="N1" t="s">
        <v>6</v>
      </c>
      <c r="O1" t="s">
        <v>7</v>
      </c>
      <c r="P1" t="s">
        <v>12</v>
      </c>
      <c r="Q1" t="s">
        <v>11</v>
      </c>
      <c r="R1" t="s">
        <v>8</v>
      </c>
      <c r="S1" t="s">
        <v>9</v>
      </c>
      <c r="T1" t="s">
        <v>10</v>
      </c>
      <c r="U1" t="s">
        <v>53</v>
      </c>
      <c r="V1" t="s">
        <v>54</v>
      </c>
      <c r="W1" t="s">
        <v>55</v>
      </c>
      <c r="X1" t="s">
        <v>16</v>
      </c>
      <c r="Y1" s="10" t="s">
        <v>56</v>
      </c>
      <c r="Z1" t="s">
        <v>18</v>
      </c>
      <c r="AA1" t="s">
        <v>19</v>
      </c>
      <c r="AB1" t="s">
        <v>26</v>
      </c>
      <c r="AC1" t="s">
        <v>21</v>
      </c>
      <c r="AD1" t="s">
        <v>57</v>
      </c>
      <c r="AE1" t="s">
        <v>58</v>
      </c>
      <c r="AF1" t="s">
        <v>59</v>
      </c>
      <c r="AG1" t="s">
        <v>60</v>
      </c>
      <c r="AH1" t="s">
        <v>27</v>
      </c>
      <c r="AI1" t="s">
        <v>28</v>
      </c>
      <c r="AJ1" t="s">
        <v>61</v>
      </c>
      <c r="AK1" t="s">
        <v>62</v>
      </c>
      <c r="AL1" t="s">
        <v>63</v>
      </c>
      <c r="AM1" t="s">
        <v>64</v>
      </c>
      <c r="AN1" t="s">
        <v>65</v>
      </c>
      <c r="AO1" t="s">
        <v>66</v>
      </c>
      <c r="AP1" t="s">
        <v>67</v>
      </c>
      <c r="AQ1" t="s">
        <v>68</v>
      </c>
      <c r="AR1" t="s">
        <v>69</v>
      </c>
      <c r="AS1" t="s">
        <v>70</v>
      </c>
      <c r="AT1" t="s">
        <v>71</v>
      </c>
      <c r="AU1" t="s">
        <v>72</v>
      </c>
      <c r="AV1" t="s">
        <v>73</v>
      </c>
      <c r="AW1" t="s">
        <v>74</v>
      </c>
      <c r="AX1" t="s">
        <v>75</v>
      </c>
      <c r="AY1" t="s">
        <v>76</v>
      </c>
      <c r="AZ1" t="s">
        <v>77</v>
      </c>
    </row>
    <row r="2" spans="1:52" x14ac:dyDescent="0.25">
      <c r="B2">
        <v>2</v>
      </c>
      <c r="C2">
        <v>10800002</v>
      </c>
      <c r="D2">
        <v>1</v>
      </c>
      <c r="E2">
        <v>5000016255</v>
      </c>
      <c r="F2" t="s">
        <v>110</v>
      </c>
      <c r="G2">
        <v>2</v>
      </c>
      <c r="H2" t="s">
        <v>93</v>
      </c>
      <c r="I2" s="10">
        <v>45666</v>
      </c>
      <c r="K2" s="23">
        <v>343000</v>
      </c>
      <c r="L2" t="s">
        <v>162</v>
      </c>
      <c r="M2" t="s">
        <v>36</v>
      </c>
      <c r="N2" t="s">
        <v>37</v>
      </c>
      <c r="O2" t="s">
        <v>38</v>
      </c>
      <c r="R2" t="s">
        <v>98</v>
      </c>
      <c r="S2" t="s">
        <v>39</v>
      </c>
      <c r="T2">
        <v>0</v>
      </c>
      <c r="U2">
        <v>79700161</v>
      </c>
      <c r="V2">
        <v>2</v>
      </c>
      <c r="W2">
        <v>0</v>
      </c>
      <c r="X2" t="s">
        <v>163</v>
      </c>
      <c r="Y2" s="10">
        <v>45663</v>
      </c>
      <c r="AD2" t="s">
        <v>41</v>
      </c>
      <c r="AY2" t="s">
        <v>122</v>
      </c>
    </row>
    <row r="3" spans="1:52" x14ac:dyDescent="0.25">
      <c r="A3" t="str">
        <f t="shared" ref="A3:A6" si="0">E3&amp;C3&amp;D3</f>
        <v>5000011754108000322</v>
      </c>
      <c r="B3">
        <v>1</v>
      </c>
      <c r="C3">
        <v>10800032</v>
      </c>
      <c r="D3">
        <v>2</v>
      </c>
      <c r="E3">
        <v>5000011754</v>
      </c>
      <c r="F3" t="s">
        <v>99</v>
      </c>
      <c r="G3">
        <v>1</v>
      </c>
      <c r="H3" t="s">
        <v>93</v>
      </c>
      <c r="I3" s="10">
        <v>45664</v>
      </c>
      <c r="K3" s="23">
        <v>20000</v>
      </c>
      <c r="L3" t="s">
        <v>162</v>
      </c>
      <c r="M3" t="s">
        <v>36</v>
      </c>
      <c r="N3" t="s">
        <v>37</v>
      </c>
      <c r="O3" t="s">
        <v>38</v>
      </c>
      <c r="R3" t="s">
        <v>98</v>
      </c>
      <c r="S3" t="s">
        <v>39</v>
      </c>
      <c r="T3">
        <v>0</v>
      </c>
      <c r="U3">
        <v>79700163</v>
      </c>
      <c r="V3">
        <v>0</v>
      </c>
      <c r="W3">
        <v>1</v>
      </c>
      <c r="X3" t="s">
        <v>163</v>
      </c>
      <c r="Y3" s="10">
        <v>45663</v>
      </c>
      <c r="AD3" t="s">
        <v>41</v>
      </c>
      <c r="AX3" t="s">
        <v>164</v>
      </c>
      <c r="AY3" t="s">
        <v>125</v>
      </c>
    </row>
    <row r="4" spans="1:52" x14ac:dyDescent="0.25">
      <c r="A4" t="str">
        <f t="shared" si="0"/>
        <v>5000011448108000022</v>
      </c>
      <c r="B4">
        <v>3</v>
      </c>
      <c r="C4">
        <v>10800002</v>
      </c>
      <c r="D4">
        <v>2</v>
      </c>
      <c r="E4">
        <v>5000011448</v>
      </c>
      <c r="F4" t="s">
        <v>97</v>
      </c>
      <c r="G4">
        <v>2</v>
      </c>
      <c r="H4" t="s">
        <v>35</v>
      </c>
      <c r="I4" s="10">
        <v>45666</v>
      </c>
      <c r="K4" s="23">
        <v>50000</v>
      </c>
      <c r="L4" t="s">
        <v>162</v>
      </c>
      <c r="M4" t="s">
        <v>36</v>
      </c>
      <c r="N4" t="s">
        <v>37</v>
      </c>
      <c r="O4" t="s">
        <v>38</v>
      </c>
      <c r="R4" t="s">
        <v>98</v>
      </c>
      <c r="S4" t="s">
        <v>39</v>
      </c>
      <c r="T4">
        <v>0</v>
      </c>
      <c r="U4">
        <v>79700166</v>
      </c>
      <c r="V4">
        <v>0</v>
      </c>
      <c r="W4">
        <v>2</v>
      </c>
      <c r="X4" t="s">
        <v>163</v>
      </c>
      <c r="Y4" s="10">
        <v>45663</v>
      </c>
      <c r="AD4" t="s">
        <v>41</v>
      </c>
      <c r="AX4" t="s">
        <v>164</v>
      </c>
      <c r="AY4" t="s">
        <v>123</v>
      </c>
    </row>
    <row r="5" spans="1:52" x14ac:dyDescent="0.25">
      <c r="A5" t="str">
        <f t="shared" si="0"/>
        <v>5000008929108000321</v>
      </c>
      <c r="B5">
        <v>4</v>
      </c>
      <c r="C5">
        <v>10800032</v>
      </c>
      <c r="D5">
        <v>1</v>
      </c>
      <c r="E5">
        <v>5000008929</v>
      </c>
      <c r="F5" t="s">
        <v>100</v>
      </c>
      <c r="G5">
        <v>6</v>
      </c>
      <c r="H5" t="s">
        <v>93</v>
      </c>
      <c r="I5" s="10">
        <v>45667</v>
      </c>
      <c r="K5" s="23">
        <v>150000</v>
      </c>
      <c r="L5" t="s">
        <v>162</v>
      </c>
      <c r="M5" t="s">
        <v>36</v>
      </c>
      <c r="N5" t="s">
        <v>37</v>
      </c>
      <c r="O5" t="s">
        <v>38</v>
      </c>
      <c r="R5" t="s">
        <v>98</v>
      </c>
      <c r="S5" t="s">
        <v>39</v>
      </c>
      <c r="T5">
        <v>0</v>
      </c>
      <c r="U5">
        <v>79700166</v>
      </c>
      <c r="V5">
        <v>0</v>
      </c>
      <c r="W5">
        <v>6</v>
      </c>
      <c r="X5" t="s">
        <v>163</v>
      </c>
      <c r="Y5" s="10">
        <v>45663</v>
      </c>
      <c r="AD5" t="s">
        <v>41</v>
      </c>
      <c r="AX5" t="s">
        <v>164</v>
      </c>
      <c r="AY5" t="s">
        <v>165</v>
      </c>
    </row>
    <row r="6" spans="1:52" x14ac:dyDescent="0.25">
      <c r="A6" t="str">
        <f t="shared" si="0"/>
        <v>5000016308108000621</v>
      </c>
      <c r="B6">
        <v>1</v>
      </c>
      <c r="C6">
        <v>10800062</v>
      </c>
      <c r="D6">
        <v>1</v>
      </c>
      <c r="E6">
        <v>5000016308</v>
      </c>
      <c r="F6" t="s">
        <v>143</v>
      </c>
      <c r="G6">
        <v>3</v>
      </c>
      <c r="H6" t="s">
        <v>35</v>
      </c>
      <c r="I6" s="10">
        <v>45668</v>
      </c>
      <c r="K6" s="23">
        <v>2980000</v>
      </c>
      <c r="L6" t="s">
        <v>162</v>
      </c>
      <c r="M6" t="s">
        <v>36</v>
      </c>
      <c r="N6" t="s">
        <v>37</v>
      </c>
      <c r="O6" t="s">
        <v>38</v>
      </c>
      <c r="R6" t="s">
        <v>98</v>
      </c>
      <c r="S6" t="s">
        <v>39</v>
      </c>
      <c r="T6">
        <v>0</v>
      </c>
      <c r="U6">
        <v>79700363</v>
      </c>
      <c r="V6">
        <v>3</v>
      </c>
      <c r="W6">
        <v>0</v>
      </c>
      <c r="X6" t="s">
        <v>163</v>
      </c>
      <c r="Y6" s="10">
        <v>45667</v>
      </c>
      <c r="Z6" t="s">
        <v>163</v>
      </c>
      <c r="AA6" s="10">
        <v>45667</v>
      </c>
      <c r="AD6" t="s">
        <v>41</v>
      </c>
      <c r="AY6" t="s">
        <v>166</v>
      </c>
    </row>
    <row r="7" spans="1:52" x14ac:dyDescent="0.25">
      <c r="A7" t="str">
        <f t="shared" ref="A7:A19" si="1">E7&amp;C7&amp;D7</f>
        <v>5000016255108000622</v>
      </c>
      <c r="B7">
        <v>2</v>
      </c>
      <c r="C7">
        <v>10800062</v>
      </c>
      <c r="D7">
        <v>2</v>
      </c>
      <c r="E7">
        <v>5000016255</v>
      </c>
      <c r="F7" t="s">
        <v>110</v>
      </c>
      <c r="G7">
        <v>2</v>
      </c>
      <c r="H7" t="s">
        <v>93</v>
      </c>
      <c r="I7" s="10">
        <v>45668</v>
      </c>
      <c r="K7" s="23">
        <v>343000</v>
      </c>
      <c r="L7" t="s">
        <v>162</v>
      </c>
      <c r="M7" t="s">
        <v>36</v>
      </c>
      <c r="N7" t="s">
        <v>37</v>
      </c>
      <c r="O7" t="s">
        <v>38</v>
      </c>
      <c r="R7" t="s">
        <v>98</v>
      </c>
      <c r="S7" t="s">
        <v>39</v>
      </c>
      <c r="T7">
        <v>0</v>
      </c>
      <c r="U7">
        <v>79700363</v>
      </c>
      <c r="V7">
        <v>2</v>
      </c>
      <c r="W7">
        <v>0</v>
      </c>
      <c r="X7" t="s">
        <v>163</v>
      </c>
      <c r="Y7" s="10">
        <v>45667</v>
      </c>
      <c r="AD7" t="s">
        <v>41</v>
      </c>
      <c r="AY7" t="s">
        <v>167</v>
      </c>
    </row>
    <row r="8" spans="1:52" x14ac:dyDescent="0.25">
      <c r="A8" t="str">
        <f t="shared" si="1"/>
        <v>5000016308108000621</v>
      </c>
      <c r="B8">
        <v>1</v>
      </c>
      <c r="C8">
        <v>10800062</v>
      </c>
      <c r="D8">
        <v>1</v>
      </c>
      <c r="E8">
        <v>5000016308</v>
      </c>
      <c r="F8" t="s">
        <v>143</v>
      </c>
      <c r="G8">
        <v>1</v>
      </c>
      <c r="H8" t="s">
        <v>35</v>
      </c>
      <c r="I8" s="10">
        <v>45668</v>
      </c>
      <c r="K8" s="23">
        <v>2980000</v>
      </c>
      <c r="L8" t="s">
        <v>162</v>
      </c>
      <c r="M8" t="s">
        <v>36</v>
      </c>
      <c r="N8" t="s">
        <v>37</v>
      </c>
      <c r="O8" t="s">
        <v>38</v>
      </c>
      <c r="R8" t="s">
        <v>98</v>
      </c>
      <c r="S8" t="s">
        <v>39</v>
      </c>
      <c r="T8">
        <v>0</v>
      </c>
      <c r="U8">
        <v>79700364</v>
      </c>
      <c r="V8">
        <v>1</v>
      </c>
      <c r="W8">
        <v>0</v>
      </c>
      <c r="X8" t="s">
        <v>163</v>
      </c>
      <c r="Y8" s="10">
        <v>45667</v>
      </c>
      <c r="Z8" t="s">
        <v>163</v>
      </c>
      <c r="AA8" s="25">
        <v>45667</v>
      </c>
      <c r="AD8" t="s">
        <v>41</v>
      </c>
      <c r="AY8" t="s">
        <v>168</v>
      </c>
    </row>
    <row r="9" spans="1:52" x14ac:dyDescent="0.25">
      <c r="A9" t="str">
        <f t="shared" si="1"/>
        <v>5000016255108000622</v>
      </c>
      <c r="B9">
        <v>2</v>
      </c>
      <c r="C9">
        <v>10800062</v>
      </c>
      <c r="D9">
        <v>2</v>
      </c>
      <c r="E9">
        <v>5000016255</v>
      </c>
      <c r="F9" t="s">
        <v>110</v>
      </c>
      <c r="G9">
        <v>2</v>
      </c>
      <c r="H9" t="s">
        <v>93</v>
      </c>
      <c r="I9" s="10">
        <v>45668</v>
      </c>
      <c r="K9" s="23">
        <v>343000</v>
      </c>
      <c r="L9" t="s">
        <v>162</v>
      </c>
      <c r="M9" t="s">
        <v>36</v>
      </c>
      <c r="N9" t="s">
        <v>37</v>
      </c>
      <c r="O9" t="s">
        <v>38</v>
      </c>
      <c r="R9" t="s">
        <v>98</v>
      </c>
      <c r="S9" t="s">
        <v>39</v>
      </c>
      <c r="T9">
        <v>0</v>
      </c>
      <c r="U9">
        <v>79700364</v>
      </c>
      <c r="V9">
        <v>2</v>
      </c>
      <c r="W9">
        <v>0</v>
      </c>
      <c r="X9" t="s">
        <v>163</v>
      </c>
      <c r="Y9" s="10">
        <v>45667</v>
      </c>
      <c r="AD9" t="s">
        <v>41</v>
      </c>
      <c r="AY9" t="s">
        <v>169</v>
      </c>
    </row>
    <row r="10" spans="1:52" x14ac:dyDescent="0.25">
      <c r="A10" t="str">
        <f t="shared" si="1"/>
        <v>5000016255108000021</v>
      </c>
      <c r="B10">
        <v>2</v>
      </c>
      <c r="C10">
        <v>10800002</v>
      </c>
      <c r="D10">
        <v>1</v>
      </c>
      <c r="E10">
        <v>5000016255</v>
      </c>
      <c r="F10" t="s">
        <v>110</v>
      </c>
      <c r="G10">
        <v>2</v>
      </c>
      <c r="H10" t="s">
        <v>93</v>
      </c>
      <c r="I10" s="10">
        <v>45666</v>
      </c>
      <c r="K10" s="23">
        <v>343000</v>
      </c>
      <c r="L10" t="s">
        <v>162</v>
      </c>
      <c r="M10" t="s">
        <v>36</v>
      </c>
      <c r="N10" t="s">
        <v>37</v>
      </c>
      <c r="O10" t="s">
        <v>38</v>
      </c>
      <c r="R10" t="s">
        <v>98</v>
      </c>
      <c r="S10" t="s">
        <v>39</v>
      </c>
      <c r="T10">
        <v>0</v>
      </c>
      <c r="U10">
        <v>79700161</v>
      </c>
      <c r="V10">
        <v>2</v>
      </c>
      <c r="W10">
        <v>0</v>
      </c>
      <c r="X10" t="s">
        <v>163</v>
      </c>
      <c r="Y10" s="10">
        <v>45663</v>
      </c>
      <c r="AD10" t="s">
        <v>41</v>
      </c>
      <c r="AY10" t="s">
        <v>122</v>
      </c>
    </row>
    <row r="11" spans="1:52" x14ac:dyDescent="0.25">
      <c r="B11">
        <v>1</v>
      </c>
      <c r="C11">
        <v>10800139</v>
      </c>
      <c r="D11">
        <v>4</v>
      </c>
      <c r="E11">
        <v>5000005059</v>
      </c>
      <c r="F11" t="s">
        <v>153</v>
      </c>
      <c r="G11">
        <v>1</v>
      </c>
      <c r="H11" t="s">
        <v>93</v>
      </c>
      <c r="I11" s="10">
        <v>45673</v>
      </c>
      <c r="K11" s="23">
        <v>95000</v>
      </c>
      <c r="L11" t="s">
        <v>162</v>
      </c>
      <c r="M11" t="s">
        <v>36</v>
      </c>
      <c r="N11" t="s">
        <v>37</v>
      </c>
      <c r="O11" t="s">
        <v>38</v>
      </c>
      <c r="R11" t="s">
        <v>98</v>
      </c>
      <c r="S11" t="s">
        <v>39</v>
      </c>
      <c r="T11">
        <v>0</v>
      </c>
      <c r="U11">
        <v>79700679</v>
      </c>
      <c r="V11">
        <v>1</v>
      </c>
      <c r="W11">
        <v>0</v>
      </c>
      <c r="X11" t="s">
        <v>163</v>
      </c>
      <c r="Y11" s="10">
        <v>45678</v>
      </c>
      <c r="AD11" t="s">
        <v>41</v>
      </c>
      <c r="AY11" t="s">
        <v>154</v>
      </c>
    </row>
    <row r="12" spans="1:52" x14ac:dyDescent="0.25">
      <c r="A12" t="str">
        <f t="shared" si="1"/>
        <v>5000004248108001395</v>
      </c>
      <c r="B12">
        <v>2</v>
      </c>
      <c r="C12">
        <v>10800139</v>
      </c>
      <c r="D12">
        <v>5</v>
      </c>
      <c r="E12">
        <v>5000004248</v>
      </c>
      <c r="F12" t="s">
        <v>155</v>
      </c>
      <c r="G12">
        <v>1</v>
      </c>
      <c r="H12" t="s">
        <v>93</v>
      </c>
      <c r="I12" s="10">
        <v>45673</v>
      </c>
      <c r="K12" s="23">
        <v>65000</v>
      </c>
      <c r="L12" t="s">
        <v>162</v>
      </c>
      <c r="M12" t="s">
        <v>36</v>
      </c>
      <c r="N12" t="s">
        <v>37</v>
      </c>
      <c r="O12" t="s">
        <v>38</v>
      </c>
      <c r="R12" t="s">
        <v>98</v>
      </c>
      <c r="S12" t="s">
        <v>39</v>
      </c>
      <c r="T12">
        <v>0</v>
      </c>
      <c r="U12">
        <v>79700679</v>
      </c>
      <c r="V12">
        <v>1</v>
      </c>
      <c r="W12">
        <v>0</v>
      </c>
      <c r="X12" t="s">
        <v>163</v>
      </c>
      <c r="Y12" s="10">
        <v>45678</v>
      </c>
      <c r="AD12" t="s">
        <v>41</v>
      </c>
      <c r="AY12" t="s">
        <v>156</v>
      </c>
    </row>
    <row r="13" spans="1:52" x14ac:dyDescent="0.25">
      <c r="A13" t="str">
        <f t="shared" si="1"/>
        <v>5000013640108001397</v>
      </c>
      <c r="B13">
        <v>3</v>
      </c>
      <c r="C13">
        <v>10800139</v>
      </c>
      <c r="D13">
        <v>7</v>
      </c>
      <c r="E13">
        <v>5000013640</v>
      </c>
      <c r="F13" t="s">
        <v>159</v>
      </c>
      <c r="G13">
        <v>10</v>
      </c>
      <c r="H13" t="s">
        <v>93</v>
      </c>
      <c r="I13" s="10">
        <v>45673</v>
      </c>
      <c r="K13" s="23">
        <v>15000</v>
      </c>
      <c r="L13" t="s">
        <v>162</v>
      </c>
      <c r="M13" t="s">
        <v>160</v>
      </c>
      <c r="N13" t="s">
        <v>37</v>
      </c>
      <c r="O13" t="s">
        <v>38</v>
      </c>
      <c r="R13" t="s">
        <v>98</v>
      </c>
      <c r="S13" t="s">
        <v>39</v>
      </c>
      <c r="T13">
        <v>0</v>
      </c>
      <c r="U13">
        <v>79700679</v>
      </c>
      <c r="V13">
        <v>10</v>
      </c>
      <c r="W13">
        <v>0</v>
      </c>
      <c r="X13" t="s">
        <v>163</v>
      </c>
      <c r="Y13" s="10">
        <v>45678</v>
      </c>
      <c r="AA13" s="10"/>
      <c r="AD13" t="s">
        <v>41</v>
      </c>
      <c r="AY13" t="s">
        <v>161</v>
      </c>
    </row>
    <row r="14" spans="1:52" x14ac:dyDescent="0.25">
      <c r="A14" t="str">
        <f t="shared" si="1"/>
        <v>5000005059108002351</v>
      </c>
      <c r="B14">
        <v>4</v>
      </c>
      <c r="C14">
        <v>10800235</v>
      </c>
      <c r="D14">
        <v>1</v>
      </c>
      <c r="E14">
        <v>5000005059</v>
      </c>
      <c r="F14" t="s">
        <v>153</v>
      </c>
      <c r="G14">
        <v>10</v>
      </c>
      <c r="H14" t="s">
        <v>93</v>
      </c>
      <c r="I14" s="10">
        <v>45679</v>
      </c>
      <c r="K14" s="23">
        <v>95000</v>
      </c>
      <c r="L14" t="s">
        <v>162</v>
      </c>
      <c r="M14" t="s">
        <v>36</v>
      </c>
      <c r="N14" t="s">
        <v>37</v>
      </c>
      <c r="O14" t="s">
        <v>38</v>
      </c>
      <c r="R14" t="s">
        <v>98</v>
      </c>
      <c r="S14" t="s">
        <v>39</v>
      </c>
      <c r="T14">
        <v>0</v>
      </c>
      <c r="U14">
        <v>79700679</v>
      </c>
      <c r="V14">
        <v>10</v>
      </c>
      <c r="W14">
        <v>0</v>
      </c>
      <c r="X14" t="s">
        <v>163</v>
      </c>
      <c r="Y14" s="10">
        <v>45678</v>
      </c>
      <c r="AA14" s="10"/>
      <c r="AD14" t="s">
        <v>41</v>
      </c>
      <c r="AY14" t="s">
        <v>180</v>
      </c>
    </row>
    <row r="15" spans="1:52" x14ac:dyDescent="0.25">
      <c r="A15" t="str">
        <f t="shared" si="1"/>
        <v>5000016541108002711</v>
      </c>
      <c r="B15">
        <v>1</v>
      </c>
      <c r="C15">
        <v>10800271</v>
      </c>
      <c r="D15">
        <v>1</v>
      </c>
      <c r="E15">
        <v>5000016541</v>
      </c>
      <c r="F15" t="s">
        <v>181</v>
      </c>
      <c r="G15">
        <v>3</v>
      </c>
      <c r="H15" t="s">
        <v>93</v>
      </c>
      <c r="I15" s="10">
        <v>45680</v>
      </c>
      <c r="K15" s="23">
        <v>75000</v>
      </c>
      <c r="L15" t="s">
        <v>162</v>
      </c>
      <c r="M15" t="s">
        <v>36</v>
      </c>
      <c r="N15" t="s">
        <v>37</v>
      </c>
      <c r="O15" t="s">
        <v>38</v>
      </c>
      <c r="R15" t="s">
        <v>98</v>
      </c>
      <c r="S15" t="s">
        <v>39</v>
      </c>
      <c r="T15">
        <v>0</v>
      </c>
      <c r="U15">
        <v>79700680</v>
      </c>
      <c r="V15">
        <v>3</v>
      </c>
      <c r="W15">
        <v>0</v>
      </c>
      <c r="X15" t="s">
        <v>163</v>
      </c>
      <c r="Y15" s="10">
        <v>45678</v>
      </c>
      <c r="AA15" s="10"/>
      <c r="AD15" t="s">
        <v>41</v>
      </c>
      <c r="AY15" t="s">
        <v>182</v>
      </c>
    </row>
    <row r="16" spans="1:52" x14ac:dyDescent="0.25">
      <c r="A16" t="str">
        <f t="shared" si="1"/>
        <v>5000005059108001394</v>
      </c>
      <c r="B16">
        <v>1</v>
      </c>
      <c r="C16">
        <v>10800139</v>
      </c>
      <c r="D16">
        <v>4</v>
      </c>
      <c r="E16">
        <v>5000005059</v>
      </c>
      <c r="F16" t="s">
        <v>153</v>
      </c>
      <c r="G16">
        <v>1</v>
      </c>
      <c r="H16" t="s">
        <v>93</v>
      </c>
      <c r="I16" s="10">
        <v>45673</v>
      </c>
      <c r="K16" s="23">
        <v>95000</v>
      </c>
      <c r="L16" t="s">
        <v>162</v>
      </c>
      <c r="M16" t="s">
        <v>36</v>
      </c>
      <c r="N16" t="s">
        <v>37</v>
      </c>
      <c r="O16" t="s">
        <v>38</v>
      </c>
      <c r="R16" t="s">
        <v>98</v>
      </c>
      <c r="S16" t="s">
        <v>39</v>
      </c>
      <c r="T16">
        <v>0</v>
      </c>
      <c r="U16">
        <v>79700679</v>
      </c>
      <c r="V16">
        <v>1</v>
      </c>
      <c r="W16">
        <v>0</v>
      </c>
      <c r="X16" t="s">
        <v>163</v>
      </c>
      <c r="Y16" s="10">
        <v>45678</v>
      </c>
      <c r="AD16" t="s">
        <v>41</v>
      </c>
      <c r="AY16" t="s">
        <v>154</v>
      </c>
    </row>
    <row r="17" spans="1:51" x14ac:dyDescent="0.25">
      <c r="A17" t="str">
        <f t="shared" si="1"/>
        <v>5000004248108001395</v>
      </c>
      <c r="B17">
        <v>2</v>
      </c>
      <c r="C17">
        <v>10800139</v>
      </c>
      <c r="D17">
        <v>5</v>
      </c>
      <c r="E17">
        <v>5000004248</v>
      </c>
      <c r="F17" t="s">
        <v>155</v>
      </c>
      <c r="G17">
        <v>1</v>
      </c>
      <c r="H17" t="s">
        <v>93</v>
      </c>
      <c r="I17" s="10">
        <v>45673</v>
      </c>
      <c r="K17" s="23">
        <v>65000</v>
      </c>
      <c r="L17" t="s">
        <v>162</v>
      </c>
      <c r="M17" t="s">
        <v>36</v>
      </c>
      <c r="N17" t="s">
        <v>37</v>
      </c>
      <c r="O17" t="s">
        <v>38</v>
      </c>
      <c r="R17" t="s">
        <v>98</v>
      </c>
      <c r="S17" t="s">
        <v>39</v>
      </c>
      <c r="T17">
        <v>0</v>
      </c>
      <c r="U17">
        <v>79700679</v>
      </c>
      <c r="V17">
        <v>1</v>
      </c>
      <c r="W17">
        <v>0</v>
      </c>
      <c r="X17" t="s">
        <v>163</v>
      </c>
      <c r="Y17" s="10">
        <v>45678</v>
      </c>
      <c r="AD17" t="s">
        <v>41</v>
      </c>
      <c r="AY17" t="s">
        <v>156</v>
      </c>
    </row>
    <row r="18" spans="1:51" x14ac:dyDescent="0.25">
      <c r="A18" t="str">
        <f t="shared" si="1"/>
        <v>5000013640108001397</v>
      </c>
      <c r="B18">
        <v>3</v>
      </c>
      <c r="C18">
        <v>10800139</v>
      </c>
      <c r="D18">
        <v>7</v>
      </c>
      <c r="E18">
        <v>5000013640</v>
      </c>
      <c r="F18" t="s">
        <v>159</v>
      </c>
      <c r="G18">
        <v>10</v>
      </c>
      <c r="H18" t="s">
        <v>93</v>
      </c>
      <c r="I18" s="10">
        <v>45673</v>
      </c>
      <c r="K18" s="23">
        <v>15000</v>
      </c>
      <c r="L18" t="s">
        <v>162</v>
      </c>
      <c r="M18" t="s">
        <v>160</v>
      </c>
      <c r="N18" t="s">
        <v>37</v>
      </c>
      <c r="O18" t="s">
        <v>38</v>
      </c>
      <c r="R18" t="s">
        <v>98</v>
      </c>
      <c r="S18" t="s">
        <v>39</v>
      </c>
      <c r="T18">
        <v>0</v>
      </c>
      <c r="U18">
        <v>79700679</v>
      </c>
      <c r="V18">
        <v>10</v>
      </c>
      <c r="W18">
        <v>0</v>
      </c>
      <c r="X18" t="s">
        <v>163</v>
      </c>
      <c r="Y18" s="10">
        <v>45678</v>
      </c>
      <c r="AD18" t="s">
        <v>41</v>
      </c>
      <c r="AY18" t="s">
        <v>161</v>
      </c>
    </row>
    <row r="19" spans="1:51" x14ac:dyDescent="0.25">
      <c r="A19" t="str">
        <f t="shared" si="1"/>
        <v>5000015861108002131</v>
      </c>
      <c r="B19">
        <v>1</v>
      </c>
      <c r="C19">
        <v>10800213</v>
      </c>
      <c r="D19">
        <v>1</v>
      </c>
      <c r="E19">
        <v>5000015861</v>
      </c>
      <c r="F19" t="s">
        <v>174</v>
      </c>
      <c r="G19">
        <v>4</v>
      </c>
      <c r="H19" t="s">
        <v>35</v>
      </c>
      <c r="I19" s="10">
        <v>45678</v>
      </c>
      <c r="K19" s="23">
        <v>1000000</v>
      </c>
      <c r="L19" t="s">
        <v>162</v>
      </c>
      <c r="M19" t="s">
        <v>36</v>
      </c>
      <c r="N19" t="s">
        <v>37</v>
      </c>
      <c r="O19" t="s">
        <v>38</v>
      </c>
      <c r="R19" t="s">
        <v>98</v>
      </c>
      <c r="S19" t="s">
        <v>39</v>
      </c>
      <c r="T19">
        <v>0</v>
      </c>
      <c r="U19">
        <v>79700733</v>
      </c>
      <c r="V19">
        <v>4</v>
      </c>
      <c r="W19">
        <v>0</v>
      </c>
      <c r="X19" t="s">
        <v>163</v>
      </c>
      <c r="Y19" s="10">
        <v>45678</v>
      </c>
      <c r="AD19" t="s">
        <v>41</v>
      </c>
      <c r="AY19" t="s">
        <v>175</v>
      </c>
    </row>
    <row r="20" spans="1:51" x14ac:dyDescent="0.25">
      <c r="A20" t="str">
        <f t="shared" ref="A20:A27" si="2">E20&amp;C20&amp;D20</f>
        <v>5000015000108002132</v>
      </c>
      <c r="B20">
        <v>2</v>
      </c>
      <c r="C20">
        <v>10800213</v>
      </c>
      <c r="D20">
        <v>2</v>
      </c>
      <c r="E20">
        <v>5000015000</v>
      </c>
      <c r="F20" t="s">
        <v>176</v>
      </c>
      <c r="G20">
        <v>4</v>
      </c>
      <c r="H20" t="s">
        <v>35</v>
      </c>
      <c r="I20" s="10">
        <v>45678</v>
      </c>
      <c r="K20" s="23">
        <v>350000</v>
      </c>
      <c r="L20" t="s">
        <v>162</v>
      </c>
      <c r="M20" t="s">
        <v>36</v>
      </c>
      <c r="N20" t="s">
        <v>37</v>
      </c>
      <c r="O20" t="s">
        <v>38</v>
      </c>
      <c r="R20" t="s">
        <v>98</v>
      </c>
      <c r="S20" t="s">
        <v>39</v>
      </c>
      <c r="T20">
        <v>0</v>
      </c>
      <c r="U20">
        <v>79700733</v>
      </c>
      <c r="V20">
        <v>4</v>
      </c>
      <c r="W20">
        <v>0</v>
      </c>
      <c r="X20" t="s">
        <v>163</v>
      </c>
      <c r="Y20" s="10">
        <v>45678</v>
      </c>
      <c r="AD20" t="s">
        <v>41</v>
      </c>
      <c r="AY20" t="s">
        <v>177</v>
      </c>
    </row>
    <row r="21" spans="1:51" x14ac:dyDescent="0.25">
      <c r="A21" t="str">
        <f t="shared" si="2"/>
        <v>5000005059108003092</v>
      </c>
      <c r="B21">
        <v>1</v>
      </c>
      <c r="C21">
        <v>10800309</v>
      </c>
      <c r="D21">
        <v>2</v>
      </c>
      <c r="E21">
        <v>5000005059</v>
      </c>
      <c r="F21" t="s">
        <v>153</v>
      </c>
      <c r="G21">
        <v>1</v>
      </c>
      <c r="H21" t="s">
        <v>93</v>
      </c>
      <c r="I21" s="10">
        <v>45682</v>
      </c>
      <c r="K21" s="23">
        <v>95000</v>
      </c>
      <c r="L21" t="s">
        <v>162</v>
      </c>
      <c r="M21" t="s">
        <v>36</v>
      </c>
      <c r="N21" t="s">
        <v>37</v>
      </c>
      <c r="O21" t="s">
        <v>38</v>
      </c>
      <c r="R21" t="s">
        <v>98</v>
      </c>
      <c r="S21" t="s">
        <v>39</v>
      </c>
      <c r="T21">
        <v>0</v>
      </c>
      <c r="U21">
        <v>79700786</v>
      </c>
      <c r="V21">
        <v>1</v>
      </c>
      <c r="W21">
        <v>0</v>
      </c>
      <c r="X21" t="s">
        <v>163</v>
      </c>
      <c r="Y21" s="10">
        <v>45679</v>
      </c>
      <c r="AD21" t="s">
        <v>41</v>
      </c>
      <c r="AY21" t="s">
        <v>185</v>
      </c>
    </row>
    <row r="22" spans="1:51" x14ac:dyDescent="0.25">
      <c r="A22" t="str">
        <f t="shared" si="2"/>
        <v>5000004248108003093</v>
      </c>
      <c r="B22">
        <v>2</v>
      </c>
      <c r="C22">
        <v>10800309</v>
      </c>
      <c r="D22">
        <v>3</v>
      </c>
      <c r="E22">
        <v>5000004248</v>
      </c>
      <c r="F22" t="s">
        <v>155</v>
      </c>
      <c r="G22">
        <v>1</v>
      </c>
      <c r="H22" t="s">
        <v>93</v>
      </c>
      <c r="I22" s="10">
        <v>45682</v>
      </c>
      <c r="K22" s="23">
        <v>65000</v>
      </c>
      <c r="L22" t="s">
        <v>162</v>
      </c>
      <c r="M22" t="s">
        <v>36</v>
      </c>
      <c r="N22" t="s">
        <v>37</v>
      </c>
      <c r="O22" t="s">
        <v>38</v>
      </c>
      <c r="R22" t="s">
        <v>98</v>
      </c>
      <c r="S22" t="s">
        <v>39</v>
      </c>
      <c r="T22">
        <v>0</v>
      </c>
      <c r="U22">
        <v>79700786</v>
      </c>
      <c r="V22">
        <v>1</v>
      </c>
      <c r="W22">
        <v>0</v>
      </c>
      <c r="X22" t="s">
        <v>163</v>
      </c>
      <c r="Y22" s="10">
        <v>45679</v>
      </c>
      <c r="AD22" t="s">
        <v>41</v>
      </c>
      <c r="AY22" t="s">
        <v>186</v>
      </c>
    </row>
    <row r="23" spans="1:51" x14ac:dyDescent="0.25">
      <c r="A23" t="str">
        <f t="shared" si="2"/>
        <v>5000012021108003095</v>
      </c>
      <c r="B23">
        <v>3</v>
      </c>
      <c r="C23">
        <v>10800309</v>
      </c>
      <c r="D23">
        <v>5</v>
      </c>
      <c r="E23">
        <v>5000012021</v>
      </c>
      <c r="F23" t="s">
        <v>188</v>
      </c>
      <c r="G23">
        <v>1</v>
      </c>
      <c r="H23" t="s">
        <v>93</v>
      </c>
      <c r="I23" s="10">
        <v>45682</v>
      </c>
      <c r="K23" s="23">
        <v>30000</v>
      </c>
      <c r="L23" t="s">
        <v>162</v>
      </c>
      <c r="M23" t="s">
        <v>36</v>
      </c>
      <c r="N23" t="s">
        <v>37</v>
      </c>
      <c r="O23" t="s">
        <v>38</v>
      </c>
      <c r="R23" t="s">
        <v>98</v>
      </c>
      <c r="S23" t="s">
        <v>39</v>
      </c>
      <c r="T23">
        <v>0</v>
      </c>
      <c r="U23">
        <v>79700786</v>
      </c>
      <c r="V23">
        <v>1</v>
      </c>
      <c r="W23">
        <v>0</v>
      </c>
      <c r="X23" t="s">
        <v>163</v>
      </c>
      <c r="Y23" s="10">
        <v>45679</v>
      </c>
      <c r="AD23" t="s">
        <v>41</v>
      </c>
      <c r="AY23" t="s">
        <v>189</v>
      </c>
    </row>
    <row r="24" spans="1:51" x14ac:dyDescent="0.25">
      <c r="A24" t="str">
        <f t="shared" si="2"/>
        <v>5000011754108003096</v>
      </c>
      <c r="B24">
        <v>4</v>
      </c>
      <c r="C24">
        <v>10800309</v>
      </c>
      <c r="D24">
        <v>6</v>
      </c>
      <c r="E24">
        <v>5000011754</v>
      </c>
      <c r="F24" t="s">
        <v>99</v>
      </c>
      <c r="G24">
        <v>2</v>
      </c>
      <c r="H24" t="s">
        <v>93</v>
      </c>
      <c r="I24" s="10">
        <v>45682</v>
      </c>
      <c r="K24" s="23">
        <v>20000</v>
      </c>
      <c r="L24" t="s">
        <v>162</v>
      </c>
      <c r="M24" t="s">
        <v>36</v>
      </c>
      <c r="N24" t="s">
        <v>37</v>
      </c>
      <c r="O24" t="s">
        <v>38</v>
      </c>
      <c r="R24" t="s">
        <v>98</v>
      </c>
      <c r="S24" t="s">
        <v>39</v>
      </c>
      <c r="T24">
        <v>0</v>
      </c>
      <c r="U24">
        <v>79700786</v>
      </c>
      <c r="V24">
        <v>2</v>
      </c>
      <c r="W24">
        <v>0</v>
      </c>
      <c r="X24" t="s">
        <v>163</v>
      </c>
      <c r="Y24" s="10">
        <v>45679</v>
      </c>
      <c r="AD24" t="s">
        <v>41</v>
      </c>
      <c r="AY24" t="s">
        <v>190</v>
      </c>
    </row>
    <row r="25" spans="1:51" x14ac:dyDescent="0.25">
      <c r="A25" t="str">
        <f t="shared" si="2"/>
        <v>5000017356108001391</v>
      </c>
      <c r="B25">
        <v>1</v>
      </c>
      <c r="C25">
        <v>10800139</v>
      </c>
      <c r="D25">
        <v>1</v>
      </c>
      <c r="E25">
        <v>5000017356</v>
      </c>
      <c r="F25" t="s">
        <v>148</v>
      </c>
      <c r="G25">
        <v>1</v>
      </c>
      <c r="H25" t="s">
        <v>35</v>
      </c>
      <c r="I25" s="10">
        <v>45673</v>
      </c>
      <c r="K25" s="23">
        <v>4875000</v>
      </c>
      <c r="L25" t="s">
        <v>162</v>
      </c>
      <c r="M25" t="s">
        <v>36</v>
      </c>
      <c r="N25" t="s">
        <v>37</v>
      </c>
      <c r="O25" t="s">
        <v>38</v>
      </c>
      <c r="R25" t="s">
        <v>98</v>
      </c>
      <c r="S25" t="s">
        <v>39</v>
      </c>
      <c r="T25">
        <v>0</v>
      </c>
      <c r="U25">
        <v>79700788</v>
      </c>
      <c r="V25">
        <v>1</v>
      </c>
      <c r="W25">
        <v>0</v>
      </c>
      <c r="X25" t="s">
        <v>163</v>
      </c>
      <c r="Y25" s="10">
        <v>45679</v>
      </c>
      <c r="AD25" t="s">
        <v>41</v>
      </c>
      <c r="AY25" t="s">
        <v>149</v>
      </c>
    </row>
    <row r="26" spans="1:51" x14ac:dyDescent="0.25">
      <c r="A26" t="str">
        <f t="shared" si="2"/>
        <v>5000016308108001393</v>
      </c>
      <c r="B26">
        <v>2</v>
      </c>
      <c r="C26">
        <v>10800139</v>
      </c>
      <c r="D26">
        <v>3</v>
      </c>
      <c r="E26">
        <v>5000016308</v>
      </c>
      <c r="F26" t="s">
        <v>143</v>
      </c>
      <c r="G26">
        <v>1</v>
      </c>
      <c r="H26" t="s">
        <v>35</v>
      </c>
      <c r="I26" s="10">
        <v>45673</v>
      </c>
      <c r="K26" s="23">
        <v>2980000</v>
      </c>
      <c r="L26" t="s">
        <v>162</v>
      </c>
      <c r="M26" t="s">
        <v>36</v>
      </c>
      <c r="N26" t="s">
        <v>37</v>
      </c>
      <c r="O26" t="s">
        <v>38</v>
      </c>
      <c r="R26" t="s">
        <v>98</v>
      </c>
      <c r="S26" t="s">
        <v>39</v>
      </c>
      <c r="T26">
        <v>0</v>
      </c>
      <c r="U26">
        <v>79700788</v>
      </c>
      <c r="V26">
        <v>1</v>
      </c>
      <c r="W26">
        <v>0</v>
      </c>
      <c r="X26" t="s">
        <v>163</v>
      </c>
      <c r="Y26" s="10">
        <v>45679</v>
      </c>
      <c r="AD26" t="s">
        <v>41</v>
      </c>
      <c r="AY26" t="s">
        <v>196</v>
      </c>
    </row>
    <row r="27" spans="1:51" x14ac:dyDescent="0.25">
      <c r="A27" t="str">
        <f t="shared" si="2"/>
        <v>5000016308108003094</v>
      </c>
      <c r="B27">
        <v>3</v>
      </c>
      <c r="C27">
        <v>10800309</v>
      </c>
      <c r="D27">
        <v>4</v>
      </c>
      <c r="E27">
        <v>5000016308</v>
      </c>
      <c r="F27" t="s">
        <v>143</v>
      </c>
      <c r="G27">
        <v>1</v>
      </c>
      <c r="H27" t="s">
        <v>35</v>
      </c>
      <c r="I27" s="10">
        <v>45682</v>
      </c>
      <c r="K27" s="23">
        <v>2980000</v>
      </c>
      <c r="L27" t="s">
        <v>162</v>
      </c>
      <c r="M27" t="s">
        <v>36</v>
      </c>
      <c r="N27" t="s">
        <v>37</v>
      </c>
      <c r="O27" t="s">
        <v>38</v>
      </c>
      <c r="R27" t="s">
        <v>98</v>
      </c>
      <c r="S27" t="s">
        <v>39</v>
      </c>
      <c r="T27">
        <v>0</v>
      </c>
      <c r="U27">
        <v>79700788</v>
      </c>
      <c r="V27">
        <v>1</v>
      </c>
      <c r="W27">
        <v>0</v>
      </c>
      <c r="X27" t="s">
        <v>163</v>
      </c>
      <c r="Y27" s="10">
        <v>45679</v>
      </c>
      <c r="AA27" s="10"/>
      <c r="AD27" t="s">
        <v>41</v>
      </c>
      <c r="AY27" t="s">
        <v>197</v>
      </c>
    </row>
    <row r="28" spans="1:51" x14ac:dyDescent="0.25">
      <c r="A28" t="str">
        <f t="shared" ref="A28:A33" si="3">E28&amp;C28&amp;D28</f>
        <v>5000016185108003097</v>
      </c>
      <c r="B28">
        <v>4</v>
      </c>
      <c r="C28">
        <v>10800309</v>
      </c>
      <c r="D28">
        <v>7</v>
      </c>
      <c r="E28">
        <v>5000016185</v>
      </c>
      <c r="F28" t="s">
        <v>191</v>
      </c>
      <c r="G28">
        <v>1</v>
      </c>
      <c r="H28" t="s">
        <v>93</v>
      </c>
      <c r="I28" s="10">
        <v>45682</v>
      </c>
      <c r="K28" s="23">
        <v>1625000</v>
      </c>
      <c r="L28" t="s">
        <v>162</v>
      </c>
      <c r="M28" t="s">
        <v>160</v>
      </c>
      <c r="N28" t="s">
        <v>37</v>
      </c>
      <c r="O28" t="s">
        <v>38</v>
      </c>
      <c r="R28" t="s">
        <v>98</v>
      </c>
      <c r="S28" t="s">
        <v>39</v>
      </c>
      <c r="T28">
        <v>0</v>
      </c>
      <c r="U28">
        <v>79700788</v>
      </c>
      <c r="V28">
        <v>1</v>
      </c>
      <c r="W28">
        <v>0</v>
      </c>
      <c r="X28" t="s">
        <v>163</v>
      </c>
      <c r="Y28" s="10">
        <v>45679</v>
      </c>
      <c r="AD28" t="s">
        <v>41</v>
      </c>
      <c r="AY28" t="s">
        <v>198</v>
      </c>
    </row>
    <row r="29" spans="1:51" x14ac:dyDescent="0.25">
      <c r="A29" t="str">
        <f t="shared" si="3"/>
        <v>5000005059108001394</v>
      </c>
      <c r="B29">
        <v>1</v>
      </c>
      <c r="C29">
        <v>10800139</v>
      </c>
      <c r="D29">
        <v>4</v>
      </c>
      <c r="E29">
        <v>5000005059</v>
      </c>
      <c r="F29" t="s">
        <v>153</v>
      </c>
      <c r="G29">
        <v>1</v>
      </c>
      <c r="H29" t="s">
        <v>93</v>
      </c>
      <c r="I29" s="10">
        <v>45673</v>
      </c>
      <c r="K29" s="23">
        <v>95000</v>
      </c>
      <c r="L29" t="s">
        <v>162</v>
      </c>
      <c r="M29" t="s">
        <v>36</v>
      </c>
      <c r="N29" t="s">
        <v>37</v>
      </c>
      <c r="O29" t="s">
        <v>38</v>
      </c>
      <c r="R29" t="s">
        <v>98</v>
      </c>
      <c r="S29" t="s">
        <v>39</v>
      </c>
      <c r="T29">
        <v>0</v>
      </c>
      <c r="U29">
        <v>79700679</v>
      </c>
      <c r="V29">
        <v>1</v>
      </c>
      <c r="W29">
        <v>0</v>
      </c>
      <c r="X29" t="s">
        <v>163</v>
      </c>
      <c r="Y29" s="10">
        <v>45678</v>
      </c>
      <c r="AA29" s="10"/>
      <c r="AD29" t="s">
        <v>41</v>
      </c>
      <c r="AY29" t="s">
        <v>154</v>
      </c>
    </row>
    <row r="30" spans="1:51" x14ac:dyDescent="0.25">
      <c r="A30" t="str">
        <f t="shared" si="3"/>
        <v>5000004248108001395</v>
      </c>
      <c r="B30">
        <v>2</v>
      </c>
      <c r="C30">
        <v>10800139</v>
      </c>
      <c r="D30">
        <v>5</v>
      </c>
      <c r="E30">
        <v>5000004248</v>
      </c>
      <c r="F30" t="s">
        <v>155</v>
      </c>
      <c r="G30">
        <v>1</v>
      </c>
      <c r="H30" t="s">
        <v>93</v>
      </c>
      <c r="I30" s="10">
        <v>45673</v>
      </c>
      <c r="K30" s="23">
        <v>65000</v>
      </c>
      <c r="L30" t="s">
        <v>162</v>
      </c>
      <c r="M30" t="s">
        <v>36</v>
      </c>
      <c r="N30" t="s">
        <v>37</v>
      </c>
      <c r="O30" t="s">
        <v>38</v>
      </c>
      <c r="R30" t="s">
        <v>98</v>
      </c>
      <c r="S30" t="s">
        <v>39</v>
      </c>
      <c r="T30">
        <v>0</v>
      </c>
      <c r="U30">
        <v>79700679</v>
      </c>
      <c r="V30">
        <v>1</v>
      </c>
      <c r="W30">
        <v>0</v>
      </c>
      <c r="X30" t="s">
        <v>163</v>
      </c>
      <c r="Y30" s="10">
        <v>45678</v>
      </c>
      <c r="AD30" t="s">
        <v>41</v>
      </c>
      <c r="AY30" t="s">
        <v>156</v>
      </c>
    </row>
    <row r="31" spans="1:51" x14ac:dyDescent="0.25">
      <c r="A31" t="str">
        <f t="shared" si="3"/>
        <v>5000013640108001397</v>
      </c>
      <c r="B31">
        <v>3</v>
      </c>
      <c r="C31">
        <v>10800139</v>
      </c>
      <c r="D31">
        <v>7</v>
      </c>
      <c r="E31">
        <v>5000013640</v>
      </c>
      <c r="F31" t="s">
        <v>159</v>
      </c>
      <c r="G31">
        <v>10</v>
      </c>
      <c r="H31" t="s">
        <v>93</v>
      </c>
      <c r="I31" s="10">
        <v>45673</v>
      </c>
      <c r="K31" s="23">
        <v>15000</v>
      </c>
      <c r="L31" t="s">
        <v>162</v>
      </c>
      <c r="M31" t="s">
        <v>160</v>
      </c>
      <c r="N31" t="s">
        <v>37</v>
      </c>
      <c r="O31" t="s">
        <v>38</v>
      </c>
      <c r="R31" t="s">
        <v>98</v>
      </c>
      <c r="S31" t="s">
        <v>39</v>
      </c>
      <c r="T31">
        <v>0</v>
      </c>
      <c r="U31">
        <v>79700679</v>
      </c>
      <c r="V31">
        <v>10</v>
      </c>
      <c r="W31">
        <v>0</v>
      </c>
      <c r="X31" t="s">
        <v>163</v>
      </c>
      <c r="Y31" s="10">
        <v>45678</v>
      </c>
      <c r="AA31" s="10"/>
      <c r="AD31" t="s">
        <v>41</v>
      </c>
      <c r="AY31" t="s">
        <v>161</v>
      </c>
    </row>
    <row r="32" spans="1:51" x14ac:dyDescent="0.25">
      <c r="A32" t="str">
        <f t="shared" si="3"/>
        <v>5000005059108003092</v>
      </c>
      <c r="B32">
        <v>1</v>
      </c>
      <c r="C32">
        <v>10800309</v>
      </c>
      <c r="D32">
        <v>2</v>
      </c>
      <c r="E32">
        <v>5000005059</v>
      </c>
      <c r="F32" t="s">
        <v>153</v>
      </c>
      <c r="G32">
        <v>1</v>
      </c>
      <c r="H32" t="s">
        <v>93</v>
      </c>
      <c r="I32" s="10">
        <v>45682</v>
      </c>
      <c r="K32" s="23">
        <v>95000</v>
      </c>
      <c r="L32" t="s">
        <v>162</v>
      </c>
      <c r="M32" t="s">
        <v>36</v>
      </c>
      <c r="N32" t="s">
        <v>37</v>
      </c>
      <c r="O32" t="s">
        <v>38</v>
      </c>
      <c r="R32" t="s">
        <v>98</v>
      </c>
      <c r="S32" t="s">
        <v>39</v>
      </c>
      <c r="T32">
        <v>0</v>
      </c>
      <c r="U32">
        <v>79700786</v>
      </c>
      <c r="V32">
        <v>1</v>
      </c>
      <c r="W32">
        <v>0</v>
      </c>
      <c r="X32" t="s">
        <v>163</v>
      </c>
      <c r="Y32" s="10">
        <v>45679</v>
      </c>
      <c r="AD32" t="s">
        <v>41</v>
      </c>
      <c r="AY32" t="s">
        <v>185</v>
      </c>
    </row>
    <row r="33" spans="1:51" x14ac:dyDescent="0.25">
      <c r="A33" t="str">
        <f t="shared" si="3"/>
        <v>5000004248108003093</v>
      </c>
      <c r="B33">
        <v>2</v>
      </c>
      <c r="C33">
        <v>10800309</v>
      </c>
      <c r="D33">
        <v>3</v>
      </c>
      <c r="E33">
        <v>5000004248</v>
      </c>
      <c r="F33" t="s">
        <v>155</v>
      </c>
      <c r="G33">
        <v>1</v>
      </c>
      <c r="H33" t="s">
        <v>93</v>
      </c>
      <c r="I33" s="10">
        <v>45682</v>
      </c>
      <c r="K33" s="23">
        <v>65000</v>
      </c>
      <c r="L33" t="s">
        <v>162</v>
      </c>
      <c r="M33" t="s">
        <v>36</v>
      </c>
      <c r="N33" t="s">
        <v>37</v>
      </c>
      <c r="O33" t="s">
        <v>38</v>
      </c>
      <c r="R33" t="s">
        <v>98</v>
      </c>
      <c r="S33" t="s">
        <v>39</v>
      </c>
      <c r="T33">
        <v>0</v>
      </c>
      <c r="U33">
        <v>79700786</v>
      </c>
      <c r="V33">
        <v>1</v>
      </c>
      <c r="W33">
        <v>0</v>
      </c>
      <c r="X33" t="s">
        <v>163</v>
      </c>
      <c r="Y33" s="10">
        <v>45679</v>
      </c>
      <c r="AD33" t="s">
        <v>41</v>
      </c>
      <c r="AY33" t="s">
        <v>186</v>
      </c>
    </row>
    <row r="34" spans="1:51" x14ac:dyDescent="0.25">
      <c r="A34" t="str">
        <f t="shared" ref="A34:A39" si="4">E34&amp;C34&amp;D34</f>
        <v>5000012021108003095</v>
      </c>
      <c r="B34">
        <v>3</v>
      </c>
      <c r="C34">
        <v>10800309</v>
      </c>
      <c r="D34">
        <v>5</v>
      </c>
      <c r="E34">
        <v>5000012021</v>
      </c>
      <c r="F34" t="s">
        <v>188</v>
      </c>
      <c r="G34">
        <v>1</v>
      </c>
      <c r="H34" t="s">
        <v>93</v>
      </c>
      <c r="I34" s="10">
        <v>45682</v>
      </c>
      <c r="K34" s="23">
        <v>30000</v>
      </c>
      <c r="L34" t="s">
        <v>162</v>
      </c>
      <c r="M34" t="s">
        <v>36</v>
      </c>
      <c r="N34" t="s">
        <v>37</v>
      </c>
      <c r="O34" t="s">
        <v>38</v>
      </c>
      <c r="R34" t="s">
        <v>98</v>
      </c>
      <c r="S34" t="s">
        <v>39</v>
      </c>
      <c r="T34">
        <v>0</v>
      </c>
      <c r="U34">
        <v>79700786</v>
      </c>
      <c r="V34">
        <v>1</v>
      </c>
      <c r="W34">
        <v>0</v>
      </c>
      <c r="X34" t="s">
        <v>163</v>
      </c>
      <c r="Y34" s="10">
        <v>45679</v>
      </c>
      <c r="AD34" t="s">
        <v>41</v>
      </c>
      <c r="AY34" t="s">
        <v>189</v>
      </c>
    </row>
    <row r="35" spans="1:51" x14ac:dyDescent="0.25">
      <c r="A35" t="str">
        <f t="shared" si="4"/>
        <v>5000011754108003096</v>
      </c>
      <c r="B35">
        <v>4</v>
      </c>
      <c r="C35">
        <v>10800309</v>
      </c>
      <c r="D35">
        <v>6</v>
      </c>
      <c r="E35">
        <v>5000011754</v>
      </c>
      <c r="F35" t="s">
        <v>99</v>
      </c>
      <c r="G35">
        <v>2</v>
      </c>
      <c r="H35" t="s">
        <v>93</v>
      </c>
      <c r="I35" s="10">
        <v>45682</v>
      </c>
      <c r="K35" s="23">
        <v>20000</v>
      </c>
      <c r="L35" t="s">
        <v>162</v>
      </c>
      <c r="M35" t="s">
        <v>36</v>
      </c>
      <c r="N35" t="s">
        <v>37</v>
      </c>
      <c r="O35" t="s">
        <v>38</v>
      </c>
      <c r="R35" t="s">
        <v>98</v>
      </c>
      <c r="S35" t="s">
        <v>39</v>
      </c>
      <c r="T35">
        <v>0</v>
      </c>
      <c r="U35">
        <v>79700786</v>
      </c>
      <c r="V35">
        <v>2</v>
      </c>
      <c r="W35">
        <v>0</v>
      </c>
      <c r="X35" t="s">
        <v>163</v>
      </c>
      <c r="Y35" s="10">
        <v>45679</v>
      </c>
      <c r="AD35" t="s">
        <v>41</v>
      </c>
      <c r="AY35" t="s">
        <v>190</v>
      </c>
    </row>
    <row r="36" spans="1:51" x14ac:dyDescent="0.25">
      <c r="A36" t="str">
        <f t="shared" si="4"/>
        <v>5000017356108001391</v>
      </c>
      <c r="B36">
        <v>1</v>
      </c>
      <c r="C36">
        <v>10800139</v>
      </c>
      <c r="D36">
        <v>1</v>
      </c>
      <c r="E36">
        <v>5000017356</v>
      </c>
      <c r="F36" t="s">
        <v>148</v>
      </c>
      <c r="G36">
        <v>1</v>
      </c>
      <c r="H36" t="s">
        <v>35</v>
      </c>
      <c r="I36" s="10">
        <v>45673</v>
      </c>
      <c r="K36" s="23">
        <v>4875000</v>
      </c>
      <c r="L36" t="s">
        <v>162</v>
      </c>
      <c r="M36" t="s">
        <v>36</v>
      </c>
      <c r="N36" t="s">
        <v>37</v>
      </c>
      <c r="O36" t="s">
        <v>38</v>
      </c>
      <c r="R36" t="s">
        <v>98</v>
      </c>
      <c r="S36" t="s">
        <v>39</v>
      </c>
      <c r="T36">
        <v>0</v>
      </c>
      <c r="U36">
        <v>79700788</v>
      </c>
      <c r="V36">
        <v>1</v>
      </c>
      <c r="W36">
        <v>0</v>
      </c>
      <c r="X36" t="s">
        <v>163</v>
      </c>
      <c r="Y36" s="10">
        <v>45679</v>
      </c>
      <c r="AD36" t="s">
        <v>41</v>
      </c>
      <c r="AY36" t="s">
        <v>149</v>
      </c>
    </row>
    <row r="37" spans="1:51" x14ac:dyDescent="0.25">
      <c r="A37" t="str">
        <f t="shared" si="4"/>
        <v>5000016308108001393</v>
      </c>
      <c r="B37">
        <v>2</v>
      </c>
      <c r="C37">
        <v>10800139</v>
      </c>
      <c r="D37">
        <v>3</v>
      </c>
      <c r="E37">
        <v>5000016308</v>
      </c>
      <c r="F37" t="s">
        <v>143</v>
      </c>
      <c r="G37">
        <v>1</v>
      </c>
      <c r="H37" t="s">
        <v>35</v>
      </c>
      <c r="I37" s="10">
        <v>45673</v>
      </c>
      <c r="K37" s="23">
        <v>2980000</v>
      </c>
      <c r="L37" t="s">
        <v>162</v>
      </c>
      <c r="M37" t="s">
        <v>36</v>
      </c>
      <c r="N37" t="s">
        <v>37</v>
      </c>
      <c r="O37" t="s">
        <v>38</v>
      </c>
      <c r="R37" t="s">
        <v>98</v>
      </c>
      <c r="S37" t="s">
        <v>39</v>
      </c>
      <c r="T37">
        <v>0</v>
      </c>
      <c r="U37">
        <v>79700788</v>
      </c>
      <c r="V37">
        <v>1</v>
      </c>
      <c r="W37">
        <v>0</v>
      </c>
      <c r="X37" t="s">
        <v>163</v>
      </c>
      <c r="Y37" s="10">
        <v>45679</v>
      </c>
      <c r="AD37" t="s">
        <v>41</v>
      </c>
      <c r="AY37" t="s">
        <v>196</v>
      </c>
    </row>
    <row r="38" spans="1:51" x14ac:dyDescent="0.25">
      <c r="A38" t="str">
        <f t="shared" si="4"/>
        <v>5000016308108003094</v>
      </c>
      <c r="B38">
        <v>3</v>
      </c>
      <c r="C38">
        <v>10800309</v>
      </c>
      <c r="D38">
        <v>4</v>
      </c>
      <c r="E38">
        <v>5000016308</v>
      </c>
      <c r="F38" t="s">
        <v>143</v>
      </c>
      <c r="G38">
        <v>1</v>
      </c>
      <c r="H38" t="s">
        <v>35</v>
      </c>
      <c r="I38" s="10">
        <v>45682</v>
      </c>
      <c r="K38" s="23">
        <v>2980000</v>
      </c>
      <c r="L38" t="s">
        <v>162</v>
      </c>
      <c r="M38" t="s">
        <v>36</v>
      </c>
      <c r="N38" t="s">
        <v>37</v>
      </c>
      <c r="O38" t="s">
        <v>38</v>
      </c>
      <c r="R38" t="s">
        <v>98</v>
      </c>
      <c r="S38" t="s">
        <v>39</v>
      </c>
      <c r="T38">
        <v>0</v>
      </c>
      <c r="U38">
        <v>79700788</v>
      </c>
      <c r="V38">
        <v>1</v>
      </c>
      <c r="W38">
        <v>0</v>
      </c>
      <c r="X38" t="s">
        <v>163</v>
      </c>
      <c r="Y38" s="10">
        <v>45679</v>
      </c>
      <c r="AA38" s="10"/>
      <c r="AD38" t="s">
        <v>41</v>
      </c>
      <c r="AY38" t="s">
        <v>197</v>
      </c>
    </row>
    <row r="39" spans="1:51" x14ac:dyDescent="0.25">
      <c r="A39" t="str">
        <f t="shared" si="4"/>
        <v>5000016185108003097</v>
      </c>
      <c r="B39">
        <v>4</v>
      </c>
      <c r="C39">
        <v>10800309</v>
      </c>
      <c r="D39">
        <v>7</v>
      </c>
      <c r="E39">
        <v>5000016185</v>
      </c>
      <c r="F39" t="s">
        <v>191</v>
      </c>
      <c r="G39">
        <v>1</v>
      </c>
      <c r="H39" t="s">
        <v>93</v>
      </c>
      <c r="I39" s="10">
        <v>45682</v>
      </c>
      <c r="K39" s="23">
        <v>1625000</v>
      </c>
      <c r="L39" t="s">
        <v>162</v>
      </c>
      <c r="M39" t="s">
        <v>160</v>
      </c>
      <c r="N39" t="s">
        <v>37</v>
      </c>
      <c r="O39" t="s">
        <v>38</v>
      </c>
      <c r="R39" t="s">
        <v>98</v>
      </c>
      <c r="S39" t="s">
        <v>39</v>
      </c>
      <c r="T39">
        <v>0</v>
      </c>
      <c r="U39">
        <v>79700788</v>
      </c>
      <c r="V39">
        <v>1</v>
      </c>
      <c r="W39">
        <v>0</v>
      </c>
      <c r="X39" t="s">
        <v>163</v>
      </c>
      <c r="Y39" s="10">
        <v>45679</v>
      </c>
      <c r="AA39" s="10"/>
      <c r="AD39" t="s">
        <v>41</v>
      </c>
      <c r="AY39" t="s">
        <v>198</v>
      </c>
    </row>
    <row r="40" spans="1:51" x14ac:dyDescent="0.25">
      <c r="A40" t="str">
        <f t="shared" ref="A40:A41" si="5">E40&amp;C40&amp;D40</f>
        <v>5000008843108001392</v>
      </c>
      <c r="B40">
        <v>1</v>
      </c>
      <c r="C40">
        <v>10800139</v>
      </c>
      <c r="D40">
        <v>2</v>
      </c>
      <c r="E40">
        <v>5000008843</v>
      </c>
      <c r="F40" t="s">
        <v>150</v>
      </c>
      <c r="G40">
        <v>1</v>
      </c>
      <c r="H40" t="s">
        <v>35</v>
      </c>
      <c r="I40" s="10">
        <v>45673</v>
      </c>
      <c r="K40" s="23">
        <v>923424</v>
      </c>
      <c r="L40" t="s">
        <v>162</v>
      </c>
      <c r="M40" t="s">
        <v>36</v>
      </c>
      <c r="N40" t="s">
        <v>37</v>
      </c>
      <c r="O40" t="s">
        <v>38</v>
      </c>
      <c r="R40" t="s">
        <v>98</v>
      </c>
      <c r="S40" t="s">
        <v>39</v>
      </c>
      <c r="T40">
        <v>0</v>
      </c>
      <c r="U40">
        <v>79700802</v>
      </c>
      <c r="V40">
        <v>1</v>
      </c>
      <c r="W40">
        <v>0</v>
      </c>
      <c r="X40" t="s">
        <v>163</v>
      </c>
      <c r="Y40" s="10">
        <v>45680</v>
      </c>
      <c r="AD40" t="s">
        <v>41</v>
      </c>
      <c r="AY40" t="s">
        <v>212</v>
      </c>
    </row>
    <row r="41" spans="1:51" x14ac:dyDescent="0.25">
      <c r="A41" t="str">
        <f t="shared" si="5"/>
        <v>5000016428108001396</v>
      </c>
      <c r="B41">
        <v>2</v>
      </c>
      <c r="C41">
        <v>10800139</v>
      </c>
      <c r="D41">
        <v>6</v>
      </c>
      <c r="E41">
        <v>5000016428</v>
      </c>
      <c r="F41" t="s">
        <v>157</v>
      </c>
      <c r="G41">
        <v>1</v>
      </c>
      <c r="H41" t="s">
        <v>35</v>
      </c>
      <c r="I41" s="10">
        <v>45673</v>
      </c>
      <c r="K41" s="23">
        <v>1531532</v>
      </c>
      <c r="L41" t="s">
        <v>162</v>
      </c>
      <c r="M41" t="s">
        <v>36</v>
      </c>
      <c r="N41" t="s">
        <v>37</v>
      </c>
      <c r="O41" t="s">
        <v>38</v>
      </c>
      <c r="R41" t="s">
        <v>98</v>
      </c>
      <c r="S41" t="s">
        <v>39</v>
      </c>
      <c r="T41">
        <v>0</v>
      </c>
      <c r="U41">
        <v>79700802</v>
      </c>
      <c r="V41">
        <v>1</v>
      </c>
      <c r="W41">
        <v>0</v>
      </c>
      <c r="X41" t="s">
        <v>163</v>
      </c>
      <c r="Y41" s="10">
        <v>45680</v>
      </c>
      <c r="AA41" s="10"/>
      <c r="AD41" t="s">
        <v>41</v>
      </c>
      <c r="AY41" t="s">
        <v>213</v>
      </c>
    </row>
    <row r="42" spans="1:51" x14ac:dyDescent="0.25">
      <c r="A42" t="str">
        <f t="shared" ref="A42:A54" si="6">E42&amp;C42&amp;D42</f>
        <v>5000017216108003091</v>
      </c>
      <c r="B42">
        <v>3</v>
      </c>
      <c r="C42">
        <v>10800309</v>
      </c>
      <c r="D42">
        <v>1</v>
      </c>
      <c r="E42">
        <v>5000017216</v>
      </c>
      <c r="F42" t="s">
        <v>183</v>
      </c>
      <c r="G42">
        <v>1</v>
      </c>
      <c r="H42" t="s">
        <v>35</v>
      </c>
      <c r="I42" s="10">
        <v>45682</v>
      </c>
      <c r="K42" s="23">
        <v>1013514</v>
      </c>
      <c r="L42" t="s">
        <v>162</v>
      </c>
      <c r="M42" t="s">
        <v>36</v>
      </c>
      <c r="N42" t="s">
        <v>37</v>
      </c>
      <c r="O42" t="s">
        <v>38</v>
      </c>
      <c r="R42" t="s">
        <v>98</v>
      </c>
      <c r="S42" t="s">
        <v>39</v>
      </c>
      <c r="T42">
        <v>0</v>
      </c>
      <c r="U42">
        <v>79700802</v>
      </c>
      <c r="V42">
        <v>1</v>
      </c>
      <c r="W42">
        <v>0</v>
      </c>
      <c r="X42" t="s">
        <v>163</v>
      </c>
      <c r="Y42" s="10">
        <v>45680</v>
      </c>
      <c r="Z42" t="s">
        <v>163</v>
      </c>
      <c r="AA42" s="10">
        <v>45680</v>
      </c>
      <c r="AD42" t="s">
        <v>41</v>
      </c>
      <c r="AY42" t="s">
        <v>214</v>
      </c>
    </row>
    <row r="43" spans="1:51" x14ac:dyDescent="0.25">
      <c r="A43" t="str">
        <f t="shared" si="6"/>
        <v>5000016728108000971</v>
      </c>
      <c r="B43">
        <v>1</v>
      </c>
      <c r="C43">
        <v>10800097</v>
      </c>
      <c r="D43">
        <v>1</v>
      </c>
      <c r="E43">
        <v>5000016728</v>
      </c>
      <c r="F43" t="s">
        <v>146</v>
      </c>
      <c r="G43">
        <v>1</v>
      </c>
      <c r="H43" t="s">
        <v>35</v>
      </c>
      <c r="I43" s="10">
        <v>45671</v>
      </c>
      <c r="K43" s="23">
        <v>346847</v>
      </c>
      <c r="L43" t="s">
        <v>162</v>
      </c>
      <c r="M43" t="s">
        <v>36</v>
      </c>
      <c r="N43" t="s">
        <v>37</v>
      </c>
      <c r="O43" t="s">
        <v>38</v>
      </c>
      <c r="R43" t="s">
        <v>98</v>
      </c>
      <c r="S43" t="s">
        <v>39</v>
      </c>
      <c r="T43">
        <v>0</v>
      </c>
      <c r="U43">
        <v>79700803</v>
      </c>
      <c r="V43">
        <v>1</v>
      </c>
      <c r="W43">
        <v>0</v>
      </c>
      <c r="X43" t="s">
        <v>163</v>
      </c>
      <c r="Y43" s="10">
        <v>45680</v>
      </c>
      <c r="AA43" s="10"/>
      <c r="AD43" t="s">
        <v>41</v>
      </c>
      <c r="AY43" t="s">
        <v>215</v>
      </c>
    </row>
    <row r="44" spans="1:51" x14ac:dyDescent="0.25">
      <c r="A44" t="str">
        <f t="shared" si="6"/>
        <v>5000016428108004291</v>
      </c>
      <c r="B44">
        <v>1</v>
      </c>
      <c r="C44">
        <v>10800429</v>
      </c>
      <c r="D44">
        <v>1</v>
      </c>
      <c r="E44">
        <v>5000016428</v>
      </c>
      <c r="F44" t="s">
        <v>157</v>
      </c>
      <c r="G44">
        <v>1</v>
      </c>
      <c r="H44" t="s">
        <v>35</v>
      </c>
      <c r="I44" s="10">
        <v>45688</v>
      </c>
      <c r="K44" s="23">
        <v>1531532</v>
      </c>
      <c r="L44" t="s">
        <v>162</v>
      </c>
      <c r="M44" t="s">
        <v>36</v>
      </c>
      <c r="N44" t="s">
        <v>37</v>
      </c>
      <c r="O44" t="s">
        <v>38</v>
      </c>
      <c r="R44" t="s">
        <v>98</v>
      </c>
      <c r="S44" t="s">
        <v>39</v>
      </c>
      <c r="T44">
        <v>0</v>
      </c>
      <c r="U44">
        <v>79701173</v>
      </c>
      <c r="V44">
        <v>1</v>
      </c>
      <c r="W44">
        <v>0</v>
      </c>
      <c r="X44" t="s">
        <v>163</v>
      </c>
      <c r="Y44" s="10">
        <v>45692</v>
      </c>
      <c r="AA44" s="10"/>
      <c r="AD44" t="s">
        <v>41</v>
      </c>
      <c r="AY44" t="s">
        <v>247</v>
      </c>
    </row>
    <row r="45" spans="1:51" x14ac:dyDescent="0.25">
      <c r="A45" t="str">
        <f t="shared" si="6"/>
        <v>5000008843108004501</v>
      </c>
      <c r="B45">
        <v>2</v>
      </c>
      <c r="C45">
        <v>10800450</v>
      </c>
      <c r="D45">
        <v>1</v>
      </c>
      <c r="E45">
        <v>5000008843</v>
      </c>
      <c r="F45" t="s">
        <v>150</v>
      </c>
      <c r="G45">
        <v>1</v>
      </c>
      <c r="H45" t="s">
        <v>35</v>
      </c>
      <c r="I45" s="10">
        <v>45689</v>
      </c>
      <c r="K45" s="23">
        <v>923424</v>
      </c>
      <c r="L45" t="s">
        <v>162</v>
      </c>
      <c r="M45" t="s">
        <v>36</v>
      </c>
      <c r="N45" t="s">
        <v>37</v>
      </c>
      <c r="O45" t="s">
        <v>38</v>
      </c>
      <c r="R45" t="s">
        <v>98</v>
      </c>
      <c r="S45" t="s">
        <v>39</v>
      </c>
      <c r="T45">
        <v>0</v>
      </c>
      <c r="U45">
        <v>79701173</v>
      </c>
      <c r="V45">
        <v>1</v>
      </c>
      <c r="W45">
        <v>0</v>
      </c>
      <c r="X45" t="s">
        <v>163</v>
      </c>
      <c r="Y45" s="10">
        <v>45692</v>
      </c>
      <c r="AA45" s="10"/>
      <c r="AD45" t="s">
        <v>41</v>
      </c>
      <c r="AY45" t="s">
        <v>248</v>
      </c>
    </row>
    <row r="46" spans="1:51" x14ac:dyDescent="0.25">
      <c r="A46" t="str">
        <f t="shared" si="6"/>
        <v>5000008843108005371</v>
      </c>
      <c r="B46">
        <v>3</v>
      </c>
      <c r="C46">
        <v>10800537</v>
      </c>
      <c r="D46">
        <v>1</v>
      </c>
      <c r="E46">
        <v>5000008843</v>
      </c>
      <c r="F46" t="s">
        <v>150</v>
      </c>
      <c r="G46">
        <v>1</v>
      </c>
      <c r="H46" t="s">
        <v>35</v>
      </c>
      <c r="I46" s="10">
        <v>45695</v>
      </c>
      <c r="K46" s="23">
        <v>923424</v>
      </c>
      <c r="L46" t="s">
        <v>162</v>
      </c>
      <c r="M46" t="s">
        <v>36</v>
      </c>
      <c r="N46" t="s">
        <v>37</v>
      </c>
      <c r="O46" t="s">
        <v>38</v>
      </c>
      <c r="R46" t="s">
        <v>98</v>
      </c>
      <c r="S46" t="s">
        <v>39</v>
      </c>
      <c r="T46">
        <v>0</v>
      </c>
      <c r="U46">
        <v>79701173</v>
      </c>
      <c r="V46">
        <v>1</v>
      </c>
      <c r="W46">
        <v>0</v>
      </c>
      <c r="X46" t="s">
        <v>163</v>
      </c>
      <c r="Y46" s="10">
        <v>45692</v>
      </c>
      <c r="AA46" s="10"/>
      <c r="AD46" t="s">
        <v>41</v>
      </c>
      <c r="AY46" t="s">
        <v>249</v>
      </c>
    </row>
    <row r="47" spans="1:51" x14ac:dyDescent="0.25">
      <c r="A47" t="str">
        <f t="shared" si="6"/>
        <v>5000009128108003711</v>
      </c>
      <c r="B47">
        <v>1</v>
      </c>
      <c r="C47">
        <v>10800371</v>
      </c>
      <c r="D47">
        <v>1</v>
      </c>
      <c r="E47">
        <v>5000009128</v>
      </c>
      <c r="F47" t="s">
        <v>194</v>
      </c>
      <c r="G47">
        <v>5</v>
      </c>
      <c r="H47" t="s">
        <v>93</v>
      </c>
      <c r="I47" s="10">
        <v>45686</v>
      </c>
      <c r="K47" s="23">
        <v>90000</v>
      </c>
      <c r="L47" t="s">
        <v>162</v>
      </c>
      <c r="M47" t="s">
        <v>36</v>
      </c>
      <c r="N47" t="s">
        <v>37</v>
      </c>
      <c r="O47" t="s">
        <v>38</v>
      </c>
      <c r="R47" t="s">
        <v>98</v>
      </c>
      <c r="S47" t="s">
        <v>39</v>
      </c>
      <c r="T47">
        <v>0</v>
      </c>
      <c r="U47">
        <v>79701193</v>
      </c>
      <c r="V47">
        <v>5</v>
      </c>
      <c r="W47">
        <v>0</v>
      </c>
      <c r="X47" t="s">
        <v>163</v>
      </c>
      <c r="Y47" s="10">
        <v>45692</v>
      </c>
      <c r="AA47" s="10"/>
      <c r="AD47" t="s">
        <v>41</v>
      </c>
      <c r="AY47" t="s">
        <v>250</v>
      </c>
    </row>
    <row r="48" spans="1:51" x14ac:dyDescent="0.25">
      <c r="A48" t="str">
        <f t="shared" si="6"/>
        <v>5000014667108003713</v>
      </c>
      <c r="B48">
        <v>2</v>
      </c>
      <c r="C48">
        <v>10800371</v>
      </c>
      <c r="D48">
        <v>3</v>
      </c>
      <c r="E48">
        <v>5000014667</v>
      </c>
      <c r="F48" t="s">
        <v>230</v>
      </c>
      <c r="G48">
        <v>1</v>
      </c>
      <c r="H48" t="s">
        <v>35</v>
      </c>
      <c r="I48" s="10">
        <v>45686</v>
      </c>
      <c r="K48" s="23">
        <v>70000</v>
      </c>
      <c r="L48" t="s">
        <v>162</v>
      </c>
      <c r="M48" t="s">
        <v>36</v>
      </c>
      <c r="N48" t="s">
        <v>37</v>
      </c>
      <c r="O48" t="s">
        <v>38</v>
      </c>
      <c r="R48" t="s">
        <v>98</v>
      </c>
      <c r="S48" t="s">
        <v>39</v>
      </c>
      <c r="T48">
        <v>0</v>
      </c>
      <c r="U48">
        <v>79701193</v>
      </c>
      <c r="V48">
        <v>1</v>
      </c>
      <c r="W48">
        <v>0</v>
      </c>
      <c r="X48" t="s">
        <v>163</v>
      </c>
      <c r="Y48" s="10">
        <v>45692</v>
      </c>
      <c r="AA48" s="10"/>
      <c r="AD48" t="s">
        <v>41</v>
      </c>
      <c r="AY48" t="s">
        <v>201</v>
      </c>
    </row>
    <row r="49" spans="1:51" x14ac:dyDescent="0.25">
      <c r="A49" t="str">
        <f t="shared" si="6"/>
        <v>5000016308108004504</v>
      </c>
      <c r="B49">
        <v>3</v>
      </c>
      <c r="C49">
        <v>10800450</v>
      </c>
      <c r="D49">
        <v>4</v>
      </c>
      <c r="E49">
        <v>5000016308</v>
      </c>
      <c r="F49" t="s">
        <v>143</v>
      </c>
      <c r="G49">
        <v>1</v>
      </c>
      <c r="H49" t="s">
        <v>35</v>
      </c>
      <c r="I49" s="10">
        <v>45689</v>
      </c>
      <c r="K49" s="23">
        <v>2980000</v>
      </c>
      <c r="L49" t="s">
        <v>162</v>
      </c>
      <c r="M49" t="s">
        <v>36</v>
      </c>
      <c r="N49" t="s">
        <v>37</v>
      </c>
      <c r="O49" t="s">
        <v>38</v>
      </c>
      <c r="R49" t="s">
        <v>98</v>
      </c>
      <c r="S49" t="s">
        <v>39</v>
      </c>
      <c r="T49">
        <v>0</v>
      </c>
      <c r="U49">
        <v>79701193</v>
      </c>
      <c r="V49">
        <v>1</v>
      </c>
      <c r="W49">
        <v>0</v>
      </c>
      <c r="X49" t="s">
        <v>163</v>
      </c>
      <c r="Y49" s="10">
        <v>45692</v>
      </c>
      <c r="Z49" t="s">
        <v>163</v>
      </c>
      <c r="AA49" s="10">
        <v>45692</v>
      </c>
      <c r="AD49" t="s">
        <v>41</v>
      </c>
      <c r="AY49" t="s">
        <v>251</v>
      </c>
    </row>
    <row r="50" spans="1:51" x14ac:dyDescent="0.25">
      <c r="A50" t="str">
        <f t="shared" si="6"/>
        <v>5000016308108005372</v>
      </c>
      <c r="B50">
        <v>4</v>
      </c>
      <c r="C50">
        <v>10800537</v>
      </c>
      <c r="D50">
        <v>2</v>
      </c>
      <c r="E50">
        <v>5000016308</v>
      </c>
      <c r="F50" t="s">
        <v>143</v>
      </c>
      <c r="G50">
        <v>1</v>
      </c>
      <c r="H50" t="s">
        <v>35</v>
      </c>
      <c r="I50" s="10">
        <v>45695</v>
      </c>
      <c r="K50" s="23">
        <v>2980000</v>
      </c>
      <c r="L50" t="s">
        <v>162</v>
      </c>
      <c r="M50" t="s">
        <v>36</v>
      </c>
      <c r="N50" t="s">
        <v>37</v>
      </c>
      <c r="O50" t="s">
        <v>38</v>
      </c>
      <c r="R50" t="s">
        <v>98</v>
      </c>
      <c r="S50" t="s">
        <v>39</v>
      </c>
      <c r="T50">
        <v>0</v>
      </c>
      <c r="U50">
        <v>79701193</v>
      </c>
      <c r="V50">
        <v>1</v>
      </c>
      <c r="W50">
        <v>0</v>
      </c>
      <c r="X50" t="s">
        <v>163</v>
      </c>
      <c r="Y50" s="10">
        <v>45692</v>
      </c>
      <c r="Z50" t="s">
        <v>163</v>
      </c>
      <c r="AA50" s="10">
        <v>45692</v>
      </c>
      <c r="AD50" t="s">
        <v>41</v>
      </c>
      <c r="AY50" t="s">
        <v>252</v>
      </c>
    </row>
    <row r="51" spans="1:51" x14ac:dyDescent="0.25">
      <c r="A51" t="str">
        <f t="shared" si="6"/>
        <v>5000005340108003712</v>
      </c>
      <c r="B51">
        <v>1</v>
      </c>
      <c r="C51">
        <v>10800371</v>
      </c>
      <c r="D51">
        <v>2</v>
      </c>
      <c r="E51">
        <v>5000005340</v>
      </c>
      <c r="F51" t="s">
        <v>199</v>
      </c>
      <c r="G51">
        <v>2</v>
      </c>
      <c r="H51" t="s">
        <v>35</v>
      </c>
      <c r="I51" s="10">
        <v>45686</v>
      </c>
      <c r="K51" s="23">
        <v>155000</v>
      </c>
      <c r="L51" t="s">
        <v>162</v>
      </c>
      <c r="M51" t="s">
        <v>36</v>
      </c>
      <c r="N51" t="s">
        <v>37</v>
      </c>
      <c r="O51" t="s">
        <v>38</v>
      </c>
      <c r="R51" t="s">
        <v>98</v>
      </c>
      <c r="S51" t="s">
        <v>39</v>
      </c>
      <c r="T51">
        <v>0</v>
      </c>
      <c r="U51">
        <v>79701197</v>
      </c>
      <c r="V51">
        <v>2</v>
      </c>
      <c r="W51">
        <v>0</v>
      </c>
      <c r="X51" t="s">
        <v>163</v>
      </c>
      <c r="Y51" s="10">
        <v>45692</v>
      </c>
      <c r="AA51" s="10"/>
      <c r="AD51" t="s">
        <v>41</v>
      </c>
      <c r="AY51" t="s">
        <v>200</v>
      </c>
    </row>
    <row r="52" spans="1:51" x14ac:dyDescent="0.25">
      <c r="A52" t="str">
        <f t="shared" si="6"/>
        <v>5000014904108004293</v>
      </c>
      <c r="B52">
        <v>2</v>
      </c>
      <c r="C52">
        <v>10800429</v>
      </c>
      <c r="D52">
        <v>3</v>
      </c>
      <c r="E52">
        <v>5000014904</v>
      </c>
      <c r="F52" t="s">
        <v>204</v>
      </c>
      <c r="G52">
        <v>1</v>
      </c>
      <c r="H52" t="s">
        <v>35</v>
      </c>
      <c r="I52" s="10">
        <v>45689</v>
      </c>
      <c r="K52" s="23">
        <v>1600000</v>
      </c>
      <c r="L52" t="s">
        <v>162</v>
      </c>
      <c r="M52" t="s">
        <v>36</v>
      </c>
      <c r="N52" t="s">
        <v>37</v>
      </c>
      <c r="O52" t="s">
        <v>38</v>
      </c>
      <c r="R52" t="s">
        <v>98</v>
      </c>
      <c r="S52" t="s">
        <v>39</v>
      </c>
      <c r="T52">
        <v>0</v>
      </c>
      <c r="U52">
        <v>79701197</v>
      </c>
      <c r="V52">
        <v>1</v>
      </c>
      <c r="W52">
        <v>0</v>
      </c>
      <c r="X52" t="s">
        <v>163</v>
      </c>
      <c r="Y52" s="10">
        <v>45692</v>
      </c>
      <c r="AA52" s="10"/>
      <c r="AD52" t="s">
        <v>41</v>
      </c>
      <c r="AY52" t="s">
        <v>205</v>
      </c>
    </row>
    <row r="53" spans="1:51" x14ac:dyDescent="0.25">
      <c r="A53" t="str">
        <f t="shared" si="6"/>
        <v>5000005059108004502</v>
      </c>
      <c r="B53">
        <v>3</v>
      </c>
      <c r="C53">
        <v>10800450</v>
      </c>
      <c r="D53">
        <v>2</v>
      </c>
      <c r="E53">
        <v>5000005059</v>
      </c>
      <c r="F53" t="s">
        <v>153</v>
      </c>
      <c r="G53">
        <v>1</v>
      </c>
      <c r="H53" t="s">
        <v>93</v>
      </c>
      <c r="I53" s="10">
        <v>45689</v>
      </c>
      <c r="K53" s="23">
        <v>95000</v>
      </c>
      <c r="L53" t="s">
        <v>162</v>
      </c>
      <c r="M53" t="s">
        <v>36</v>
      </c>
      <c r="N53" t="s">
        <v>37</v>
      </c>
      <c r="O53" t="s">
        <v>38</v>
      </c>
      <c r="R53" t="s">
        <v>98</v>
      </c>
      <c r="S53" t="s">
        <v>39</v>
      </c>
      <c r="T53">
        <v>0</v>
      </c>
      <c r="U53">
        <v>79701197</v>
      </c>
      <c r="V53">
        <v>1</v>
      </c>
      <c r="W53">
        <v>0</v>
      </c>
      <c r="X53" t="s">
        <v>163</v>
      </c>
      <c r="Y53" s="10">
        <v>45692</v>
      </c>
      <c r="AA53" s="10"/>
      <c r="AD53" t="s">
        <v>41</v>
      </c>
      <c r="AY53" t="s">
        <v>208</v>
      </c>
    </row>
    <row r="54" spans="1:51" x14ac:dyDescent="0.25">
      <c r="A54" t="str">
        <f t="shared" si="6"/>
        <v>5000004248108004503</v>
      </c>
      <c r="B54">
        <v>4</v>
      </c>
      <c r="C54">
        <v>10800450</v>
      </c>
      <c r="D54">
        <v>3</v>
      </c>
      <c r="E54">
        <v>5000004248</v>
      </c>
      <c r="F54" t="s">
        <v>155</v>
      </c>
      <c r="G54">
        <v>3</v>
      </c>
      <c r="H54" t="s">
        <v>93</v>
      </c>
      <c r="I54" s="10">
        <v>45689</v>
      </c>
      <c r="K54" s="23">
        <v>65000</v>
      </c>
      <c r="L54" t="s">
        <v>162</v>
      </c>
      <c r="M54" t="s">
        <v>36</v>
      </c>
      <c r="N54" t="s">
        <v>37</v>
      </c>
      <c r="O54" t="s">
        <v>38</v>
      </c>
      <c r="R54" t="s">
        <v>98</v>
      </c>
      <c r="S54" t="s">
        <v>39</v>
      </c>
      <c r="T54">
        <v>0</v>
      </c>
      <c r="U54">
        <v>79701197</v>
      </c>
      <c r="V54">
        <v>3</v>
      </c>
      <c r="W54">
        <v>0</v>
      </c>
      <c r="X54" t="s">
        <v>163</v>
      </c>
      <c r="Y54" s="10">
        <v>45692</v>
      </c>
      <c r="AD54" t="s">
        <v>41</v>
      </c>
      <c r="AY54" t="s">
        <v>209</v>
      </c>
    </row>
    <row r="55" spans="1:51" x14ac:dyDescent="0.25">
      <c r="A55" t="str">
        <f t="shared" ref="A55:A73" si="7">E55&amp;C55&amp;D55</f>
        <v>5000012021108004505</v>
      </c>
      <c r="B55">
        <v>5</v>
      </c>
      <c r="C55">
        <v>10800450</v>
      </c>
      <c r="D55">
        <v>5</v>
      </c>
      <c r="E55">
        <v>5000012021</v>
      </c>
      <c r="F55" t="s">
        <v>188</v>
      </c>
      <c r="G55">
        <v>1</v>
      </c>
      <c r="H55" t="s">
        <v>93</v>
      </c>
      <c r="I55" s="10">
        <v>45689</v>
      </c>
      <c r="K55" s="23">
        <v>30000</v>
      </c>
      <c r="L55" t="s">
        <v>162</v>
      </c>
      <c r="M55" t="s">
        <v>36</v>
      </c>
      <c r="N55" t="s">
        <v>37</v>
      </c>
      <c r="O55" t="s">
        <v>38</v>
      </c>
      <c r="R55" t="s">
        <v>98</v>
      </c>
      <c r="S55" t="s">
        <v>39</v>
      </c>
      <c r="T55">
        <v>0</v>
      </c>
      <c r="U55">
        <v>79701197</v>
      </c>
      <c r="V55">
        <v>1</v>
      </c>
      <c r="W55">
        <v>0</v>
      </c>
      <c r="X55" t="s">
        <v>163</v>
      </c>
      <c r="Y55" s="10">
        <v>45692</v>
      </c>
      <c r="AA55" s="10"/>
      <c r="AD55" t="s">
        <v>41</v>
      </c>
      <c r="AY55" t="s">
        <v>211</v>
      </c>
    </row>
    <row r="56" spans="1:51" x14ac:dyDescent="0.25">
      <c r="A56" t="str">
        <f t="shared" si="7"/>
        <v>5000016671108004641</v>
      </c>
      <c r="B56">
        <v>6</v>
      </c>
      <c r="C56">
        <v>10800464</v>
      </c>
      <c r="D56">
        <v>1</v>
      </c>
      <c r="E56">
        <v>5000016671</v>
      </c>
      <c r="F56" t="s">
        <v>216</v>
      </c>
      <c r="G56">
        <v>2</v>
      </c>
      <c r="H56" t="s">
        <v>93</v>
      </c>
      <c r="I56" s="10">
        <v>45691</v>
      </c>
      <c r="K56" s="23">
        <v>90000</v>
      </c>
      <c r="L56" t="s">
        <v>162</v>
      </c>
      <c r="M56" t="s">
        <v>36</v>
      </c>
      <c r="N56" t="s">
        <v>37</v>
      </c>
      <c r="O56" t="s">
        <v>38</v>
      </c>
      <c r="R56" t="s">
        <v>98</v>
      </c>
      <c r="S56" t="s">
        <v>39</v>
      </c>
      <c r="T56">
        <v>0</v>
      </c>
      <c r="U56">
        <v>79701197</v>
      </c>
      <c r="V56">
        <v>2</v>
      </c>
      <c r="W56">
        <v>0</v>
      </c>
      <c r="X56" t="s">
        <v>163</v>
      </c>
      <c r="Y56" s="10">
        <v>45692</v>
      </c>
      <c r="AD56" t="s">
        <v>41</v>
      </c>
      <c r="AY56" t="s">
        <v>217</v>
      </c>
    </row>
    <row r="57" spans="1:51" x14ac:dyDescent="0.25">
      <c r="A57" t="str">
        <f t="shared" si="7"/>
        <v>5000015480108004941</v>
      </c>
      <c r="B57">
        <v>7</v>
      </c>
      <c r="C57">
        <v>10800494</v>
      </c>
      <c r="D57">
        <v>1</v>
      </c>
      <c r="E57">
        <v>5000015480</v>
      </c>
      <c r="F57" t="s">
        <v>220</v>
      </c>
      <c r="G57">
        <v>1</v>
      </c>
      <c r="H57" t="s">
        <v>93</v>
      </c>
      <c r="I57" s="10">
        <v>45692</v>
      </c>
      <c r="K57" s="23">
        <v>140000</v>
      </c>
      <c r="L57" t="s">
        <v>162</v>
      </c>
      <c r="M57" t="s">
        <v>36</v>
      </c>
      <c r="N57" t="s">
        <v>37</v>
      </c>
      <c r="O57" t="s">
        <v>38</v>
      </c>
      <c r="R57" t="s">
        <v>98</v>
      </c>
      <c r="S57" t="s">
        <v>39</v>
      </c>
      <c r="T57">
        <v>0</v>
      </c>
      <c r="U57">
        <v>79701197</v>
      </c>
      <c r="V57">
        <v>1</v>
      </c>
      <c r="W57">
        <v>0</v>
      </c>
      <c r="X57" t="s">
        <v>163</v>
      </c>
      <c r="Y57" s="10">
        <v>45692</v>
      </c>
      <c r="AD57" t="s">
        <v>41</v>
      </c>
      <c r="AY57" t="s">
        <v>221</v>
      </c>
    </row>
    <row r="58" spans="1:51" x14ac:dyDescent="0.25">
      <c r="A58" t="str">
        <f t="shared" si="7"/>
        <v>5000005059108005373</v>
      </c>
      <c r="B58">
        <v>8</v>
      </c>
      <c r="C58">
        <v>10800537</v>
      </c>
      <c r="D58">
        <v>3</v>
      </c>
      <c r="E58">
        <v>5000005059</v>
      </c>
      <c r="F58" t="s">
        <v>153</v>
      </c>
      <c r="G58">
        <v>1</v>
      </c>
      <c r="H58" t="s">
        <v>93</v>
      </c>
      <c r="I58" s="10">
        <v>45695</v>
      </c>
      <c r="K58" s="23">
        <v>95000</v>
      </c>
      <c r="L58" t="s">
        <v>162</v>
      </c>
      <c r="M58" t="s">
        <v>36</v>
      </c>
      <c r="N58" t="s">
        <v>37</v>
      </c>
      <c r="O58" t="s">
        <v>38</v>
      </c>
      <c r="R58" t="s">
        <v>98</v>
      </c>
      <c r="S58" t="s">
        <v>39</v>
      </c>
      <c r="T58">
        <v>0</v>
      </c>
      <c r="U58">
        <v>79701197</v>
      </c>
      <c r="V58">
        <v>1</v>
      </c>
      <c r="W58">
        <v>0</v>
      </c>
      <c r="X58" t="s">
        <v>163</v>
      </c>
      <c r="Y58" s="10">
        <v>45692</v>
      </c>
      <c r="AD58" t="s">
        <v>41</v>
      </c>
      <c r="AY58" t="s">
        <v>224</v>
      </c>
    </row>
    <row r="59" spans="1:51" x14ac:dyDescent="0.25">
      <c r="A59" t="str">
        <f t="shared" si="7"/>
        <v>5000004248108005374</v>
      </c>
      <c r="B59">
        <v>9</v>
      </c>
      <c r="C59">
        <v>10800537</v>
      </c>
      <c r="D59">
        <v>4</v>
      </c>
      <c r="E59">
        <v>5000004248</v>
      </c>
      <c r="F59" t="s">
        <v>155</v>
      </c>
      <c r="G59">
        <v>3</v>
      </c>
      <c r="H59" t="s">
        <v>93</v>
      </c>
      <c r="I59" s="10">
        <v>45695</v>
      </c>
      <c r="K59" s="23">
        <v>65000</v>
      </c>
      <c r="L59" t="s">
        <v>162</v>
      </c>
      <c r="M59" t="s">
        <v>36</v>
      </c>
      <c r="N59" t="s">
        <v>37</v>
      </c>
      <c r="O59" t="s">
        <v>38</v>
      </c>
      <c r="R59" t="s">
        <v>98</v>
      </c>
      <c r="S59" t="s">
        <v>39</v>
      </c>
      <c r="T59">
        <v>0</v>
      </c>
      <c r="U59">
        <v>79701197</v>
      </c>
      <c r="V59">
        <v>3</v>
      </c>
      <c r="W59">
        <v>0</v>
      </c>
      <c r="X59" t="s">
        <v>163</v>
      </c>
      <c r="Y59" s="10">
        <v>45692</v>
      </c>
      <c r="AD59" t="s">
        <v>41</v>
      </c>
      <c r="AY59" t="s">
        <v>225</v>
      </c>
    </row>
    <row r="60" spans="1:51" x14ac:dyDescent="0.25">
      <c r="A60" t="str">
        <f t="shared" si="7"/>
        <v>5000012021108005375</v>
      </c>
      <c r="B60">
        <v>10</v>
      </c>
      <c r="C60">
        <v>10800537</v>
      </c>
      <c r="D60">
        <v>5</v>
      </c>
      <c r="E60">
        <v>5000012021</v>
      </c>
      <c r="F60" t="s">
        <v>188</v>
      </c>
      <c r="G60">
        <v>1</v>
      </c>
      <c r="H60" t="s">
        <v>93</v>
      </c>
      <c r="I60" s="10">
        <v>45695</v>
      </c>
      <c r="K60" s="23">
        <v>30000</v>
      </c>
      <c r="L60" t="s">
        <v>162</v>
      </c>
      <c r="M60" t="s">
        <v>36</v>
      </c>
      <c r="N60" t="s">
        <v>37</v>
      </c>
      <c r="O60" t="s">
        <v>38</v>
      </c>
      <c r="R60" t="s">
        <v>98</v>
      </c>
      <c r="S60" t="s">
        <v>39</v>
      </c>
      <c r="T60">
        <v>0</v>
      </c>
      <c r="U60">
        <v>79701197</v>
      </c>
      <c r="V60">
        <v>1</v>
      </c>
      <c r="W60">
        <v>0</v>
      </c>
      <c r="X60" t="s">
        <v>163</v>
      </c>
      <c r="Y60" s="10">
        <v>45692</v>
      </c>
      <c r="AD60" t="s">
        <v>41</v>
      </c>
      <c r="AY60" t="s">
        <v>226</v>
      </c>
    </row>
    <row r="61" spans="1:51" x14ac:dyDescent="0.25">
      <c r="A61" t="str">
        <f t="shared" si="7"/>
        <v>5000016428108004291</v>
      </c>
      <c r="B61">
        <v>1</v>
      </c>
      <c r="C61">
        <v>10800429</v>
      </c>
      <c r="D61">
        <v>1</v>
      </c>
      <c r="E61">
        <v>5000016428</v>
      </c>
      <c r="F61" t="s">
        <v>157</v>
      </c>
      <c r="G61">
        <v>1</v>
      </c>
      <c r="H61" t="s">
        <v>35</v>
      </c>
      <c r="I61" s="10">
        <v>45688</v>
      </c>
      <c r="K61" s="23">
        <v>1531532</v>
      </c>
      <c r="L61" t="s">
        <v>162</v>
      </c>
      <c r="M61" t="s">
        <v>36</v>
      </c>
      <c r="N61" t="s">
        <v>37</v>
      </c>
      <c r="O61" t="s">
        <v>38</v>
      </c>
      <c r="R61" t="s">
        <v>98</v>
      </c>
      <c r="S61" t="s">
        <v>39</v>
      </c>
      <c r="T61">
        <v>0</v>
      </c>
      <c r="U61">
        <v>79701173</v>
      </c>
      <c r="V61">
        <v>0</v>
      </c>
      <c r="W61">
        <v>1</v>
      </c>
      <c r="X61" t="s">
        <v>163</v>
      </c>
      <c r="Y61" s="10">
        <v>45692</v>
      </c>
      <c r="AD61" t="s">
        <v>41</v>
      </c>
      <c r="AX61" t="s">
        <v>164</v>
      </c>
      <c r="AY61" t="s">
        <v>247</v>
      </c>
    </row>
    <row r="62" spans="1:51" x14ac:dyDescent="0.25">
      <c r="A62" t="str">
        <f t="shared" si="7"/>
        <v>5000014904108004293</v>
      </c>
      <c r="B62">
        <v>2</v>
      </c>
      <c r="C62">
        <v>10800429</v>
      </c>
      <c r="D62">
        <v>3</v>
      </c>
      <c r="E62">
        <v>5000014904</v>
      </c>
      <c r="F62" t="s">
        <v>204</v>
      </c>
      <c r="G62">
        <v>1</v>
      </c>
      <c r="H62" t="s">
        <v>35</v>
      </c>
      <c r="I62" s="10">
        <v>45689</v>
      </c>
      <c r="K62" s="23">
        <v>1600000</v>
      </c>
      <c r="L62" t="s">
        <v>162</v>
      </c>
      <c r="M62" t="s">
        <v>36</v>
      </c>
      <c r="N62" t="s">
        <v>37</v>
      </c>
      <c r="O62" t="s">
        <v>38</v>
      </c>
      <c r="R62" t="s">
        <v>98</v>
      </c>
      <c r="S62" t="s">
        <v>39</v>
      </c>
      <c r="T62">
        <v>0</v>
      </c>
      <c r="U62">
        <v>79701197</v>
      </c>
      <c r="V62">
        <v>0</v>
      </c>
      <c r="W62">
        <v>1</v>
      </c>
      <c r="X62" t="s">
        <v>163</v>
      </c>
      <c r="Y62" s="10">
        <v>45692</v>
      </c>
      <c r="AD62" t="s">
        <v>41</v>
      </c>
      <c r="AX62" t="s">
        <v>164</v>
      </c>
      <c r="AY62" t="s">
        <v>205</v>
      </c>
    </row>
    <row r="63" spans="1:51" x14ac:dyDescent="0.25">
      <c r="A63" t="str">
        <f t="shared" si="7"/>
        <v>5000005059108004294</v>
      </c>
      <c r="B63">
        <v>1</v>
      </c>
      <c r="C63">
        <v>10800429</v>
      </c>
      <c r="D63">
        <v>4</v>
      </c>
      <c r="E63">
        <v>5000005059</v>
      </c>
      <c r="F63" t="s">
        <v>153</v>
      </c>
      <c r="G63">
        <v>1</v>
      </c>
      <c r="H63" t="s">
        <v>93</v>
      </c>
      <c r="I63" s="10">
        <v>45689</v>
      </c>
      <c r="K63" s="23">
        <v>125000</v>
      </c>
      <c r="L63" t="s">
        <v>162</v>
      </c>
      <c r="M63" t="s">
        <v>36</v>
      </c>
      <c r="N63" t="s">
        <v>37</v>
      </c>
      <c r="O63" t="s">
        <v>38</v>
      </c>
      <c r="R63" t="s">
        <v>98</v>
      </c>
      <c r="S63" t="s">
        <v>39</v>
      </c>
      <c r="T63">
        <v>0</v>
      </c>
      <c r="U63">
        <v>79701544</v>
      </c>
      <c r="V63">
        <v>1</v>
      </c>
      <c r="W63">
        <v>0</v>
      </c>
      <c r="X63" t="s">
        <v>163</v>
      </c>
      <c r="Y63" s="10">
        <v>45701</v>
      </c>
      <c r="AD63" t="s">
        <v>41</v>
      </c>
      <c r="AY63" t="s">
        <v>206</v>
      </c>
    </row>
    <row r="64" spans="1:51" x14ac:dyDescent="0.25">
      <c r="A64" t="str">
        <f t="shared" si="7"/>
        <v>5000016671108004641</v>
      </c>
      <c r="B64">
        <v>6</v>
      </c>
      <c r="C64">
        <v>10800464</v>
      </c>
      <c r="D64">
        <v>1</v>
      </c>
      <c r="E64">
        <v>5000016671</v>
      </c>
      <c r="F64" t="s">
        <v>216</v>
      </c>
      <c r="G64">
        <v>2</v>
      </c>
      <c r="H64" t="s">
        <v>93</v>
      </c>
      <c r="I64" s="10">
        <v>45691</v>
      </c>
      <c r="K64" s="23">
        <v>90000</v>
      </c>
      <c r="L64" t="s">
        <v>162</v>
      </c>
      <c r="M64" t="s">
        <v>36</v>
      </c>
      <c r="N64" t="s">
        <v>37</v>
      </c>
      <c r="O64" t="s">
        <v>38</v>
      </c>
      <c r="R64" t="s">
        <v>98</v>
      </c>
      <c r="S64" t="s">
        <v>39</v>
      </c>
      <c r="T64">
        <v>0</v>
      </c>
      <c r="U64">
        <v>79701197</v>
      </c>
      <c r="V64">
        <v>0</v>
      </c>
      <c r="W64">
        <v>2</v>
      </c>
      <c r="X64" t="s">
        <v>163</v>
      </c>
      <c r="Y64" s="10">
        <v>45692</v>
      </c>
      <c r="AD64" t="s">
        <v>41</v>
      </c>
      <c r="AX64" t="s">
        <v>164</v>
      </c>
      <c r="AY64" t="s">
        <v>217</v>
      </c>
    </row>
    <row r="65" spans="1:51" x14ac:dyDescent="0.25">
      <c r="A65" t="str">
        <f t="shared" si="7"/>
        <v>5000017105108004642</v>
      </c>
      <c r="B65">
        <v>2</v>
      </c>
      <c r="C65">
        <v>10800464</v>
      </c>
      <c r="D65">
        <v>2</v>
      </c>
      <c r="E65">
        <v>5000017105</v>
      </c>
      <c r="F65" t="s">
        <v>218</v>
      </c>
      <c r="G65">
        <v>1</v>
      </c>
      <c r="H65" t="s">
        <v>35</v>
      </c>
      <c r="I65" s="10">
        <v>45691</v>
      </c>
      <c r="K65" s="23">
        <v>1036036.1</v>
      </c>
      <c r="L65" t="s">
        <v>162</v>
      </c>
      <c r="M65" t="s">
        <v>36</v>
      </c>
      <c r="N65" t="s">
        <v>37</v>
      </c>
      <c r="O65" t="s">
        <v>38</v>
      </c>
      <c r="R65" t="s">
        <v>98</v>
      </c>
      <c r="S65" t="s">
        <v>39</v>
      </c>
      <c r="T65">
        <v>0</v>
      </c>
      <c r="U65">
        <v>79701495</v>
      </c>
      <c r="V65">
        <v>1</v>
      </c>
      <c r="W65">
        <v>0</v>
      </c>
      <c r="X65" t="s">
        <v>163</v>
      </c>
      <c r="Y65" s="10">
        <v>45700</v>
      </c>
      <c r="AA65" s="10"/>
      <c r="AD65" t="s">
        <v>41</v>
      </c>
      <c r="AY65" t="s">
        <v>268</v>
      </c>
    </row>
    <row r="66" spans="1:51" x14ac:dyDescent="0.25">
      <c r="A66" t="str">
        <f t="shared" si="7"/>
        <v>5000017105108004642</v>
      </c>
      <c r="B66">
        <v>1</v>
      </c>
      <c r="C66">
        <v>10800464</v>
      </c>
      <c r="D66">
        <v>2</v>
      </c>
      <c r="E66">
        <v>5000017105</v>
      </c>
      <c r="F66" t="s">
        <v>218</v>
      </c>
      <c r="G66">
        <v>2</v>
      </c>
      <c r="H66" t="s">
        <v>35</v>
      </c>
      <c r="I66" s="10">
        <v>45691</v>
      </c>
      <c r="K66" s="23">
        <v>540541</v>
      </c>
      <c r="L66" t="s">
        <v>162</v>
      </c>
      <c r="M66" t="s">
        <v>36</v>
      </c>
      <c r="N66" t="s">
        <v>37</v>
      </c>
      <c r="O66" t="s">
        <v>38</v>
      </c>
      <c r="R66" t="s">
        <v>98</v>
      </c>
      <c r="S66" t="s">
        <v>39</v>
      </c>
      <c r="T66">
        <v>0</v>
      </c>
      <c r="U66">
        <v>79701495</v>
      </c>
      <c r="V66">
        <v>2</v>
      </c>
      <c r="W66">
        <v>0</v>
      </c>
      <c r="X66" t="s">
        <v>163</v>
      </c>
      <c r="Y66" s="10">
        <v>45700</v>
      </c>
      <c r="AD66" t="s">
        <v>41</v>
      </c>
      <c r="AY66" t="s">
        <v>269</v>
      </c>
    </row>
    <row r="67" spans="1:51" x14ac:dyDescent="0.25">
      <c r="A67" t="str">
        <f t="shared" si="7"/>
        <v>5000008843108005371</v>
      </c>
      <c r="B67">
        <v>3</v>
      </c>
      <c r="C67">
        <v>10800537</v>
      </c>
      <c r="D67">
        <v>1</v>
      </c>
      <c r="E67">
        <v>5000008843</v>
      </c>
      <c r="F67" t="s">
        <v>150</v>
      </c>
      <c r="G67">
        <v>1</v>
      </c>
      <c r="H67" t="s">
        <v>35</v>
      </c>
      <c r="I67" s="10">
        <v>45695</v>
      </c>
      <c r="K67" s="23">
        <v>923424</v>
      </c>
      <c r="L67" t="s">
        <v>162</v>
      </c>
      <c r="M67" t="s">
        <v>36</v>
      </c>
      <c r="N67" t="s">
        <v>37</v>
      </c>
      <c r="O67" t="s">
        <v>38</v>
      </c>
      <c r="R67" t="s">
        <v>98</v>
      </c>
      <c r="S67" t="s">
        <v>39</v>
      </c>
      <c r="T67">
        <v>0</v>
      </c>
      <c r="U67">
        <v>79701173</v>
      </c>
      <c r="V67">
        <v>0</v>
      </c>
      <c r="W67">
        <v>1</v>
      </c>
      <c r="X67" t="s">
        <v>163</v>
      </c>
      <c r="Y67" s="10">
        <v>45692</v>
      </c>
      <c r="AD67" t="s">
        <v>41</v>
      </c>
      <c r="AX67" t="s">
        <v>164</v>
      </c>
      <c r="AY67" t="s">
        <v>249</v>
      </c>
    </row>
    <row r="68" spans="1:51" x14ac:dyDescent="0.25">
      <c r="A68" t="str">
        <f t="shared" si="7"/>
        <v>5000017624108005376</v>
      </c>
      <c r="B68">
        <v>3</v>
      </c>
      <c r="C68">
        <v>10800537</v>
      </c>
      <c r="D68">
        <v>6</v>
      </c>
      <c r="E68">
        <v>5000017624</v>
      </c>
      <c r="F68" t="s">
        <v>227</v>
      </c>
      <c r="G68">
        <v>2</v>
      </c>
      <c r="H68" t="s">
        <v>35</v>
      </c>
      <c r="I68" s="10">
        <v>45695</v>
      </c>
      <c r="K68" s="23">
        <v>2072073</v>
      </c>
      <c r="L68" t="s">
        <v>162</v>
      </c>
      <c r="M68" t="s">
        <v>36</v>
      </c>
      <c r="N68" t="s">
        <v>37</v>
      </c>
      <c r="O68" t="s">
        <v>38</v>
      </c>
      <c r="R68" t="s">
        <v>98</v>
      </c>
      <c r="S68" t="s">
        <v>39</v>
      </c>
      <c r="T68">
        <v>0</v>
      </c>
      <c r="U68">
        <v>79701495</v>
      </c>
      <c r="V68">
        <v>2</v>
      </c>
      <c r="W68">
        <v>0</v>
      </c>
      <c r="X68" t="s">
        <v>163</v>
      </c>
      <c r="Y68" s="10">
        <v>45700</v>
      </c>
      <c r="AD68" t="s">
        <v>41</v>
      </c>
      <c r="AY68" t="s">
        <v>270</v>
      </c>
    </row>
    <row r="69" spans="1:51" x14ac:dyDescent="0.25">
      <c r="A69" t="str">
        <f t="shared" si="7"/>
        <v>5000016308108005372</v>
      </c>
      <c r="B69">
        <v>4</v>
      </c>
      <c r="C69">
        <v>10800537</v>
      </c>
      <c r="D69">
        <v>2</v>
      </c>
      <c r="E69">
        <v>5000016308</v>
      </c>
      <c r="F69" t="s">
        <v>143</v>
      </c>
      <c r="G69">
        <v>1</v>
      </c>
      <c r="H69" t="s">
        <v>35</v>
      </c>
      <c r="I69" s="10">
        <v>45695</v>
      </c>
      <c r="K69" s="23">
        <v>2980000</v>
      </c>
      <c r="L69" t="s">
        <v>162</v>
      </c>
      <c r="M69" t="s">
        <v>36</v>
      </c>
      <c r="N69" t="s">
        <v>37</v>
      </c>
      <c r="O69" t="s">
        <v>38</v>
      </c>
      <c r="R69" t="s">
        <v>98</v>
      </c>
      <c r="S69" t="s">
        <v>39</v>
      </c>
      <c r="T69">
        <v>0</v>
      </c>
      <c r="U69">
        <v>79701193</v>
      </c>
      <c r="V69">
        <v>1</v>
      </c>
      <c r="W69">
        <v>0</v>
      </c>
      <c r="X69" t="s">
        <v>163</v>
      </c>
      <c r="Y69" s="10">
        <v>45692</v>
      </c>
      <c r="Z69" t="s">
        <v>163</v>
      </c>
      <c r="AA69" s="25">
        <v>45692</v>
      </c>
      <c r="AD69" t="s">
        <v>41</v>
      </c>
      <c r="AY69" t="s">
        <v>252</v>
      </c>
    </row>
    <row r="70" spans="1:51" x14ac:dyDescent="0.25">
      <c r="A70" t="str">
        <f t="shared" si="7"/>
        <v>5000005059108005373</v>
      </c>
      <c r="B70">
        <v>8</v>
      </c>
      <c r="C70">
        <v>10800537</v>
      </c>
      <c r="D70">
        <v>3</v>
      </c>
      <c r="E70">
        <v>5000005059</v>
      </c>
      <c r="F70" t="s">
        <v>153</v>
      </c>
      <c r="G70">
        <v>1</v>
      </c>
      <c r="H70" t="s">
        <v>93</v>
      </c>
      <c r="I70" s="10">
        <v>45695</v>
      </c>
      <c r="K70" s="23">
        <v>95000</v>
      </c>
      <c r="L70" t="s">
        <v>162</v>
      </c>
      <c r="M70" t="s">
        <v>36</v>
      </c>
      <c r="N70" t="s">
        <v>37</v>
      </c>
      <c r="O70" t="s">
        <v>38</v>
      </c>
      <c r="R70" t="s">
        <v>98</v>
      </c>
      <c r="S70" t="s">
        <v>39</v>
      </c>
      <c r="T70">
        <v>0</v>
      </c>
      <c r="U70">
        <v>79701197</v>
      </c>
      <c r="V70">
        <v>0</v>
      </c>
      <c r="W70">
        <v>1</v>
      </c>
      <c r="X70" t="s">
        <v>163</v>
      </c>
      <c r="Y70" s="10">
        <v>45692</v>
      </c>
      <c r="AD70" t="s">
        <v>41</v>
      </c>
      <c r="AX70" t="s">
        <v>164</v>
      </c>
      <c r="AY70" t="s">
        <v>224</v>
      </c>
    </row>
    <row r="71" spans="1:51" x14ac:dyDescent="0.25">
      <c r="A71" t="str">
        <f t="shared" si="7"/>
        <v>5000004248108005374</v>
      </c>
      <c r="B71">
        <v>9</v>
      </c>
      <c r="C71">
        <v>10800537</v>
      </c>
      <c r="D71">
        <v>4</v>
      </c>
      <c r="E71">
        <v>5000004248</v>
      </c>
      <c r="F71" t="s">
        <v>155</v>
      </c>
      <c r="G71">
        <v>3</v>
      </c>
      <c r="H71" t="s">
        <v>93</v>
      </c>
      <c r="I71" s="10">
        <v>45695</v>
      </c>
      <c r="K71" s="23">
        <v>65000</v>
      </c>
      <c r="L71" t="s">
        <v>162</v>
      </c>
      <c r="M71" t="s">
        <v>36</v>
      </c>
      <c r="N71" t="s">
        <v>37</v>
      </c>
      <c r="O71" t="s">
        <v>38</v>
      </c>
      <c r="R71" t="s">
        <v>98</v>
      </c>
      <c r="S71" t="s">
        <v>39</v>
      </c>
      <c r="T71">
        <v>0</v>
      </c>
      <c r="U71">
        <v>79701197</v>
      </c>
      <c r="V71">
        <v>0</v>
      </c>
      <c r="W71">
        <v>3</v>
      </c>
      <c r="X71" t="s">
        <v>163</v>
      </c>
      <c r="Y71" s="10">
        <v>45692</v>
      </c>
      <c r="AA71" s="10"/>
      <c r="AD71" t="s">
        <v>41</v>
      </c>
      <c r="AX71" t="s">
        <v>164</v>
      </c>
      <c r="AY71" t="s">
        <v>225</v>
      </c>
    </row>
    <row r="72" spans="1:51" x14ac:dyDescent="0.25">
      <c r="A72" t="str">
        <f t="shared" si="7"/>
        <v>5000012021108005375</v>
      </c>
      <c r="B72">
        <v>10</v>
      </c>
      <c r="C72">
        <v>10800537</v>
      </c>
      <c r="D72">
        <v>5</v>
      </c>
      <c r="E72">
        <v>5000012021</v>
      </c>
      <c r="F72" t="s">
        <v>188</v>
      </c>
      <c r="G72">
        <v>1</v>
      </c>
      <c r="H72" t="s">
        <v>93</v>
      </c>
      <c r="I72" s="10">
        <v>45695</v>
      </c>
      <c r="K72" s="23">
        <v>30000</v>
      </c>
      <c r="L72" t="s">
        <v>162</v>
      </c>
      <c r="M72" t="s">
        <v>36</v>
      </c>
      <c r="N72" t="s">
        <v>37</v>
      </c>
      <c r="O72" t="s">
        <v>38</v>
      </c>
      <c r="R72" t="s">
        <v>98</v>
      </c>
      <c r="S72" t="s">
        <v>39</v>
      </c>
      <c r="T72">
        <v>0</v>
      </c>
      <c r="U72">
        <v>79701197</v>
      </c>
      <c r="V72">
        <v>0</v>
      </c>
      <c r="W72">
        <v>1</v>
      </c>
      <c r="X72" t="s">
        <v>163</v>
      </c>
      <c r="Y72" s="10">
        <v>45692</v>
      </c>
      <c r="AA72" s="10"/>
      <c r="AD72" t="s">
        <v>41</v>
      </c>
      <c r="AX72" t="s">
        <v>164</v>
      </c>
      <c r="AY72" t="s">
        <v>226</v>
      </c>
    </row>
    <row r="73" spans="1:51" x14ac:dyDescent="0.25">
      <c r="A73" t="str">
        <f t="shared" si="7"/>
        <v>5000016409108006351</v>
      </c>
      <c r="B73">
        <v>4</v>
      </c>
      <c r="C73">
        <v>10800635</v>
      </c>
      <c r="D73">
        <v>1</v>
      </c>
      <c r="E73">
        <v>5000016409</v>
      </c>
      <c r="F73" t="s">
        <v>232</v>
      </c>
      <c r="G73">
        <v>1</v>
      </c>
      <c r="H73" t="s">
        <v>35</v>
      </c>
      <c r="I73" s="10">
        <v>45701</v>
      </c>
      <c r="K73" s="23">
        <v>2027028</v>
      </c>
      <c r="L73" t="s">
        <v>162</v>
      </c>
      <c r="M73" t="s">
        <v>36</v>
      </c>
      <c r="N73" t="s">
        <v>37</v>
      </c>
      <c r="O73" t="s">
        <v>38</v>
      </c>
      <c r="R73" t="s">
        <v>98</v>
      </c>
      <c r="S73" t="s">
        <v>39</v>
      </c>
      <c r="T73">
        <v>0</v>
      </c>
      <c r="U73">
        <v>79701495</v>
      </c>
      <c r="V73">
        <v>1</v>
      </c>
      <c r="W73">
        <v>0</v>
      </c>
      <c r="X73" t="s">
        <v>163</v>
      </c>
      <c r="Y73" s="10">
        <v>45700</v>
      </c>
      <c r="AD73" t="s">
        <v>41</v>
      </c>
      <c r="AY73" t="s">
        <v>271</v>
      </c>
    </row>
    <row r="74" spans="1:51" x14ac:dyDescent="0.25">
      <c r="A74" t="str">
        <f t="shared" ref="A74:A96" si="8">E74&amp;C74&amp;D74</f>
        <v>5000008843108006551</v>
      </c>
      <c r="B74">
        <v>5</v>
      </c>
      <c r="C74">
        <v>10800655</v>
      </c>
      <c r="D74">
        <v>1</v>
      </c>
      <c r="E74">
        <v>5000008843</v>
      </c>
      <c r="F74" t="s">
        <v>150</v>
      </c>
      <c r="G74">
        <v>1</v>
      </c>
      <c r="H74" t="s">
        <v>35</v>
      </c>
      <c r="I74" s="10">
        <v>45702</v>
      </c>
      <c r="K74" s="23">
        <v>923424</v>
      </c>
      <c r="L74" t="s">
        <v>162</v>
      </c>
      <c r="M74" t="s">
        <v>36</v>
      </c>
      <c r="N74" t="s">
        <v>37</v>
      </c>
      <c r="O74" t="s">
        <v>38</v>
      </c>
      <c r="R74" t="s">
        <v>98</v>
      </c>
      <c r="S74" t="s">
        <v>39</v>
      </c>
      <c r="T74">
        <v>0</v>
      </c>
      <c r="U74">
        <v>79701495</v>
      </c>
      <c r="V74">
        <v>1</v>
      </c>
      <c r="W74">
        <v>0</v>
      </c>
      <c r="X74" t="s">
        <v>163</v>
      </c>
      <c r="Y74" s="10">
        <v>45700</v>
      </c>
      <c r="AD74" t="s">
        <v>41</v>
      </c>
      <c r="AY74" t="s">
        <v>272</v>
      </c>
    </row>
    <row r="75" spans="1:51" x14ac:dyDescent="0.25">
      <c r="A75" t="str">
        <f t="shared" si="8"/>
        <v>5000005059108006553</v>
      </c>
      <c r="B75">
        <v>2</v>
      </c>
      <c r="C75">
        <v>10800655</v>
      </c>
      <c r="D75">
        <v>3</v>
      </c>
      <c r="E75">
        <v>5000005059</v>
      </c>
      <c r="F75" t="s">
        <v>153</v>
      </c>
      <c r="G75">
        <v>1</v>
      </c>
      <c r="H75" t="s">
        <v>93</v>
      </c>
      <c r="I75" s="10">
        <v>45702</v>
      </c>
      <c r="K75" s="23">
        <v>95000</v>
      </c>
      <c r="L75" t="s">
        <v>162</v>
      </c>
      <c r="M75" t="s">
        <v>36</v>
      </c>
      <c r="N75" t="s">
        <v>37</v>
      </c>
      <c r="O75" t="s">
        <v>38</v>
      </c>
      <c r="R75" t="s">
        <v>98</v>
      </c>
      <c r="S75" t="s">
        <v>39</v>
      </c>
      <c r="T75">
        <v>0</v>
      </c>
      <c r="U75">
        <v>79701544</v>
      </c>
      <c r="V75">
        <v>1</v>
      </c>
      <c r="W75">
        <v>0</v>
      </c>
      <c r="X75" t="s">
        <v>163</v>
      </c>
      <c r="Y75" s="10">
        <v>45701</v>
      </c>
      <c r="AD75" t="s">
        <v>41</v>
      </c>
      <c r="AY75" t="s">
        <v>236</v>
      </c>
    </row>
    <row r="76" spans="1:51" x14ac:dyDescent="0.25">
      <c r="A76" t="str">
        <f t="shared" si="8"/>
        <v>5000012021108006555</v>
      </c>
      <c r="B76">
        <v>4</v>
      </c>
      <c r="C76">
        <v>10800655</v>
      </c>
      <c r="D76">
        <v>5</v>
      </c>
      <c r="E76">
        <v>5000012021</v>
      </c>
      <c r="F76" t="s">
        <v>188</v>
      </c>
      <c r="G76">
        <v>1</v>
      </c>
      <c r="H76" t="s">
        <v>93</v>
      </c>
      <c r="I76" s="10">
        <v>45702</v>
      </c>
      <c r="K76" s="23">
        <v>30000</v>
      </c>
      <c r="L76" t="s">
        <v>162</v>
      </c>
      <c r="M76" t="s">
        <v>36</v>
      </c>
      <c r="N76" t="s">
        <v>37</v>
      </c>
      <c r="O76" t="s">
        <v>38</v>
      </c>
      <c r="R76" t="s">
        <v>98</v>
      </c>
      <c r="S76" t="s">
        <v>39</v>
      </c>
      <c r="T76">
        <v>0</v>
      </c>
      <c r="U76">
        <v>79701544</v>
      </c>
      <c r="V76">
        <v>1</v>
      </c>
      <c r="W76">
        <v>0</v>
      </c>
      <c r="X76" t="s">
        <v>163</v>
      </c>
      <c r="Y76" s="10">
        <v>45701</v>
      </c>
      <c r="AD76" t="s">
        <v>41</v>
      </c>
      <c r="AY76" t="s">
        <v>238</v>
      </c>
    </row>
    <row r="77" spans="1:51" x14ac:dyDescent="0.25">
      <c r="A77" t="str">
        <f t="shared" si="8"/>
        <v>5000004248108006554</v>
      </c>
      <c r="B77">
        <v>3</v>
      </c>
      <c r="C77">
        <v>10800655</v>
      </c>
      <c r="D77">
        <v>4</v>
      </c>
      <c r="E77">
        <v>5000004248</v>
      </c>
      <c r="F77" t="s">
        <v>155</v>
      </c>
      <c r="G77">
        <v>13</v>
      </c>
      <c r="H77" t="s">
        <v>93</v>
      </c>
      <c r="I77" s="10">
        <v>45702</v>
      </c>
      <c r="K77" s="23">
        <v>65000</v>
      </c>
      <c r="L77" t="s">
        <v>162</v>
      </c>
      <c r="M77" t="s">
        <v>36</v>
      </c>
      <c r="N77" t="s">
        <v>37</v>
      </c>
      <c r="O77" t="s">
        <v>38</v>
      </c>
      <c r="R77" t="s">
        <v>98</v>
      </c>
      <c r="S77" t="s">
        <v>39</v>
      </c>
      <c r="T77">
        <v>0</v>
      </c>
      <c r="U77">
        <v>79701544</v>
      </c>
      <c r="V77">
        <v>13</v>
      </c>
      <c r="W77">
        <v>0</v>
      </c>
      <c r="X77" t="s">
        <v>163</v>
      </c>
      <c r="Y77" s="10">
        <v>45701</v>
      </c>
      <c r="AD77" t="s">
        <v>41</v>
      </c>
      <c r="AY77" t="s">
        <v>237</v>
      </c>
    </row>
    <row r="78" spans="1:51" x14ac:dyDescent="0.25">
      <c r="A78" t="str">
        <f t="shared" si="8"/>
        <v>5000016308108006552</v>
      </c>
      <c r="B78">
        <v>1</v>
      </c>
      <c r="C78">
        <v>10800655</v>
      </c>
      <c r="D78">
        <v>2</v>
      </c>
      <c r="E78">
        <v>5000016308</v>
      </c>
      <c r="F78" t="s">
        <v>143</v>
      </c>
      <c r="G78">
        <v>1</v>
      </c>
      <c r="H78" t="s">
        <v>35</v>
      </c>
      <c r="I78" s="10">
        <v>45702</v>
      </c>
      <c r="K78" s="23">
        <v>2980000</v>
      </c>
      <c r="L78" t="s">
        <v>162</v>
      </c>
      <c r="M78" t="s">
        <v>36</v>
      </c>
      <c r="N78" t="s">
        <v>37</v>
      </c>
      <c r="O78" t="s">
        <v>38</v>
      </c>
      <c r="R78" t="s">
        <v>98</v>
      </c>
      <c r="S78" t="s">
        <v>39</v>
      </c>
      <c r="T78">
        <v>0</v>
      </c>
      <c r="U78">
        <v>79701497</v>
      </c>
      <c r="V78">
        <v>1</v>
      </c>
      <c r="W78">
        <v>0</v>
      </c>
      <c r="X78" t="s">
        <v>163</v>
      </c>
      <c r="Y78" s="10">
        <v>45700</v>
      </c>
      <c r="AD78" t="s">
        <v>41</v>
      </c>
      <c r="AY78" t="s">
        <v>273</v>
      </c>
    </row>
    <row r="79" spans="1:51" x14ac:dyDescent="0.25">
      <c r="A79" t="str">
        <f t="shared" si="8"/>
        <v>5000008843108006761</v>
      </c>
      <c r="B79">
        <v>6</v>
      </c>
      <c r="C79">
        <v>10800676</v>
      </c>
      <c r="D79">
        <v>1</v>
      </c>
      <c r="E79">
        <v>5000008843</v>
      </c>
      <c r="F79" t="s">
        <v>150</v>
      </c>
      <c r="G79">
        <v>1</v>
      </c>
      <c r="H79" t="s">
        <v>35</v>
      </c>
      <c r="I79" s="10">
        <v>45705</v>
      </c>
      <c r="K79" s="23">
        <v>923424</v>
      </c>
      <c r="L79" t="s">
        <v>162</v>
      </c>
      <c r="M79" t="s">
        <v>36</v>
      </c>
      <c r="N79" t="s">
        <v>37</v>
      </c>
      <c r="O79" t="s">
        <v>38</v>
      </c>
      <c r="R79" t="s">
        <v>98</v>
      </c>
      <c r="S79" t="s">
        <v>39</v>
      </c>
      <c r="T79">
        <v>0</v>
      </c>
      <c r="U79">
        <v>79701495</v>
      </c>
      <c r="V79">
        <v>1</v>
      </c>
      <c r="W79">
        <v>0</v>
      </c>
      <c r="X79" t="s">
        <v>163</v>
      </c>
      <c r="Y79" s="10">
        <v>45700</v>
      </c>
      <c r="AD79" t="s">
        <v>41</v>
      </c>
      <c r="AY79" t="s">
        <v>274</v>
      </c>
    </row>
    <row r="80" spans="1:51" x14ac:dyDescent="0.25">
      <c r="A80" t="str">
        <f t="shared" si="8"/>
        <v>5000005059108006763</v>
      </c>
      <c r="B80">
        <v>5</v>
      </c>
      <c r="C80">
        <v>10800676</v>
      </c>
      <c r="D80">
        <v>3</v>
      </c>
      <c r="E80">
        <v>5000005059</v>
      </c>
      <c r="F80" t="s">
        <v>153</v>
      </c>
      <c r="G80">
        <v>1</v>
      </c>
      <c r="H80" t="s">
        <v>93</v>
      </c>
      <c r="I80" s="10">
        <v>45705</v>
      </c>
      <c r="K80" s="23">
        <v>95000</v>
      </c>
      <c r="L80" t="s">
        <v>162</v>
      </c>
      <c r="M80" t="s">
        <v>36</v>
      </c>
      <c r="N80" t="s">
        <v>37</v>
      </c>
      <c r="O80" t="s">
        <v>38</v>
      </c>
      <c r="R80" t="s">
        <v>98</v>
      </c>
      <c r="S80" t="s">
        <v>39</v>
      </c>
      <c r="T80">
        <v>0</v>
      </c>
      <c r="U80">
        <v>79701544</v>
      </c>
      <c r="V80">
        <v>1</v>
      </c>
      <c r="W80">
        <v>0</v>
      </c>
      <c r="X80" t="s">
        <v>163</v>
      </c>
      <c r="Y80" s="10">
        <v>45701</v>
      </c>
      <c r="AD80" t="s">
        <v>41</v>
      </c>
      <c r="AY80" t="s">
        <v>241</v>
      </c>
    </row>
    <row r="81" spans="1:51" x14ac:dyDescent="0.25">
      <c r="A81" t="str">
        <f t="shared" si="8"/>
        <v>5000004248108006764</v>
      </c>
      <c r="B81">
        <v>6</v>
      </c>
      <c r="C81">
        <v>10800676</v>
      </c>
      <c r="D81">
        <v>4</v>
      </c>
      <c r="E81">
        <v>5000004248</v>
      </c>
      <c r="F81" t="s">
        <v>155</v>
      </c>
      <c r="G81">
        <v>1</v>
      </c>
      <c r="H81" t="s">
        <v>93</v>
      </c>
      <c r="I81" s="10">
        <v>45705</v>
      </c>
      <c r="K81" s="23">
        <v>65000</v>
      </c>
      <c r="L81" t="s">
        <v>162</v>
      </c>
      <c r="M81" t="s">
        <v>36</v>
      </c>
      <c r="N81" t="s">
        <v>37</v>
      </c>
      <c r="O81" t="s">
        <v>38</v>
      </c>
      <c r="R81" t="s">
        <v>98</v>
      </c>
      <c r="S81" t="s">
        <v>39</v>
      </c>
      <c r="T81">
        <v>0</v>
      </c>
      <c r="U81">
        <v>79701544</v>
      </c>
      <c r="V81">
        <v>1</v>
      </c>
      <c r="W81">
        <v>0</v>
      </c>
      <c r="X81" t="s">
        <v>163</v>
      </c>
      <c r="Y81" s="10">
        <v>45701</v>
      </c>
      <c r="AD81" t="s">
        <v>41</v>
      </c>
      <c r="AY81" t="s">
        <v>242</v>
      </c>
    </row>
    <row r="82" spans="1:51" x14ac:dyDescent="0.25">
      <c r="A82" t="str">
        <f t="shared" si="8"/>
        <v>5000011754108006766</v>
      </c>
      <c r="B82">
        <v>8</v>
      </c>
      <c r="C82">
        <v>10800676</v>
      </c>
      <c r="D82">
        <v>6</v>
      </c>
      <c r="E82">
        <v>5000011754</v>
      </c>
      <c r="F82" t="s">
        <v>99</v>
      </c>
      <c r="G82">
        <v>1</v>
      </c>
      <c r="H82" t="s">
        <v>93</v>
      </c>
      <c r="I82" s="10">
        <v>45705</v>
      </c>
      <c r="K82" s="23">
        <v>20000</v>
      </c>
      <c r="L82" t="s">
        <v>162</v>
      </c>
      <c r="M82" t="s">
        <v>36</v>
      </c>
      <c r="N82" t="s">
        <v>37</v>
      </c>
      <c r="O82" t="s">
        <v>38</v>
      </c>
      <c r="R82" t="s">
        <v>98</v>
      </c>
      <c r="S82" t="s">
        <v>39</v>
      </c>
      <c r="T82">
        <v>0</v>
      </c>
      <c r="U82">
        <v>79701544</v>
      </c>
      <c r="V82">
        <v>1</v>
      </c>
      <c r="W82">
        <v>0</v>
      </c>
      <c r="X82" t="s">
        <v>163</v>
      </c>
      <c r="Y82" s="10">
        <v>45701</v>
      </c>
      <c r="AD82" t="s">
        <v>41</v>
      </c>
      <c r="AY82" t="s">
        <v>242</v>
      </c>
    </row>
    <row r="83" spans="1:51" x14ac:dyDescent="0.25">
      <c r="A83" t="str">
        <f t="shared" si="8"/>
        <v>5000013499108006767</v>
      </c>
      <c r="B83">
        <v>1</v>
      </c>
      <c r="C83">
        <v>10800676</v>
      </c>
      <c r="D83">
        <v>7</v>
      </c>
      <c r="E83">
        <v>5000013499</v>
      </c>
      <c r="F83" t="s">
        <v>244</v>
      </c>
      <c r="G83">
        <v>1</v>
      </c>
      <c r="H83" t="s">
        <v>35</v>
      </c>
      <c r="I83" s="10">
        <v>45705</v>
      </c>
      <c r="K83" s="23">
        <v>290000</v>
      </c>
      <c r="L83" t="s">
        <v>162</v>
      </c>
      <c r="M83" t="s">
        <v>160</v>
      </c>
      <c r="N83" t="s">
        <v>37</v>
      </c>
      <c r="O83" t="s">
        <v>38</v>
      </c>
      <c r="R83" t="s">
        <v>98</v>
      </c>
      <c r="S83" t="s">
        <v>39</v>
      </c>
      <c r="T83">
        <v>0</v>
      </c>
      <c r="U83">
        <v>79701548</v>
      </c>
      <c r="V83">
        <v>1</v>
      </c>
      <c r="W83">
        <v>0</v>
      </c>
      <c r="X83" t="s">
        <v>163</v>
      </c>
      <c r="Y83" s="10">
        <v>45701</v>
      </c>
      <c r="Z83" t="s">
        <v>163</v>
      </c>
      <c r="AA83" s="25">
        <v>45701</v>
      </c>
      <c r="AD83" t="s">
        <v>41</v>
      </c>
      <c r="AY83" t="s">
        <v>275</v>
      </c>
    </row>
    <row r="84" spans="1:51" x14ac:dyDescent="0.25">
      <c r="A84" t="str">
        <f t="shared" si="8"/>
        <v>5000012021108006765</v>
      </c>
      <c r="B84">
        <v>7</v>
      </c>
      <c r="C84">
        <v>10800676</v>
      </c>
      <c r="D84">
        <v>5</v>
      </c>
      <c r="E84">
        <v>5000012021</v>
      </c>
      <c r="F84" t="s">
        <v>188</v>
      </c>
      <c r="G84">
        <v>1</v>
      </c>
      <c r="H84" t="s">
        <v>93</v>
      </c>
      <c r="I84" s="10">
        <v>45705</v>
      </c>
      <c r="K84" s="23">
        <v>30000</v>
      </c>
      <c r="L84" t="s">
        <v>162</v>
      </c>
      <c r="M84" t="s">
        <v>36</v>
      </c>
      <c r="N84" t="s">
        <v>37</v>
      </c>
      <c r="O84" t="s">
        <v>38</v>
      </c>
      <c r="R84" t="s">
        <v>98</v>
      </c>
      <c r="S84" t="s">
        <v>39</v>
      </c>
      <c r="T84">
        <v>0</v>
      </c>
      <c r="U84">
        <v>79701544</v>
      </c>
      <c r="V84">
        <v>1</v>
      </c>
      <c r="W84">
        <v>0</v>
      </c>
      <c r="X84" t="s">
        <v>163</v>
      </c>
      <c r="Y84" s="10">
        <v>45701</v>
      </c>
      <c r="AD84" t="s">
        <v>41</v>
      </c>
      <c r="AY84" t="s">
        <v>243</v>
      </c>
    </row>
    <row r="85" spans="1:51" x14ac:dyDescent="0.25">
      <c r="A85" t="str">
        <f t="shared" si="8"/>
        <v>5000016308108006762</v>
      </c>
      <c r="B85">
        <v>2</v>
      </c>
      <c r="C85">
        <v>10800676</v>
      </c>
      <c r="D85">
        <v>2</v>
      </c>
      <c r="E85">
        <v>5000016308</v>
      </c>
      <c r="F85" t="s">
        <v>143</v>
      </c>
      <c r="G85">
        <v>1</v>
      </c>
      <c r="H85" t="s">
        <v>35</v>
      </c>
      <c r="I85" s="10">
        <v>45705</v>
      </c>
      <c r="K85" s="23">
        <v>2980000</v>
      </c>
      <c r="L85" t="s">
        <v>162</v>
      </c>
      <c r="M85" t="s">
        <v>36</v>
      </c>
      <c r="N85" t="s">
        <v>37</v>
      </c>
      <c r="O85" t="s">
        <v>38</v>
      </c>
      <c r="R85" t="s">
        <v>98</v>
      </c>
      <c r="S85" t="s">
        <v>39</v>
      </c>
      <c r="T85">
        <v>0</v>
      </c>
      <c r="U85">
        <v>79701497</v>
      </c>
      <c r="V85">
        <v>1</v>
      </c>
      <c r="W85">
        <v>0</v>
      </c>
      <c r="X85" t="s">
        <v>163</v>
      </c>
      <c r="Y85" s="10">
        <v>45700</v>
      </c>
      <c r="AD85" t="s">
        <v>41</v>
      </c>
      <c r="AY85" t="s">
        <v>276</v>
      </c>
    </row>
    <row r="86" spans="1:51" x14ac:dyDescent="0.25">
      <c r="A86" t="str">
        <f t="shared" si="8"/>
        <v>5000016428108006768</v>
      </c>
      <c r="B86">
        <v>7</v>
      </c>
      <c r="C86">
        <v>10800676</v>
      </c>
      <c r="D86">
        <v>8</v>
      </c>
      <c r="E86">
        <v>5000016428</v>
      </c>
      <c r="F86" t="s">
        <v>157</v>
      </c>
      <c r="G86">
        <v>1</v>
      </c>
      <c r="H86" t="s">
        <v>35</v>
      </c>
      <c r="I86" s="10">
        <v>45705</v>
      </c>
      <c r="K86" s="23">
        <v>1531532</v>
      </c>
      <c r="L86" t="s">
        <v>162</v>
      </c>
      <c r="M86" t="s">
        <v>36</v>
      </c>
      <c r="N86" t="s">
        <v>37</v>
      </c>
      <c r="O86" t="s">
        <v>38</v>
      </c>
      <c r="R86" t="s">
        <v>98</v>
      </c>
      <c r="S86" t="s">
        <v>39</v>
      </c>
      <c r="T86">
        <v>0</v>
      </c>
      <c r="U86">
        <v>79701495</v>
      </c>
      <c r="V86">
        <v>1</v>
      </c>
      <c r="W86">
        <v>0</v>
      </c>
      <c r="X86" t="s">
        <v>163</v>
      </c>
      <c r="Y86" s="10">
        <v>45700</v>
      </c>
      <c r="AD86" t="s">
        <v>41</v>
      </c>
      <c r="AY86" t="s">
        <v>277</v>
      </c>
    </row>
    <row r="87" spans="1:51" x14ac:dyDescent="0.25">
      <c r="A87" t="str">
        <f t="shared" si="8"/>
        <v>5000016428108004291</v>
      </c>
      <c r="B87">
        <v>1</v>
      </c>
      <c r="C87">
        <v>10800429</v>
      </c>
      <c r="D87">
        <v>1</v>
      </c>
      <c r="E87">
        <v>5000016428</v>
      </c>
      <c r="F87" t="s">
        <v>157</v>
      </c>
      <c r="G87">
        <v>1</v>
      </c>
      <c r="H87" t="s">
        <v>35</v>
      </c>
      <c r="I87" s="10">
        <v>45688</v>
      </c>
      <c r="K87" s="23">
        <v>1531532</v>
      </c>
      <c r="L87" t="s">
        <v>162</v>
      </c>
      <c r="M87" t="s">
        <v>36</v>
      </c>
      <c r="N87" t="s">
        <v>37</v>
      </c>
      <c r="O87" t="s">
        <v>38</v>
      </c>
      <c r="R87" t="s">
        <v>98</v>
      </c>
      <c r="S87" t="s">
        <v>39</v>
      </c>
      <c r="T87">
        <v>0</v>
      </c>
      <c r="U87">
        <v>79701173</v>
      </c>
      <c r="V87">
        <v>0</v>
      </c>
      <c r="W87">
        <v>1</v>
      </c>
      <c r="X87" t="s">
        <v>163</v>
      </c>
      <c r="Y87" s="10">
        <v>45692</v>
      </c>
      <c r="AD87" t="s">
        <v>41</v>
      </c>
      <c r="AX87" t="s">
        <v>164</v>
      </c>
      <c r="AY87" t="s">
        <v>247</v>
      </c>
    </row>
    <row r="88" spans="1:51" x14ac:dyDescent="0.25">
      <c r="A88" t="str">
        <f t="shared" si="8"/>
        <v>5000014904108004293</v>
      </c>
      <c r="B88">
        <v>2</v>
      </c>
      <c r="C88">
        <v>10800429</v>
      </c>
      <c r="D88">
        <v>3</v>
      </c>
      <c r="E88">
        <v>5000014904</v>
      </c>
      <c r="F88" t="s">
        <v>204</v>
      </c>
      <c r="G88">
        <v>1</v>
      </c>
      <c r="H88" t="s">
        <v>35</v>
      </c>
      <c r="I88" s="10">
        <v>45689</v>
      </c>
      <c r="K88" s="23">
        <v>1600000</v>
      </c>
      <c r="L88" t="s">
        <v>162</v>
      </c>
      <c r="M88" t="s">
        <v>36</v>
      </c>
      <c r="N88" t="s">
        <v>37</v>
      </c>
      <c r="O88" t="s">
        <v>38</v>
      </c>
      <c r="R88" t="s">
        <v>98</v>
      </c>
      <c r="S88" t="s">
        <v>39</v>
      </c>
      <c r="T88">
        <v>0</v>
      </c>
      <c r="U88">
        <v>79701197</v>
      </c>
      <c r="V88">
        <v>0</v>
      </c>
      <c r="W88">
        <v>1</v>
      </c>
      <c r="X88" t="s">
        <v>163</v>
      </c>
      <c r="Y88" s="10">
        <v>45692</v>
      </c>
      <c r="AD88" t="s">
        <v>41</v>
      </c>
      <c r="AX88" t="s">
        <v>164</v>
      </c>
      <c r="AY88" t="s">
        <v>205</v>
      </c>
    </row>
    <row r="89" spans="1:51" x14ac:dyDescent="0.25">
      <c r="A89" t="str">
        <f t="shared" si="8"/>
        <v>5000005059108004294</v>
      </c>
      <c r="B89">
        <v>1</v>
      </c>
      <c r="C89">
        <v>10800429</v>
      </c>
      <c r="D89">
        <v>4</v>
      </c>
      <c r="E89">
        <v>5000005059</v>
      </c>
      <c r="F89" t="s">
        <v>153</v>
      </c>
      <c r="G89">
        <v>1</v>
      </c>
      <c r="H89" t="s">
        <v>93</v>
      </c>
      <c r="I89" s="10">
        <v>45689</v>
      </c>
      <c r="K89" s="23">
        <v>125000</v>
      </c>
      <c r="L89" t="s">
        <v>162</v>
      </c>
      <c r="M89" t="s">
        <v>36</v>
      </c>
      <c r="N89" t="s">
        <v>37</v>
      </c>
      <c r="O89" t="s">
        <v>38</v>
      </c>
      <c r="R89" t="s">
        <v>98</v>
      </c>
      <c r="S89" t="s">
        <v>39</v>
      </c>
      <c r="T89">
        <v>0</v>
      </c>
      <c r="U89">
        <v>79701544</v>
      </c>
      <c r="V89">
        <v>1</v>
      </c>
      <c r="W89">
        <v>0</v>
      </c>
      <c r="X89" t="s">
        <v>163</v>
      </c>
      <c r="Y89" s="10">
        <v>45701</v>
      </c>
      <c r="AD89" t="s">
        <v>41</v>
      </c>
      <c r="AY89" t="s">
        <v>206</v>
      </c>
    </row>
    <row r="90" spans="1:51" x14ac:dyDescent="0.25">
      <c r="A90" t="str">
        <f t="shared" si="8"/>
        <v>5000016930108004292</v>
      </c>
      <c r="B90">
        <v>1</v>
      </c>
      <c r="C90">
        <v>10800429</v>
      </c>
      <c r="D90">
        <v>2</v>
      </c>
      <c r="E90">
        <v>5000016930</v>
      </c>
      <c r="F90" t="s">
        <v>203</v>
      </c>
      <c r="G90">
        <v>2</v>
      </c>
      <c r="H90" t="s">
        <v>93</v>
      </c>
      <c r="I90" s="10">
        <v>45688</v>
      </c>
      <c r="K90" s="23">
        <v>197000</v>
      </c>
      <c r="L90" t="s">
        <v>162</v>
      </c>
      <c r="M90" t="s">
        <v>36</v>
      </c>
      <c r="N90" t="s">
        <v>37</v>
      </c>
      <c r="O90" t="s">
        <v>38</v>
      </c>
      <c r="R90" t="s">
        <v>98</v>
      </c>
      <c r="S90" t="s">
        <v>39</v>
      </c>
      <c r="T90">
        <v>0</v>
      </c>
      <c r="U90">
        <v>79701686</v>
      </c>
      <c r="V90">
        <v>2</v>
      </c>
      <c r="W90">
        <v>0</v>
      </c>
      <c r="X90" t="s">
        <v>163</v>
      </c>
      <c r="Y90" s="10">
        <v>45706</v>
      </c>
      <c r="AD90" t="s">
        <v>41</v>
      </c>
      <c r="AY90" t="s">
        <v>287</v>
      </c>
    </row>
    <row r="91" spans="1:51" x14ac:dyDescent="0.25">
      <c r="A91" t="str">
        <f t="shared" si="8"/>
        <v>5000017258108007443</v>
      </c>
      <c r="B91">
        <v>1</v>
      </c>
      <c r="C91">
        <v>10800744</v>
      </c>
      <c r="D91">
        <v>3</v>
      </c>
      <c r="E91">
        <v>5000017258</v>
      </c>
      <c r="F91" t="s">
        <v>259</v>
      </c>
      <c r="G91">
        <v>1</v>
      </c>
      <c r="H91" t="s">
        <v>35</v>
      </c>
      <c r="I91" s="10">
        <v>45708</v>
      </c>
      <c r="K91" s="23">
        <v>945946</v>
      </c>
      <c r="L91" t="s">
        <v>162</v>
      </c>
      <c r="M91" t="s">
        <v>36</v>
      </c>
      <c r="N91" t="s">
        <v>37</v>
      </c>
      <c r="O91" t="s">
        <v>38</v>
      </c>
      <c r="R91" t="s">
        <v>98</v>
      </c>
      <c r="S91" t="s">
        <v>39</v>
      </c>
      <c r="T91">
        <v>0</v>
      </c>
      <c r="U91">
        <v>79701695</v>
      </c>
      <c r="V91">
        <v>1</v>
      </c>
      <c r="W91">
        <v>0</v>
      </c>
      <c r="X91" t="s">
        <v>163</v>
      </c>
      <c r="Y91" s="10">
        <v>45706</v>
      </c>
      <c r="AD91" t="s">
        <v>41</v>
      </c>
      <c r="AY91" t="s">
        <v>288</v>
      </c>
    </row>
    <row r="92" spans="1:51" x14ac:dyDescent="0.25">
      <c r="A92" t="str">
        <f t="shared" si="8"/>
        <v>5000016779108007444</v>
      </c>
      <c r="B92">
        <v>2</v>
      </c>
      <c r="C92">
        <v>10800744</v>
      </c>
      <c r="D92">
        <v>4</v>
      </c>
      <c r="E92">
        <v>5000016779</v>
      </c>
      <c r="F92" t="s">
        <v>267</v>
      </c>
      <c r="G92">
        <v>2</v>
      </c>
      <c r="H92" t="s">
        <v>35</v>
      </c>
      <c r="I92" s="10">
        <v>45708</v>
      </c>
      <c r="K92" s="23">
        <v>743243.3</v>
      </c>
      <c r="L92" t="s">
        <v>162</v>
      </c>
      <c r="M92" t="s">
        <v>36</v>
      </c>
      <c r="N92" t="s">
        <v>37</v>
      </c>
      <c r="O92" t="s">
        <v>38</v>
      </c>
      <c r="R92" t="s">
        <v>98</v>
      </c>
      <c r="S92" t="s">
        <v>39</v>
      </c>
      <c r="T92">
        <v>0</v>
      </c>
      <c r="U92">
        <v>79701695</v>
      </c>
      <c r="V92">
        <v>2</v>
      </c>
      <c r="W92">
        <v>0</v>
      </c>
      <c r="X92" t="s">
        <v>163</v>
      </c>
      <c r="Y92" s="10">
        <v>45706</v>
      </c>
      <c r="AD92" t="s">
        <v>41</v>
      </c>
      <c r="AY92" t="s">
        <v>289</v>
      </c>
    </row>
    <row r="93" spans="1:51" x14ac:dyDescent="0.25">
      <c r="A93" t="str">
        <f t="shared" si="8"/>
        <v>5000016255108006912</v>
      </c>
      <c r="B93">
        <v>1</v>
      </c>
      <c r="C93">
        <v>10800691</v>
      </c>
      <c r="D93">
        <v>2</v>
      </c>
      <c r="E93">
        <v>5000016255</v>
      </c>
      <c r="F93" t="s">
        <v>110</v>
      </c>
      <c r="G93">
        <v>1</v>
      </c>
      <c r="H93" t="s">
        <v>93</v>
      </c>
      <c r="I93" s="10">
        <v>45706</v>
      </c>
      <c r="K93" s="23">
        <v>343000</v>
      </c>
      <c r="L93" t="s">
        <v>162</v>
      </c>
      <c r="M93" t="s">
        <v>36</v>
      </c>
      <c r="N93" t="s">
        <v>37</v>
      </c>
      <c r="O93" t="s">
        <v>38</v>
      </c>
      <c r="R93" t="s">
        <v>98</v>
      </c>
      <c r="S93" t="s">
        <v>39</v>
      </c>
      <c r="T93">
        <v>0</v>
      </c>
      <c r="U93">
        <v>79701696</v>
      </c>
      <c r="V93">
        <v>1</v>
      </c>
      <c r="W93">
        <v>0</v>
      </c>
      <c r="X93" t="s">
        <v>163</v>
      </c>
      <c r="Y93" s="10">
        <v>45706</v>
      </c>
      <c r="AD93" t="s">
        <v>41</v>
      </c>
      <c r="AY93" t="s">
        <v>255</v>
      </c>
    </row>
    <row r="94" spans="1:51" x14ac:dyDescent="0.25">
      <c r="A94" t="str">
        <f t="shared" si="8"/>
        <v>5000016308108007442</v>
      </c>
      <c r="B94">
        <v>2</v>
      </c>
      <c r="C94">
        <v>10800744</v>
      </c>
      <c r="D94">
        <v>2</v>
      </c>
      <c r="E94">
        <v>5000016308</v>
      </c>
      <c r="F94" t="s">
        <v>143</v>
      </c>
      <c r="G94">
        <v>1</v>
      </c>
      <c r="H94" t="s">
        <v>35</v>
      </c>
      <c r="I94" s="10">
        <v>45708</v>
      </c>
      <c r="K94" s="23">
        <v>2980000</v>
      </c>
      <c r="L94" t="s">
        <v>162</v>
      </c>
      <c r="M94" t="s">
        <v>36</v>
      </c>
      <c r="N94" t="s">
        <v>37</v>
      </c>
      <c r="O94" t="s">
        <v>38</v>
      </c>
      <c r="R94" t="s">
        <v>98</v>
      </c>
      <c r="S94" t="s">
        <v>39</v>
      </c>
      <c r="T94">
        <v>0</v>
      </c>
      <c r="U94">
        <v>79701696</v>
      </c>
      <c r="V94">
        <v>1</v>
      </c>
      <c r="W94">
        <v>0</v>
      </c>
      <c r="X94" t="s">
        <v>163</v>
      </c>
      <c r="Y94" s="10">
        <v>45706</v>
      </c>
      <c r="AA94" s="10"/>
      <c r="AD94" t="s">
        <v>41</v>
      </c>
      <c r="AY94" t="s">
        <v>290</v>
      </c>
    </row>
    <row r="95" spans="1:51" x14ac:dyDescent="0.25">
      <c r="A95" t="str">
        <f t="shared" si="8"/>
        <v>5000016671108007441</v>
      </c>
      <c r="B95">
        <v>1</v>
      </c>
      <c r="C95">
        <v>10800744</v>
      </c>
      <c r="D95">
        <v>1</v>
      </c>
      <c r="E95">
        <v>5000016671</v>
      </c>
      <c r="F95" t="s">
        <v>216</v>
      </c>
      <c r="G95">
        <v>1</v>
      </c>
      <c r="H95" t="s">
        <v>93</v>
      </c>
      <c r="I95" s="10">
        <v>45708</v>
      </c>
      <c r="K95" s="23">
        <v>90000</v>
      </c>
      <c r="L95" t="s">
        <v>162</v>
      </c>
      <c r="M95" t="s">
        <v>36</v>
      </c>
      <c r="N95" t="s">
        <v>37</v>
      </c>
      <c r="O95" t="s">
        <v>38</v>
      </c>
      <c r="R95" t="s">
        <v>98</v>
      </c>
      <c r="S95" t="s">
        <v>39</v>
      </c>
      <c r="T95">
        <v>0</v>
      </c>
      <c r="U95">
        <v>79701698</v>
      </c>
      <c r="V95">
        <v>1</v>
      </c>
      <c r="W95">
        <v>0</v>
      </c>
      <c r="X95" t="s">
        <v>163</v>
      </c>
      <c r="Y95" s="10">
        <v>45706</v>
      </c>
      <c r="AA95" s="10"/>
      <c r="AD95" t="s">
        <v>41</v>
      </c>
      <c r="AY95" t="s">
        <v>257</v>
      </c>
    </row>
    <row r="96" spans="1:51" x14ac:dyDescent="0.25">
      <c r="A96" t="str">
        <f t="shared" si="8"/>
        <v>5000013640108007445</v>
      </c>
      <c r="B96">
        <v>2</v>
      </c>
      <c r="C96">
        <v>10800744</v>
      </c>
      <c r="D96">
        <v>5</v>
      </c>
      <c r="E96">
        <v>5000013640</v>
      </c>
      <c r="F96" t="s">
        <v>159</v>
      </c>
      <c r="G96">
        <v>10</v>
      </c>
      <c r="H96" t="s">
        <v>93</v>
      </c>
      <c r="I96" s="10">
        <v>45708</v>
      </c>
      <c r="K96" s="23">
        <v>15000</v>
      </c>
      <c r="L96" t="s">
        <v>162</v>
      </c>
      <c r="M96" t="s">
        <v>160</v>
      </c>
      <c r="N96" t="s">
        <v>37</v>
      </c>
      <c r="O96" t="s">
        <v>38</v>
      </c>
      <c r="R96" t="s">
        <v>98</v>
      </c>
      <c r="S96" t="s">
        <v>39</v>
      </c>
      <c r="T96">
        <v>0</v>
      </c>
      <c r="U96">
        <v>79701698</v>
      </c>
      <c r="V96">
        <v>10</v>
      </c>
      <c r="W96">
        <v>0</v>
      </c>
      <c r="X96" t="s">
        <v>163</v>
      </c>
      <c r="Y96" s="10">
        <v>45706</v>
      </c>
      <c r="AD96" t="s">
        <v>41</v>
      </c>
      <c r="AY96" t="s">
        <v>264</v>
      </c>
    </row>
    <row r="97" spans="1:51" x14ac:dyDescent="0.25">
      <c r="A97" t="str">
        <f t="shared" ref="A97:A114" si="9">E97&amp;C97&amp;D97</f>
        <v>5000016248108007446</v>
      </c>
      <c r="B97">
        <v>3</v>
      </c>
      <c r="C97">
        <v>10800744</v>
      </c>
      <c r="D97">
        <v>6</v>
      </c>
      <c r="E97">
        <v>5000016248</v>
      </c>
      <c r="F97" t="s">
        <v>265</v>
      </c>
      <c r="G97">
        <v>1</v>
      </c>
      <c r="H97" t="s">
        <v>35</v>
      </c>
      <c r="I97" s="10">
        <v>45708</v>
      </c>
      <c r="K97" s="23">
        <v>1850000</v>
      </c>
      <c r="L97" t="s">
        <v>162</v>
      </c>
      <c r="M97" t="s">
        <v>36</v>
      </c>
      <c r="N97" t="s">
        <v>37</v>
      </c>
      <c r="O97" t="s">
        <v>38</v>
      </c>
      <c r="R97" t="s">
        <v>98</v>
      </c>
      <c r="S97" t="s">
        <v>39</v>
      </c>
      <c r="T97">
        <v>0</v>
      </c>
      <c r="U97">
        <v>79701698</v>
      </c>
      <c r="V97">
        <v>1</v>
      </c>
      <c r="W97">
        <v>0</v>
      </c>
      <c r="X97" t="s">
        <v>163</v>
      </c>
      <c r="Y97" s="10">
        <v>45706</v>
      </c>
      <c r="AD97" t="s">
        <v>41</v>
      </c>
      <c r="AY97" t="s">
        <v>266</v>
      </c>
    </row>
    <row r="98" spans="1:51" x14ac:dyDescent="0.25">
      <c r="A98" t="str">
        <f t="shared" si="9"/>
        <v>5000000739108007447</v>
      </c>
      <c r="B98">
        <v>4</v>
      </c>
      <c r="C98">
        <v>10800744</v>
      </c>
      <c r="D98">
        <v>7</v>
      </c>
      <c r="E98">
        <v>5000000739</v>
      </c>
      <c r="F98" t="s">
        <v>261</v>
      </c>
      <c r="G98">
        <v>1</v>
      </c>
      <c r="H98" t="s">
        <v>262</v>
      </c>
      <c r="I98" s="10">
        <v>45708</v>
      </c>
      <c r="K98" s="23">
        <v>2175000</v>
      </c>
      <c r="L98" t="s">
        <v>162</v>
      </c>
      <c r="M98" t="s">
        <v>36</v>
      </c>
      <c r="N98" t="s">
        <v>37</v>
      </c>
      <c r="O98" t="s">
        <v>38</v>
      </c>
      <c r="R98" t="s">
        <v>98</v>
      </c>
      <c r="S98" t="s">
        <v>39</v>
      </c>
      <c r="T98">
        <v>0</v>
      </c>
      <c r="U98">
        <v>79701698</v>
      </c>
      <c r="V98">
        <v>1</v>
      </c>
      <c r="W98">
        <v>0</v>
      </c>
      <c r="X98" t="s">
        <v>163</v>
      </c>
      <c r="Y98" s="10">
        <v>45706</v>
      </c>
      <c r="AD98" t="s">
        <v>41</v>
      </c>
      <c r="AY98" t="s">
        <v>263</v>
      </c>
    </row>
    <row r="99" spans="1:51" x14ac:dyDescent="0.25">
      <c r="A99" t="str">
        <f t="shared" si="9"/>
        <v>5000012021108006913</v>
      </c>
      <c r="B99">
        <v>5</v>
      </c>
      <c r="C99">
        <v>10800691</v>
      </c>
      <c r="D99">
        <v>3</v>
      </c>
      <c r="E99">
        <v>5000012021</v>
      </c>
      <c r="F99" t="s">
        <v>188</v>
      </c>
      <c r="G99">
        <v>1</v>
      </c>
      <c r="H99" t="s">
        <v>93</v>
      </c>
      <c r="I99" s="10">
        <v>45706</v>
      </c>
      <c r="K99" s="23">
        <v>145000</v>
      </c>
      <c r="L99" t="s">
        <v>162</v>
      </c>
      <c r="M99" t="s">
        <v>36</v>
      </c>
      <c r="N99" t="s">
        <v>37</v>
      </c>
      <c r="O99" t="s">
        <v>38</v>
      </c>
      <c r="R99" t="s">
        <v>98</v>
      </c>
      <c r="S99" t="s">
        <v>39</v>
      </c>
      <c r="T99">
        <v>0</v>
      </c>
      <c r="U99">
        <v>79701698</v>
      </c>
      <c r="V99">
        <v>1</v>
      </c>
      <c r="W99">
        <v>0</v>
      </c>
      <c r="X99" t="s">
        <v>163</v>
      </c>
      <c r="Y99" s="10">
        <v>45706</v>
      </c>
      <c r="AD99" t="s">
        <v>41</v>
      </c>
      <c r="AY99" t="s">
        <v>291</v>
      </c>
    </row>
    <row r="100" spans="1:51" x14ac:dyDescent="0.25">
      <c r="A100" t="str">
        <f t="shared" si="9"/>
        <v>5000016642108006911</v>
      </c>
      <c r="B100">
        <v>1</v>
      </c>
      <c r="C100">
        <v>10800691</v>
      </c>
      <c r="D100">
        <v>1</v>
      </c>
      <c r="E100">
        <v>5000016642</v>
      </c>
      <c r="F100" t="s">
        <v>253</v>
      </c>
      <c r="G100">
        <v>1</v>
      </c>
      <c r="H100" t="s">
        <v>93</v>
      </c>
      <c r="I100" s="10">
        <v>45706</v>
      </c>
      <c r="K100" s="23">
        <v>135000</v>
      </c>
      <c r="L100" t="s">
        <v>162</v>
      </c>
      <c r="M100" t="s">
        <v>36</v>
      </c>
      <c r="N100" t="s">
        <v>37</v>
      </c>
      <c r="O100" t="s">
        <v>38</v>
      </c>
      <c r="R100" t="s">
        <v>98</v>
      </c>
      <c r="S100" t="s">
        <v>39</v>
      </c>
      <c r="T100">
        <v>0</v>
      </c>
      <c r="U100">
        <v>79701703</v>
      </c>
      <c r="V100">
        <v>1</v>
      </c>
      <c r="W100">
        <v>0</v>
      </c>
      <c r="X100" t="s">
        <v>163</v>
      </c>
      <c r="Y100" s="10">
        <v>45706</v>
      </c>
      <c r="AD100" t="s">
        <v>41</v>
      </c>
      <c r="AY100" t="s">
        <v>292</v>
      </c>
    </row>
    <row r="101" spans="1:51" x14ac:dyDescent="0.25">
      <c r="A101" t="str">
        <f t="shared" si="9"/>
        <v>5000005059108008305</v>
      </c>
      <c r="B101">
        <v>1</v>
      </c>
      <c r="C101">
        <v>10800830</v>
      </c>
      <c r="D101">
        <v>5</v>
      </c>
      <c r="E101">
        <v>5000005059</v>
      </c>
      <c r="F101" t="s">
        <v>153</v>
      </c>
      <c r="G101">
        <v>1</v>
      </c>
      <c r="H101" t="s">
        <v>93</v>
      </c>
      <c r="I101" s="10">
        <v>45713</v>
      </c>
      <c r="K101" s="23">
        <v>95000</v>
      </c>
      <c r="L101" t="s">
        <v>162</v>
      </c>
      <c r="M101" t="s">
        <v>36</v>
      </c>
      <c r="N101" t="s">
        <v>37</v>
      </c>
      <c r="O101" t="s">
        <v>38</v>
      </c>
      <c r="R101" t="s">
        <v>98</v>
      </c>
      <c r="S101" t="s">
        <v>39</v>
      </c>
      <c r="T101">
        <v>0</v>
      </c>
      <c r="U101">
        <v>79701911</v>
      </c>
      <c r="V101">
        <v>1</v>
      </c>
      <c r="W101">
        <v>0</v>
      </c>
      <c r="X101" t="s">
        <v>163</v>
      </c>
      <c r="Y101" s="10">
        <v>45713</v>
      </c>
      <c r="AD101" t="s">
        <v>41</v>
      </c>
      <c r="AY101" t="s">
        <v>284</v>
      </c>
    </row>
    <row r="102" spans="1:51" x14ac:dyDescent="0.25">
      <c r="A102" t="str">
        <f t="shared" si="9"/>
        <v>5000004248108008306</v>
      </c>
      <c r="B102">
        <v>2</v>
      </c>
      <c r="C102">
        <v>10800830</v>
      </c>
      <c r="D102">
        <v>6</v>
      </c>
      <c r="E102">
        <v>5000004248</v>
      </c>
      <c r="F102" t="s">
        <v>155</v>
      </c>
      <c r="G102">
        <v>1</v>
      </c>
      <c r="H102" t="s">
        <v>93</v>
      </c>
      <c r="I102" s="10">
        <v>45713</v>
      </c>
      <c r="K102" s="23">
        <v>65000</v>
      </c>
      <c r="L102" t="s">
        <v>162</v>
      </c>
      <c r="M102" t="s">
        <v>36</v>
      </c>
      <c r="N102" t="s">
        <v>37</v>
      </c>
      <c r="O102" t="s">
        <v>38</v>
      </c>
      <c r="R102" t="s">
        <v>98</v>
      </c>
      <c r="S102" t="s">
        <v>39</v>
      </c>
      <c r="T102">
        <v>0</v>
      </c>
      <c r="U102">
        <v>79701911</v>
      </c>
      <c r="V102">
        <v>1</v>
      </c>
      <c r="W102">
        <v>0</v>
      </c>
      <c r="X102" t="s">
        <v>163</v>
      </c>
      <c r="Y102" s="10">
        <v>45713</v>
      </c>
      <c r="AD102" t="s">
        <v>41</v>
      </c>
      <c r="AY102" t="s">
        <v>285</v>
      </c>
    </row>
    <row r="103" spans="1:51" x14ac:dyDescent="0.25">
      <c r="A103" t="str">
        <f t="shared" si="9"/>
        <v>5000012021108008307</v>
      </c>
      <c r="B103">
        <v>3</v>
      </c>
      <c r="C103">
        <v>10800830</v>
      </c>
      <c r="D103">
        <v>7</v>
      </c>
      <c r="E103">
        <v>5000012021</v>
      </c>
      <c r="F103" t="s">
        <v>188</v>
      </c>
      <c r="G103">
        <v>1</v>
      </c>
      <c r="H103" t="s">
        <v>93</v>
      </c>
      <c r="I103" s="10">
        <v>45713</v>
      </c>
      <c r="K103" s="23">
        <v>30000</v>
      </c>
      <c r="L103" t="s">
        <v>162</v>
      </c>
      <c r="M103" t="s">
        <v>36</v>
      </c>
      <c r="N103" t="s">
        <v>37</v>
      </c>
      <c r="O103" t="s">
        <v>38</v>
      </c>
      <c r="R103" t="s">
        <v>98</v>
      </c>
      <c r="S103" t="s">
        <v>39</v>
      </c>
      <c r="T103">
        <v>0</v>
      </c>
      <c r="U103">
        <v>79701911</v>
      </c>
      <c r="V103">
        <v>1</v>
      </c>
      <c r="W103">
        <v>0</v>
      </c>
      <c r="X103" t="s">
        <v>163</v>
      </c>
      <c r="Y103" s="10">
        <v>45713</v>
      </c>
      <c r="AD103" t="s">
        <v>41</v>
      </c>
      <c r="AY103" t="s">
        <v>286</v>
      </c>
    </row>
    <row r="104" spans="1:51" x14ac:dyDescent="0.25">
      <c r="A104" t="str">
        <f t="shared" si="9"/>
        <v>5000015916108008801</v>
      </c>
      <c r="B104">
        <v>4</v>
      </c>
      <c r="C104">
        <v>10800880</v>
      </c>
      <c r="D104">
        <v>1</v>
      </c>
      <c r="E104">
        <v>5000015916</v>
      </c>
      <c r="F104" t="s">
        <v>293</v>
      </c>
      <c r="G104">
        <v>1</v>
      </c>
      <c r="H104" t="s">
        <v>93</v>
      </c>
      <c r="I104" s="10">
        <v>45715</v>
      </c>
      <c r="K104" s="23">
        <v>165000</v>
      </c>
      <c r="L104" t="s">
        <v>162</v>
      </c>
      <c r="M104" t="s">
        <v>36</v>
      </c>
      <c r="N104" t="s">
        <v>37</v>
      </c>
      <c r="O104" t="s">
        <v>38</v>
      </c>
      <c r="R104" t="s">
        <v>98</v>
      </c>
      <c r="S104" t="s">
        <v>39</v>
      </c>
      <c r="T104">
        <v>0</v>
      </c>
      <c r="U104">
        <v>79701911</v>
      </c>
      <c r="V104">
        <v>1</v>
      </c>
      <c r="W104">
        <v>0</v>
      </c>
      <c r="X104" t="s">
        <v>163</v>
      </c>
      <c r="Y104" s="10">
        <v>45713</v>
      </c>
      <c r="AD104" t="s">
        <v>41</v>
      </c>
      <c r="AY104" t="s">
        <v>294</v>
      </c>
    </row>
    <row r="105" spans="1:51" x14ac:dyDescent="0.25">
      <c r="A105" t="str">
        <f t="shared" si="9"/>
        <v>5000005340108008802</v>
      </c>
      <c r="B105">
        <v>5</v>
      </c>
      <c r="C105">
        <v>10800880</v>
      </c>
      <c r="D105">
        <v>2</v>
      </c>
      <c r="E105">
        <v>5000005340</v>
      </c>
      <c r="F105" t="s">
        <v>199</v>
      </c>
      <c r="G105">
        <v>1</v>
      </c>
      <c r="H105" t="s">
        <v>35</v>
      </c>
      <c r="I105" s="10">
        <v>45715</v>
      </c>
      <c r="K105" s="23">
        <v>155000</v>
      </c>
      <c r="L105" t="s">
        <v>162</v>
      </c>
      <c r="M105" t="s">
        <v>36</v>
      </c>
      <c r="N105" t="s">
        <v>37</v>
      </c>
      <c r="O105" t="s">
        <v>38</v>
      </c>
      <c r="R105" t="s">
        <v>98</v>
      </c>
      <c r="S105" t="s">
        <v>39</v>
      </c>
      <c r="T105">
        <v>0</v>
      </c>
      <c r="U105">
        <v>79701911</v>
      </c>
      <c r="V105">
        <v>1</v>
      </c>
      <c r="W105">
        <v>0</v>
      </c>
      <c r="X105" t="s">
        <v>163</v>
      </c>
      <c r="Y105" s="10">
        <v>45713</v>
      </c>
      <c r="AD105" t="s">
        <v>41</v>
      </c>
      <c r="AY105" t="s">
        <v>295</v>
      </c>
    </row>
    <row r="106" spans="1:51" x14ac:dyDescent="0.25">
      <c r="A106" t="str">
        <f t="shared" si="9"/>
        <v>5000005059108008804</v>
      </c>
      <c r="B106">
        <v>6</v>
      </c>
      <c r="C106">
        <v>10800880</v>
      </c>
      <c r="D106">
        <v>4</v>
      </c>
      <c r="E106">
        <v>5000005059</v>
      </c>
      <c r="F106" t="s">
        <v>153</v>
      </c>
      <c r="G106">
        <v>10</v>
      </c>
      <c r="H106" t="s">
        <v>93</v>
      </c>
      <c r="I106" s="10">
        <v>45715</v>
      </c>
      <c r="K106" s="23">
        <v>95000</v>
      </c>
      <c r="L106" t="s">
        <v>162</v>
      </c>
      <c r="M106" t="s">
        <v>36</v>
      </c>
      <c r="N106" t="s">
        <v>37</v>
      </c>
      <c r="O106" t="s">
        <v>38</v>
      </c>
      <c r="R106" t="s">
        <v>98</v>
      </c>
      <c r="S106" t="s">
        <v>39</v>
      </c>
      <c r="T106">
        <v>0</v>
      </c>
      <c r="U106">
        <v>79701911</v>
      </c>
      <c r="V106">
        <v>10</v>
      </c>
      <c r="W106">
        <v>0</v>
      </c>
      <c r="X106" t="s">
        <v>163</v>
      </c>
      <c r="Y106" s="10">
        <v>45713</v>
      </c>
      <c r="AD106" t="s">
        <v>41</v>
      </c>
      <c r="AY106" t="s">
        <v>298</v>
      </c>
    </row>
    <row r="107" spans="1:51" x14ac:dyDescent="0.25">
      <c r="A107" t="str">
        <f t="shared" si="9"/>
        <v>5000016308108008304</v>
      </c>
      <c r="B107">
        <v>1</v>
      </c>
      <c r="C107">
        <v>10800830</v>
      </c>
      <c r="D107">
        <v>4</v>
      </c>
      <c r="E107">
        <v>5000016308</v>
      </c>
      <c r="F107" t="s">
        <v>143</v>
      </c>
      <c r="G107">
        <v>1</v>
      </c>
      <c r="H107" t="s">
        <v>35</v>
      </c>
      <c r="I107" s="10">
        <v>45713</v>
      </c>
      <c r="K107" s="23">
        <v>2980000</v>
      </c>
      <c r="L107" t="s">
        <v>162</v>
      </c>
      <c r="M107" t="s">
        <v>36</v>
      </c>
      <c r="N107" t="s">
        <v>37</v>
      </c>
      <c r="O107" t="s">
        <v>38</v>
      </c>
      <c r="R107" t="s">
        <v>98</v>
      </c>
      <c r="S107" t="s">
        <v>39</v>
      </c>
      <c r="T107">
        <v>0</v>
      </c>
      <c r="U107">
        <v>79701947</v>
      </c>
      <c r="V107">
        <v>1</v>
      </c>
      <c r="W107">
        <v>0</v>
      </c>
      <c r="X107" t="s">
        <v>163</v>
      </c>
      <c r="Y107" s="10">
        <v>45713</v>
      </c>
      <c r="AD107" t="s">
        <v>41</v>
      </c>
      <c r="AY107" t="s">
        <v>311</v>
      </c>
    </row>
    <row r="108" spans="1:51" x14ac:dyDescent="0.25">
      <c r="A108" t="str">
        <f t="shared" si="9"/>
        <v>5000015000108008301</v>
      </c>
      <c r="B108">
        <v>1</v>
      </c>
      <c r="C108">
        <v>10800830</v>
      </c>
      <c r="D108">
        <v>1</v>
      </c>
      <c r="E108">
        <v>5000015000</v>
      </c>
      <c r="F108" t="s">
        <v>176</v>
      </c>
      <c r="G108">
        <v>3</v>
      </c>
      <c r="H108" t="s">
        <v>35</v>
      </c>
      <c r="I108" s="10">
        <v>45713</v>
      </c>
      <c r="K108" s="23">
        <v>350000</v>
      </c>
      <c r="L108" t="s">
        <v>162</v>
      </c>
      <c r="M108" t="s">
        <v>36</v>
      </c>
      <c r="N108" t="s">
        <v>37</v>
      </c>
      <c r="O108" t="s">
        <v>38</v>
      </c>
      <c r="R108" t="s">
        <v>98</v>
      </c>
      <c r="S108" t="s">
        <v>39</v>
      </c>
      <c r="T108">
        <v>0</v>
      </c>
      <c r="U108">
        <v>79701964</v>
      </c>
      <c r="V108">
        <v>3</v>
      </c>
      <c r="W108">
        <v>0</v>
      </c>
      <c r="X108" t="s">
        <v>163</v>
      </c>
      <c r="Y108" s="10">
        <v>45714</v>
      </c>
      <c r="AD108" t="s">
        <v>41</v>
      </c>
      <c r="AY108" t="s">
        <v>280</v>
      </c>
    </row>
    <row r="109" spans="1:51" x14ac:dyDescent="0.25">
      <c r="A109" t="str">
        <f t="shared" si="9"/>
        <v>5000017258108008302</v>
      </c>
      <c r="B109">
        <v>1</v>
      </c>
      <c r="C109">
        <v>10800830</v>
      </c>
      <c r="D109">
        <v>2</v>
      </c>
      <c r="E109">
        <v>5000017258</v>
      </c>
      <c r="F109" t="s">
        <v>259</v>
      </c>
      <c r="G109">
        <v>1</v>
      </c>
      <c r="H109" t="s">
        <v>35</v>
      </c>
      <c r="I109" s="10">
        <v>45713</v>
      </c>
      <c r="K109" s="23">
        <v>945946</v>
      </c>
      <c r="L109" t="s">
        <v>162</v>
      </c>
      <c r="M109" t="s">
        <v>36</v>
      </c>
      <c r="N109" t="s">
        <v>37</v>
      </c>
      <c r="O109" t="s">
        <v>38</v>
      </c>
      <c r="R109" t="s">
        <v>98</v>
      </c>
      <c r="S109" t="s">
        <v>39</v>
      </c>
      <c r="T109">
        <v>0</v>
      </c>
      <c r="U109">
        <v>79701966</v>
      </c>
      <c r="V109">
        <v>1</v>
      </c>
      <c r="W109">
        <v>0</v>
      </c>
      <c r="X109" t="s">
        <v>163</v>
      </c>
      <c r="Y109" s="10">
        <v>45714</v>
      </c>
      <c r="AD109" t="s">
        <v>41</v>
      </c>
      <c r="AY109" t="s">
        <v>312</v>
      </c>
    </row>
    <row r="110" spans="1:51" x14ac:dyDescent="0.25">
      <c r="A110" t="str">
        <f t="shared" si="9"/>
        <v>5000008843108008303</v>
      </c>
      <c r="B110">
        <v>2</v>
      </c>
      <c r="C110">
        <v>10800830</v>
      </c>
      <c r="D110">
        <v>3</v>
      </c>
      <c r="E110">
        <v>5000008843</v>
      </c>
      <c r="F110" t="s">
        <v>150</v>
      </c>
      <c r="G110">
        <v>1</v>
      </c>
      <c r="H110" t="s">
        <v>35</v>
      </c>
      <c r="I110" s="10">
        <v>45713</v>
      </c>
      <c r="K110" s="23">
        <v>923424</v>
      </c>
      <c r="L110" t="s">
        <v>162</v>
      </c>
      <c r="M110" t="s">
        <v>36</v>
      </c>
      <c r="N110" t="s">
        <v>37</v>
      </c>
      <c r="O110" t="s">
        <v>38</v>
      </c>
      <c r="R110" t="s">
        <v>98</v>
      </c>
      <c r="S110" t="s">
        <v>39</v>
      </c>
      <c r="T110">
        <v>0</v>
      </c>
      <c r="U110">
        <v>79701966</v>
      </c>
      <c r="V110">
        <v>1</v>
      </c>
      <c r="W110">
        <v>0</v>
      </c>
      <c r="X110" t="s">
        <v>163</v>
      </c>
      <c r="Y110" s="10">
        <v>45714</v>
      </c>
      <c r="AD110" t="s">
        <v>41</v>
      </c>
      <c r="AY110" t="s">
        <v>313</v>
      </c>
    </row>
    <row r="111" spans="1:51" x14ac:dyDescent="0.25">
      <c r="A111" t="str">
        <f t="shared" si="9"/>
        <v>5000014237108008803</v>
      </c>
      <c r="B111">
        <v>1</v>
      </c>
      <c r="C111">
        <v>10800880</v>
      </c>
      <c r="D111">
        <v>3</v>
      </c>
      <c r="E111">
        <v>5000014237</v>
      </c>
      <c r="F111" t="s">
        <v>305</v>
      </c>
      <c r="G111">
        <v>2</v>
      </c>
      <c r="H111" t="s">
        <v>296</v>
      </c>
      <c r="I111" s="10">
        <v>45715</v>
      </c>
      <c r="K111" s="23">
        <v>180000</v>
      </c>
      <c r="L111" t="s">
        <v>162</v>
      </c>
      <c r="M111" t="s">
        <v>36</v>
      </c>
      <c r="N111" t="s">
        <v>37</v>
      </c>
      <c r="O111" t="s">
        <v>38</v>
      </c>
      <c r="R111" t="s">
        <v>98</v>
      </c>
      <c r="S111" t="s">
        <v>39</v>
      </c>
      <c r="T111">
        <v>0</v>
      </c>
      <c r="U111">
        <v>79702090</v>
      </c>
      <c r="V111">
        <v>2</v>
      </c>
      <c r="W111">
        <v>0</v>
      </c>
      <c r="X111" t="s">
        <v>163</v>
      </c>
      <c r="Y111" s="10">
        <v>45716</v>
      </c>
      <c r="AD111" t="s">
        <v>41</v>
      </c>
      <c r="AY111" t="s">
        <v>297</v>
      </c>
    </row>
    <row r="112" spans="1:51" x14ac:dyDescent="0.25">
      <c r="A112" t="str">
        <f t="shared" si="9"/>
        <v>5000016779108009092</v>
      </c>
      <c r="B112">
        <v>1</v>
      </c>
      <c r="C112">
        <v>10800909</v>
      </c>
      <c r="D112">
        <v>2</v>
      </c>
      <c r="E112">
        <v>5000016779</v>
      </c>
      <c r="F112" t="s">
        <v>267</v>
      </c>
      <c r="G112">
        <v>1</v>
      </c>
      <c r="H112" t="s">
        <v>35</v>
      </c>
      <c r="I112" s="10">
        <v>45717</v>
      </c>
      <c r="K112" s="23">
        <v>743243.3</v>
      </c>
      <c r="L112" t="s">
        <v>162</v>
      </c>
      <c r="M112" t="s">
        <v>36</v>
      </c>
      <c r="N112" t="s">
        <v>37</v>
      </c>
      <c r="O112" t="s">
        <v>38</v>
      </c>
      <c r="R112" t="s">
        <v>98</v>
      </c>
      <c r="S112" t="s">
        <v>39</v>
      </c>
      <c r="T112">
        <v>0</v>
      </c>
      <c r="U112">
        <v>79702214</v>
      </c>
      <c r="V112">
        <v>1</v>
      </c>
      <c r="W112">
        <v>0</v>
      </c>
      <c r="X112" t="s">
        <v>163</v>
      </c>
      <c r="Y112" s="10">
        <v>45720</v>
      </c>
      <c r="AD112" t="s">
        <v>41</v>
      </c>
      <c r="AY112" t="s">
        <v>332</v>
      </c>
    </row>
    <row r="113" spans="1:51" x14ac:dyDescent="0.25">
      <c r="A113" t="str">
        <f t="shared" si="9"/>
        <v>5000016375108009531</v>
      </c>
      <c r="B113">
        <v>2</v>
      </c>
      <c r="C113">
        <v>10800953</v>
      </c>
      <c r="D113">
        <v>1</v>
      </c>
      <c r="E113">
        <v>5000016375</v>
      </c>
      <c r="F113" t="s">
        <v>114</v>
      </c>
      <c r="G113">
        <v>1</v>
      </c>
      <c r="H113" t="s">
        <v>35</v>
      </c>
      <c r="I113" s="10">
        <v>45720</v>
      </c>
      <c r="K113" s="23">
        <v>2072072.1</v>
      </c>
      <c r="L113" t="s">
        <v>162</v>
      </c>
      <c r="M113" t="s">
        <v>36</v>
      </c>
      <c r="N113" t="s">
        <v>37</v>
      </c>
      <c r="O113" t="s">
        <v>38</v>
      </c>
      <c r="R113" t="s">
        <v>98</v>
      </c>
      <c r="S113" t="s">
        <v>39</v>
      </c>
      <c r="T113">
        <v>0</v>
      </c>
      <c r="U113">
        <v>79702214</v>
      </c>
      <c r="V113">
        <v>1</v>
      </c>
      <c r="W113">
        <v>0</v>
      </c>
      <c r="X113" t="s">
        <v>163</v>
      </c>
      <c r="Y113" s="10">
        <v>45720</v>
      </c>
      <c r="AD113" t="s">
        <v>41</v>
      </c>
      <c r="AY113" t="s">
        <v>333</v>
      </c>
    </row>
    <row r="114" spans="1:51" x14ac:dyDescent="0.25">
      <c r="A114" t="str">
        <f t="shared" si="9"/>
        <v>5000016583108010304</v>
      </c>
      <c r="B114">
        <v>1</v>
      </c>
      <c r="C114">
        <v>10801030</v>
      </c>
      <c r="D114">
        <v>4</v>
      </c>
      <c r="E114">
        <v>5000016583</v>
      </c>
      <c r="F114" t="s">
        <v>324</v>
      </c>
      <c r="G114">
        <v>1</v>
      </c>
      <c r="H114" t="s">
        <v>35</v>
      </c>
      <c r="I114" s="10">
        <v>45724</v>
      </c>
      <c r="K114" s="23">
        <v>4580000</v>
      </c>
      <c r="L114" t="s">
        <v>162</v>
      </c>
      <c r="M114" t="s">
        <v>36</v>
      </c>
      <c r="N114" t="s">
        <v>37</v>
      </c>
      <c r="O114" t="s">
        <v>38</v>
      </c>
      <c r="R114" t="s">
        <v>98</v>
      </c>
      <c r="S114" t="s">
        <v>39</v>
      </c>
      <c r="T114">
        <v>0</v>
      </c>
      <c r="U114">
        <v>79702242</v>
      </c>
      <c r="V114">
        <v>1</v>
      </c>
      <c r="W114">
        <v>0</v>
      </c>
      <c r="X114" t="s">
        <v>163</v>
      </c>
      <c r="Y114" s="10">
        <v>45721</v>
      </c>
      <c r="AD114" t="s">
        <v>41</v>
      </c>
      <c r="AY114" t="s">
        <v>334</v>
      </c>
    </row>
    <row r="115" spans="1:51" x14ac:dyDescent="0.25">
      <c r="A115" t="str">
        <f t="shared" ref="A115:A138" si="10">E115&amp;C115&amp;D115</f>
        <v>5000016779108009092</v>
      </c>
      <c r="B115">
        <v>1</v>
      </c>
      <c r="C115">
        <v>10800909</v>
      </c>
      <c r="D115">
        <v>2</v>
      </c>
      <c r="E115">
        <v>5000016779</v>
      </c>
      <c r="F115" t="s">
        <v>267</v>
      </c>
      <c r="G115">
        <v>1</v>
      </c>
      <c r="H115" t="s">
        <v>35</v>
      </c>
      <c r="I115" s="10">
        <v>45717</v>
      </c>
      <c r="K115" s="23">
        <v>743243.3</v>
      </c>
      <c r="L115" t="s">
        <v>162</v>
      </c>
      <c r="M115" t="s">
        <v>36</v>
      </c>
      <c r="N115" t="s">
        <v>37</v>
      </c>
      <c r="O115" t="s">
        <v>38</v>
      </c>
      <c r="R115" t="s">
        <v>98</v>
      </c>
      <c r="S115" t="s">
        <v>39</v>
      </c>
      <c r="T115">
        <v>0</v>
      </c>
      <c r="U115">
        <v>79702214</v>
      </c>
      <c r="V115">
        <v>1</v>
      </c>
      <c r="W115">
        <v>0</v>
      </c>
      <c r="X115" t="s">
        <v>163</v>
      </c>
      <c r="Y115" s="10">
        <v>45720</v>
      </c>
      <c r="AD115" t="s">
        <v>41</v>
      </c>
      <c r="AY115" t="s">
        <v>332</v>
      </c>
    </row>
    <row r="116" spans="1:51" x14ac:dyDescent="0.25">
      <c r="A116" t="str">
        <f t="shared" si="10"/>
        <v>5000016375108009531</v>
      </c>
      <c r="B116">
        <v>2</v>
      </c>
      <c r="C116">
        <v>10800953</v>
      </c>
      <c r="D116">
        <v>1</v>
      </c>
      <c r="E116">
        <v>5000016375</v>
      </c>
      <c r="F116" t="s">
        <v>114</v>
      </c>
      <c r="G116">
        <v>1</v>
      </c>
      <c r="H116" t="s">
        <v>35</v>
      </c>
      <c r="I116" s="10">
        <v>45720</v>
      </c>
      <c r="K116" s="23">
        <v>2072072.1</v>
      </c>
      <c r="L116" t="s">
        <v>162</v>
      </c>
      <c r="M116" t="s">
        <v>36</v>
      </c>
      <c r="N116" t="s">
        <v>37</v>
      </c>
      <c r="O116" t="s">
        <v>38</v>
      </c>
      <c r="R116" t="s">
        <v>98</v>
      </c>
      <c r="S116" t="s">
        <v>39</v>
      </c>
      <c r="T116">
        <v>0</v>
      </c>
      <c r="U116">
        <v>79702214</v>
      </c>
      <c r="V116">
        <v>1</v>
      </c>
      <c r="W116">
        <v>0</v>
      </c>
      <c r="X116" t="s">
        <v>163</v>
      </c>
      <c r="Y116" s="10">
        <v>45720</v>
      </c>
      <c r="AD116" t="s">
        <v>41</v>
      </c>
      <c r="AY116" t="s">
        <v>333</v>
      </c>
    </row>
    <row r="117" spans="1:51" x14ac:dyDescent="0.25">
      <c r="A117" t="str">
        <f t="shared" si="10"/>
        <v>5000016583108010304</v>
      </c>
      <c r="B117">
        <v>1</v>
      </c>
      <c r="C117">
        <v>10801030</v>
      </c>
      <c r="D117">
        <v>4</v>
      </c>
      <c r="E117">
        <v>5000016583</v>
      </c>
      <c r="F117" t="s">
        <v>324</v>
      </c>
      <c r="G117">
        <v>1</v>
      </c>
      <c r="H117" t="s">
        <v>35</v>
      </c>
      <c r="I117" s="10">
        <v>45724</v>
      </c>
      <c r="K117" s="23">
        <v>4580000</v>
      </c>
      <c r="L117" t="s">
        <v>162</v>
      </c>
      <c r="M117" t="s">
        <v>36</v>
      </c>
      <c r="N117" t="s">
        <v>37</v>
      </c>
      <c r="O117" t="s">
        <v>38</v>
      </c>
      <c r="R117" t="s">
        <v>98</v>
      </c>
      <c r="S117" t="s">
        <v>39</v>
      </c>
      <c r="T117">
        <v>0</v>
      </c>
      <c r="U117">
        <v>79702242</v>
      </c>
      <c r="V117">
        <v>1</v>
      </c>
      <c r="W117">
        <v>0</v>
      </c>
      <c r="X117" t="s">
        <v>163</v>
      </c>
      <c r="Y117" s="10">
        <v>45721</v>
      </c>
      <c r="AD117" t="s">
        <v>41</v>
      </c>
      <c r="AY117" t="s">
        <v>334</v>
      </c>
    </row>
    <row r="118" spans="1:51" x14ac:dyDescent="0.25">
      <c r="A118" t="str">
        <f t="shared" si="10"/>
        <v>5000017376108009532</v>
      </c>
      <c r="B118">
        <v>1</v>
      </c>
      <c r="C118">
        <v>10800953</v>
      </c>
      <c r="D118">
        <v>2</v>
      </c>
      <c r="E118">
        <v>5000017376</v>
      </c>
      <c r="F118" t="s">
        <v>309</v>
      </c>
      <c r="G118">
        <v>1</v>
      </c>
      <c r="H118" t="s">
        <v>93</v>
      </c>
      <c r="I118" s="10">
        <v>45720</v>
      </c>
      <c r="K118" s="23">
        <v>200000</v>
      </c>
      <c r="L118" t="s">
        <v>162</v>
      </c>
      <c r="M118" t="s">
        <v>36</v>
      </c>
      <c r="N118" t="s">
        <v>37</v>
      </c>
      <c r="O118" t="s">
        <v>38</v>
      </c>
      <c r="R118" t="s">
        <v>98</v>
      </c>
      <c r="S118" t="s">
        <v>39</v>
      </c>
      <c r="T118">
        <v>0</v>
      </c>
      <c r="U118">
        <v>79702258</v>
      </c>
      <c r="V118">
        <v>1</v>
      </c>
      <c r="W118">
        <v>0</v>
      </c>
      <c r="X118" t="s">
        <v>163</v>
      </c>
      <c r="Y118" s="10">
        <v>45721</v>
      </c>
      <c r="AD118" t="s">
        <v>41</v>
      </c>
      <c r="AY118" t="s">
        <v>339</v>
      </c>
    </row>
    <row r="119" spans="1:51" x14ac:dyDescent="0.25">
      <c r="A119" t="str">
        <f t="shared" si="10"/>
        <v>5000015560108010301</v>
      </c>
      <c r="B119">
        <v>1</v>
      </c>
      <c r="C119">
        <v>10801030</v>
      </c>
      <c r="D119">
        <v>1</v>
      </c>
      <c r="E119">
        <v>5000015560</v>
      </c>
      <c r="F119" t="s">
        <v>319</v>
      </c>
      <c r="G119">
        <v>2</v>
      </c>
      <c r="H119" t="s">
        <v>93</v>
      </c>
      <c r="I119" s="10">
        <v>45724</v>
      </c>
      <c r="K119" s="23">
        <v>160000</v>
      </c>
      <c r="L119" t="s">
        <v>162</v>
      </c>
      <c r="M119" t="s">
        <v>36</v>
      </c>
      <c r="N119" t="s">
        <v>37</v>
      </c>
      <c r="O119" t="s">
        <v>38</v>
      </c>
      <c r="R119" t="s">
        <v>98</v>
      </c>
      <c r="S119" t="s">
        <v>39</v>
      </c>
      <c r="T119">
        <v>0</v>
      </c>
      <c r="U119">
        <v>79702259</v>
      </c>
      <c r="V119">
        <v>2</v>
      </c>
      <c r="W119">
        <v>0</v>
      </c>
      <c r="X119" t="s">
        <v>163</v>
      </c>
      <c r="Y119" s="10">
        <v>45721</v>
      </c>
      <c r="AD119" t="s">
        <v>41</v>
      </c>
      <c r="AY119" t="s">
        <v>320</v>
      </c>
    </row>
    <row r="120" spans="1:51" x14ac:dyDescent="0.25">
      <c r="A120" t="str">
        <f t="shared" si="10"/>
        <v>5000016659108010306</v>
      </c>
      <c r="B120">
        <v>2</v>
      </c>
      <c r="C120">
        <v>10801030</v>
      </c>
      <c r="D120">
        <v>6</v>
      </c>
      <c r="E120">
        <v>5000016659</v>
      </c>
      <c r="F120" t="s">
        <v>327</v>
      </c>
      <c r="G120">
        <v>2</v>
      </c>
      <c r="H120" t="s">
        <v>93</v>
      </c>
      <c r="I120" s="10">
        <v>45727</v>
      </c>
      <c r="K120" s="23">
        <v>105000</v>
      </c>
      <c r="L120" t="s">
        <v>162</v>
      </c>
      <c r="M120" t="s">
        <v>36</v>
      </c>
      <c r="N120" t="s">
        <v>37</v>
      </c>
      <c r="O120" t="s">
        <v>38</v>
      </c>
      <c r="R120" t="s">
        <v>98</v>
      </c>
      <c r="S120" t="s">
        <v>39</v>
      </c>
      <c r="T120">
        <v>0</v>
      </c>
      <c r="U120">
        <v>79702259</v>
      </c>
      <c r="V120">
        <v>2</v>
      </c>
      <c r="W120">
        <v>0</v>
      </c>
      <c r="X120" t="s">
        <v>163</v>
      </c>
      <c r="Y120" s="10">
        <v>45721</v>
      </c>
      <c r="AD120" t="s">
        <v>41</v>
      </c>
      <c r="AY120" t="s">
        <v>340</v>
      </c>
    </row>
    <row r="121" spans="1:51" x14ac:dyDescent="0.25">
      <c r="A121" t="str">
        <f t="shared" si="10"/>
        <v>5000017677108009091</v>
      </c>
      <c r="B121">
        <v>1</v>
      </c>
      <c r="C121">
        <v>10800909</v>
      </c>
      <c r="D121">
        <v>1</v>
      </c>
      <c r="E121">
        <v>5000017677</v>
      </c>
      <c r="F121" t="s">
        <v>299</v>
      </c>
      <c r="G121">
        <v>3</v>
      </c>
      <c r="H121" t="s">
        <v>300</v>
      </c>
      <c r="I121" s="10">
        <v>45717</v>
      </c>
      <c r="K121" s="23">
        <v>435000</v>
      </c>
      <c r="L121" t="s">
        <v>162</v>
      </c>
      <c r="M121" t="s">
        <v>36</v>
      </c>
      <c r="N121" t="s">
        <v>37</v>
      </c>
      <c r="O121" t="s">
        <v>38</v>
      </c>
      <c r="R121" t="s">
        <v>98</v>
      </c>
      <c r="S121" t="s">
        <v>39</v>
      </c>
      <c r="T121">
        <v>0</v>
      </c>
      <c r="U121">
        <v>79702281</v>
      </c>
      <c r="V121">
        <v>3</v>
      </c>
      <c r="W121">
        <v>0</v>
      </c>
      <c r="X121" t="s">
        <v>163</v>
      </c>
      <c r="Y121" s="10">
        <v>45722</v>
      </c>
      <c r="AD121" t="s">
        <v>41</v>
      </c>
      <c r="AY121" t="s">
        <v>301</v>
      </c>
    </row>
    <row r="122" spans="1:51" x14ac:dyDescent="0.25">
      <c r="A122" t="str">
        <f t="shared" si="10"/>
        <v>5000017676108009093</v>
      </c>
      <c r="B122">
        <v>2</v>
      </c>
      <c r="C122">
        <v>10800909</v>
      </c>
      <c r="D122">
        <v>3</v>
      </c>
      <c r="E122">
        <v>5000017676</v>
      </c>
      <c r="F122" t="s">
        <v>303</v>
      </c>
      <c r="G122">
        <v>3</v>
      </c>
      <c r="H122" t="s">
        <v>93</v>
      </c>
      <c r="I122" s="10">
        <v>45717</v>
      </c>
      <c r="K122" s="23">
        <v>65000</v>
      </c>
      <c r="L122" t="s">
        <v>162</v>
      </c>
      <c r="M122" t="s">
        <v>36</v>
      </c>
      <c r="N122" t="s">
        <v>37</v>
      </c>
      <c r="O122" t="s">
        <v>38</v>
      </c>
      <c r="R122" t="s">
        <v>98</v>
      </c>
      <c r="S122" t="s">
        <v>39</v>
      </c>
      <c r="T122">
        <v>0</v>
      </c>
      <c r="U122">
        <v>79702281</v>
      </c>
      <c r="V122">
        <v>3</v>
      </c>
      <c r="W122">
        <v>0</v>
      </c>
      <c r="X122" t="s">
        <v>163</v>
      </c>
      <c r="Y122" s="10">
        <v>45722</v>
      </c>
      <c r="AD122" t="s">
        <v>41</v>
      </c>
      <c r="AY122" t="s">
        <v>341</v>
      </c>
    </row>
    <row r="123" spans="1:51" x14ac:dyDescent="0.25">
      <c r="A123" t="str">
        <f t="shared" si="10"/>
        <v>5000016585108009261</v>
      </c>
      <c r="B123">
        <v>1</v>
      </c>
      <c r="C123">
        <v>10800926</v>
      </c>
      <c r="D123">
        <v>1</v>
      </c>
      <c r="E123">
        <v>5000016585</v>
      </c>
      <c r="F123" t="s">
        <v>306</v>
      </c>
      <c r="G123">
        <v>1</v>
      </c>
      <c r="H123" t="s">
        <v>35</v>
      </c>
      <c r="I123" s="10">
        <v>45719</v>
      </c>
      <c r="K123" s="23">
        <v>25000</v>
      </c>
      <c r="L123" t="s">
        <v>162</v>
      </c>
      <c r="M123" t="s">
        <v>36</v>
      </c>
      <c r="N123" t="s">
        <v>37</v>
      </c>
      <c r="O123" t="s">
        <v>38</v>
      </c>
      <c r="R123" t="s">
        <v>98</v>
      </c>
      <c r="S123" t="s">
        <v>39</v>
      </c>
      <c r="T123">
        <v>0</v>
      </c>
      <c r="U123">
        <v>79702282</v>
      </c>
      <c r="V123">
        <v>1</v>
      </c>
      <c r="W123">
        <v>0</v>
      </c>
      <c r="X123" t="s">
        <v>163</v>
      </c>
      <c r="Y123" s="10">
        <v>45722</v>
      </c>
      <c r="AD123" t="s">
        <v>41</v>
      </c>
      <c r="AY123" t="s">
        <v>307</v>
      </c>
    </row>
    <row r="124" spans="1:51" x14ac:dyDescent="0.25">
      <c r="A124" t="str">
        <f t="shared" si="10"/>
        <v>5000005340108010305</v>
      </c>
      <c r="B124">
        <v>2</v>
      </c>
      <c r="C124">
        <v>10801030</v>
      </c>
      <c r="D124">
        <v>5</v>
      </c>
      <c r="E124">
        <v>5000005340</v>
      </c>
      <c r="F124" t="s">
        <v>199</v>
      </c>
      <c r="G124">
        <v>1</v>
      </c>
      <c r="H124" t="s">
        <v>35</v>
      </c>
      <c r="I124" s="10">
        <v>45724</v>
      </c>
      <c r="K124" s="23">
        <v>155000</v>
      </c>
      <c r="L124" t="s">
        <v>162</v>
      </c>
      <c r="M124" t="s">
        <v>36</v>
      </c>
      <c r="N124" t="s">
        <v>37</v>
      </c>
      <c r="O124" t="s">
        <v>38</v>
      </c>
      <c r="R124" t="s">
        <v>98</v>
      </c>
      <c r="S124" t="s">
        <v>39</v>
      </c>
      <c r="T124">
        <v>0</v>
      </c>
      <c r="U124">
        <v>79702282</v>
      </c>
      <c r="V124">
        <v>1</v>
      </c>
      <c r="W124">
        <v>0</v>
      </c>
      <c r="X124" t="s">
        <v>163</v>
      </c>
      <c r="Y124" s="10">
        <v>45722</v>
      </c>
      <c r="AD124" t="s">
        <v>41</v>
      </c>
      <c r="AY124" t="s">
        <v>326</v>
      </c>
    </row>
    <row r="125" spans="1:51" x14ac:dyDescent="0.25">
      <c r="A125" t="str">
        <f t="shared" si="10"/>
        <v>5000012006108010307</v>
      </c>
      <c r="B125">
        <v>3</v>
      </c>
      <c r="C125">
        <v>10801030</v>
      </c>
      <c r="D125">
        <v>7</v>
      </c>
      <c r="E125">
        <v>5000012006</v>
      </c>
      <c r="F125" t="s">
        <v>328</v>
      </c>
      <c r="G125">
        <v>1</v>
      </c>
      <c r="H125" t="s">
        <v>35</v>
      </c>
      <c r="I125" s="10">
        <v>45727</v>
      </c>
      <c r="K125" s="23">
        <v>1750000</v>
      </c>
      <c r="L125" t="s">
        <v>162</v>
      </c>
      <c r="M125" t="s">
        <v>36</v>
      </c>
      <c r="N125" t="s">
        <v>37</v>
      </c>
      <c r="O125" t="s">
        <v>38</v>
      </c>
      <c r="R125" t="s">
        <v>98</v>
      </c>
      <c r="S125" t="s">
        <v>39</v>
      </c>
      <c r="T125">
        <v>0</v>
      </c>
      <c r="U125">
        <v>79702282</v>
      </c>
      <c r="V125">
        <v>1</v>
      </c>
      <c r="W125">
        <v>0</v>
      </c>
      <c r="X125" t="s">
        <v>163</v>
      </c>
      <c r="Y125" s="10">
        <v>45722</v>
      </c>
      <c r="AD125" t="s">
        <v>41</v>
      </c>
      <c r="AY125" t="s">
        <v>329</v>
      </c>
    </row>
    <row r="126" spans="1:51" x14ac:dyDescent="0.25">
      <c r="A126" t="str">
        <f t="shared" si="10"/>
        <v>5000016583108010304</v>
      </c>
      <c r="B126">
        <v>1</v>
      </c>
      <c r="C126">
        <v>10801030</v>
      </c>
      <c r="D126">
        <v>4</v>
      </c>
      <c r="E126">
        <v>5000016583</v>
      </c>
      <c r="F126" t="s">
        <v>324</v>
      </c>
      <c r="G126">
        <v>1</v>
      </c>
      <c r="H126" t="s">
        <v>35</v>
      </c>
      <c r="I126" s="10">
        <v>45724</v>
      </c>
      <c r="K126" s="23">
        <v>4580000</v>
      </c>
      <c r="L126" t="s">
        <v>162</v>
      </c>
      <c r="M126" t="s">
        <v>36</v>
      </c>
      <c r="N126" t="s">
        <v>37</v>
      </c>
      <c r="O126" t="s">
        <v>38</v>
      </c>
      <c r="R126" t="s">
        <v>98</v>
      </c>
      <c r="S126" t="s">
        <v>39</v>
      </c>
      <c r="T126">
        <v>0</v>
      </c>
      <c r="U126">
        <v>79702242</v>
      </c>
      <c r="V126">
        <v>0</v>
      </c>
      <c r="W126">
        <v>1</v>
      </c>
      <c r="X126" t="s">
        <v>163</v>
      </c>
      <c r="Y126" s="10">
        <v>45721</v>
      </c>
      <c r="AD126" t="s">
        <v>41</v>
      </c>
      <c r="AX126" t="s">
        <v>164</v>
      </c>
      <c r="AY126" t="s">
        <v>334</v>
      </c>
    </row>
    <row r="127" spans="1:51" x14ac:dyDescent="0.25">
      <c r="A127" t="str">
        <f t="shared" si="10"/>
        <v>5000015560108010301</v>
      </c>
      <c r="B127">
        <v>1</v>
      </c>
      <c r="C127">
        <v>10801030</v>
      </c>
      <c r="D127">
        <v>1</v>
      </c>
      <c r="E127">
        <v>5000015560</v>
      </c>
      <c r="F127" t="s">
        <v>319</v>
      </c>
      <c r="G127">
        <v>2</v>
      </c>
      <c r="H127" t="s">
        <v>93</v>
      </c>
      <c r="I127" s="10">
        <v>45724</v>
      </c>
      <c r="K127" s="23">
        <v>160000</v>
      </c>
      <c r="L127" t="s">
        <v>162</v>
      </c>
      <c r="M127" t="s">
        <v>36</v>
      </c>
      <c r="N127" t="s">
        <v>37</v>
      </c>
      <c r="O127" t="s">
        <v>38</v>
      </c>
      <c r="R127" t="s">
        <v>98</v>
      </c>
      <c r="S127" t="s">
        <v>39</v>
      </c>
      <c r="T127">
        <v>0</v>
      </c>
      <c r="U127">
        <v>79702259</v>
      </c>
      <c r="V127">
        <v>2</v>
      </c>
      <c r="W127">
        <v>0</v>
      </c>
      <c r="X127" t="s">
        <v>163</v>
      </c>
      <c r="Y127" s="10">
        <v>45721</v>
      </c>
      <c r="AD127" t="s">
        <v>41</v>
      </c>
      <c r="AY127" t="s">
        <v>320</v>
      </c>
    </row>
    <row r="128" spans="1:51" x14ac:dyDescent="0.25">
      <c r="A128" t="str">
        <f t="shared" si="10"/>
        <v>5000016659108010306</v>
      </c>
      <c r="B128">
        <v>2</v>
      </c>
      <c r="C128">
        <v>10801030</v>
      </c>
      <c r="D128">
        <v>6</v>
      </c>
      <c r="E128">
        <v>5000016659</v>
      </c>
      <c r="F128" t="s">
        <v>327</v>
      </c>
      <c r="G128">
        <v>2</v>
      </c>
      <c r="H128" t="s">
        <v>93</v>
      </c>
      <c r="I128" s="10">
        <v>45727</v>
      </c>
      <c r="K128" s="23">
        <v>105000</v>
      </c>
      <c r="L128" t="s">
        <v>162</v>
      </c>
      <c r="M128" t="s">
        <v>36</v>
      </c>
      <c r="N128" t="s">
        <v>37</v>
      </c>
      <c r="O128" t="s">
        <v>38</v>
      </c>
      <c r="R128" t="s">
        <v>98</v>
      </c>
      <c r="S128" t="s">
        <v>39</v>
      </c>
      <c r="T128">
        <v>0</v>
      </c>
      <c r="U128">
        <v>79702259</v>
      </c>
      <c r="V128">
        <v>2</v>
      </c>
      <c r="W128">
        <v>0</v>
      </c>
      <c r="X128" t="s">
        <v>163</v>
      </c>
      <c r="Y128" s="10">
        <v>45721</v>
      </c>
      <c r="AD128" t="s">
        <v>41</v>
      </c>
      <c r="AY128" t="s">
        <v>340</v>
      </c>
    </row>
    <row r="129" spans="1:51" x14ac:dyDescent="0.25">
      <c r="A129" t="str">
        <f t="shared" si="10"/>
        <v>5000005340108010305</v>
      </c>
      <c r="B129">
        <v>2</v>
      </c>
      <c r="C129">
        <v>10801030</v>
      </c>
      <c r="D129">
        <v>5</v>
      </c>
      <c r="E129">
        <v>5000005340</v>
      </c>
      <c r="F129" t="s">
        <v>199</v>
      </c>
      <c r="G129">
        <v>1</v>
      </c>
      <c r="H129" t="s">
        <v>35</v>
      </c>
      <c r="I129" s="10">
        <v>45724</v>
      </c>
      <c r="K129" s="23">
        <v>155000</v>
      </c>
      <c r="L129" t="s">
        <v>162</v>
      </c>
      <c r="M129" t="s">
        <v>36</v>
      </c>
      <c r="N129" t="s">
        <v>37</v>
      </c>
      <c r="O129" t="s">
        <v>38</v>
      </c>
      <c r="R129" t="s">
        <v>98</v>
      </c>
      <c r="S129" t="s">
        <v>39</v>
      </c>
      <c r="T129">
        <v>0</v>
      </c>
      <c r="U129">
        <v>79702282</v>
      </c>
      <c r="V129">
        <v>0</v>
      </c>
      <c r="W129">
        <v>1</v>
      </c>
      <c r="X129" t="s">
        <v>163</v>
      </c>
      <c r="Y129" s="10">
        <v>45722</v>
      </c>
      <c r="AD129" t="s">
        <v>41</v>
      </c>
      <c r="AX129" t="s">
        <v>164</v>
      </c>
      <c r="AY129" t="s">
        <v>326</v>
      </c>
    </row>
    <row r="130" spans="1:51" x14ac:dyDescent="0.25">
      <c r="A130" t="str">
        <f t="shared" si="10"/>
        <v>5000012006108010307</v>
      </c>
      <c r="B130">
        <v>3</v>
      </c>
      <c r="C130">
        <v>10801030</v>
      </c>
      <c r="D130">
        <v>7</v>
      </c>
      <c r="E130">
        <v>5000012006</v>
      </c>
      <c r="F130" t="s">
        <v>328</v>
      </c>
      <c r="G130">
        <v>1</v>
      </c>
      <c r="H130" t="s">
        <v>35</v>
      </c>
      <c r="I130" s="10">
        <v>45727</v>
      </c>
      <c r="K130" s="23">
        <v>1750000</v>
      </c>
      <c r="L130" t="s">
        <v>162</v>
      </c>
      <c r="M130" t="s">
        <v>36</v>
      </c>
      <c r="N130" t="s">
        <v>37</v>
      </c>
      <c r="O130" t="s">
        <v>38</v>
      </c>
      <c r="R130" t="s">
        <v>98</v>
      </c>
      <c r="S130" t="s">
        <v>39</v>
      </c>
      <c r="T130">
        <v>0</v>
      </c>
      <c r="U130">
        <v>79702282</v>
      </c>
      <c r="V130">
        <v>0</v>
      </c>
      <c r="W130">
        <v>1</v>
      </c>
      <c r="X130" t="s">
        <v>163</v>
      </c>
      <c r="Y130" s="10">
        <v>45722</v>
      </c>
      <c r="AD130" t="s">
        <v>41</v>
      </c>
      <c r="AX130" t="s">
        <v>164</v>
      </c>
      <c r="AY130" t="s">
        <v>329</v>
      </c>
    </row>
    <row r="131" spans="1:51" x14ac:dyDescent="0.25">
      <c r="A131" t="str">
        <f t="shared" si="10"/>
        <v>5000017695108010302</v>
      </c>
      <c r="B131">
        <v>1</v>
      </c>
      <c r="C131">
        <v>10801030</v>
      </c>
      <c r="D131">
        <v>2</v>
      </c>
      <c r="E131">
        <v>5000017695</v>
      </c>
      <c r="F131" t="s">
        <v>345</v>
      </c>
      <c r="G131">
        <v>1</v>
      </c>
      <c r="H131" t="s">
        <v>35</v>
      </c>
      <c r="I131" s="10">
        <v>45724</v>
      </c>
      <c r="K131" s="23">
        <v>7612613</v>
      </c>
      <c r="L131" t="s">
        <v>162</v>
      </c>
      <c r="M131" t="s">
        <v>36</v>
      </c>
      <c r="N131" t="s">
        <v>37</v>
      </c>
      <c r="O131" t="s">
        <v>38</v>
      </c>
      <c r="R131" t="s">
        <v>98</v>
      </c>
      <c r="S131" t="s">
        <v>39</v>
      </c>
      <c r="T131">
        <v>0</v>
      </c>
      <c r="U131">
        <v>79702490</v>
      </c>
      <c r="V131">
        <v>1</v>
      </c>
      <c r="W131">
        <v>0</v>
      </c>
      <c r="X131" t="s">
        <v>163</v>
      </c>
      <c r="Y131" s="10">
        <v>45727</v>
      </c>
      <c r="AD131" t="s">
        <v>41</v>
      </c>
      <c r="AE131" t="s">
        <v>350</v>
      </c>
      <c r="AF131" t="s">
        <v>351</v>
      </c>
      <c r="AS131">
        <v>40526</v>
      </c>
      <c r="AT131" t="s">
        <v>352</v>
      </c>
      <c r="AU131" t="s">
        <v>353</v>
      </c>
      <c r="AV131" t="s">
        <v>354</v>
      </c>
      <c r="AW131" t="s">
        <v>355</v>
      </c>
      <c r="AY131" t="s">
        <v>356</v>
      </c>
    </row>
    <row r="132" spans="1:51" x14ac:dyDescent="0.25">
      <c r="A132" t="str">
        <f t="shared" si="10"/>
        <v>5000017481108010303</v>
      </c>
      <c r="B132">
        <v>2</v>
      </c>
      <c r="C132">
        <v>10801030</v>
      </c>
      <c r="D132">
        <v>3</v>
      </c>
      <c r="E132">
        <v>5000017481</v>
      </c>
      <c r="F132" t="s">
        <v>322</v>
      </c>
      <c r="G132">
        <v>1</v>
      </c>
      <c r="H132" t="s">
        <v>35</v>
      </c>
      <c r="I132" s="10">
        <v>45724</v>
      </c>
      <c r="K132" s="23">
        <v>3693694</v>
      </c>
      <c r="L132" t="s">
        <v>162</v>
      </c>
      <c r="M132" t="s">
        <v>36</v>
      </c>
      <c r="N132" t="s">
        <v>37</v>
      </c>
      <c r="O132" t="s">
        <v>38</v>
      </c>
      <c r="R132" t="s">
        <v>98</v>
      </c>
      <c r="S132" t="s">
        <v>39</v>
      </c>
      <c r="T132">
        <v>0</v>
      </c>
      <c r="U132">
        <v>79702490</v>
      </c>
      <c r="V132">
        <v>1</v>
      </c>
      <c r="W132">
        <v>0</v>
      </c>
      <c r="X132" t="s">
        <v>163</v>
      </c>
      <c r="Y132" s="10">
        <v>45727</v>
      </c>
      <c r="AD132" t="s">
        <v>41</v>
      </c>
      <c r="AY132" t="s">
        <v>357</v>
      </c>
    </row>
    <row r="133" spans="1:51" x14ac:dyDescent="0.25">
      <c r="A133" t="str">
        <f t="shared" si="10"/>
        <v>5000017686108011172</v>
      </c>
      <c r="B133">
        <v>1</v>
      </c>
      <c r="C133">
        <v>10801117</v>
      </c>
      <c r="D133">
        <v>2</v>
      </c>
      <c r="E133">
        <v>5000017686</v>
      </c>
      <c r="F133" t="s">
        <v>336</v>
      </c>
      <c r="G133">
        <v>1</v>
      </c>
      <c r="H133" t="s">
        <v>93</v>
      </c>
      <c r="I133" s="10">
        <v>45724</v>
      </c>
      <c r="K133" s="23">
        <v>85000</v>
      </c>
      <c r="L133" t="s">
        <v>162</v>
      </c>
      <c r="M133" t="s">
        <v>36</v>
      </c>
      <c r="N133" t="s">
        <v>37</v>
      </c>
      <c r="O133" t="s">
        <v>38</v>
      </c>
      <c r="R133" t="s">
        <v>98</v>
      </c>
      <c r="S133" t="s">
        <v>39</v>
      </c>
      <c r="T133">
        <v>0</v>
      </c>
      <c r="U133">
        <v>79702495</v>
      </c>
      <c r="V133">
        <v>1</v>
      </c>
      <c r="W133">
        <v>0</v>
      </c>
      <c r="X133" t="s">
        <v>163</v>
      </c>
      <c r="Y133" s="10">
        <v>45727</v>
      </c>
      <c r="AD133" t="s">
        <v>41</v>
      </c>
      <c r="AY133" t="s">
        <v>337</v>
      </c>
    </row>
    <row r="134" spans="1:51" x14ac:dyDescent="0.25">
      <c r="A134" t="str">
        <f t="shared" si="10"/>
        <v>5000004248108011341</v>
      </c>
      <c r="B134">
        <v>1</v>
      </c>
      <c r="C134">
        <v>10801134</v>
      </c>
      <c r="D134">
        <v>1</v>
      </c>
      <c r="E134">
        <v>5000004248</v>
      </c>
      <c r="F134" t="s">
        <v>155</v>
      </c>
      <c r="G134">
        <v>10</v>
      </c>
      <c r="H134" t="s">
        <v>93</v>
      </c>
      <c r="I134" s="10">
        <v>45729</v>
      </c>
      <c r="K134" s="23">
        <v>65000</v>
      </c>
      <c r="L134" t="s">
        <v>162</v>
      </c>
      <c r="M134" t="s">
        <v>36</v>
      </c>
      <c r="N134" t="s">
        <v>37</v>
      </c>
      <c r="O134" t="s">
        <v>38</v>
      </c>
      <c r="R134" t="s">
        <v>98</v>
      </c>
      <c r="S134" t="s">
        <v>39</v>
      </c>
      <c r="T134">
        <v>0</v>
      </c>
      <c r="U134">
        <v>79702498</v>
      </c>
      <c r="V134">
        <v>10</v>
      </c>
      <c r="W134">
        <v>0</v>
      </c>
      <c r="X134" t="s">
        <v>163</v>
      </c>
      <c r="Y134" s="10">
        <v>45727</v>
      </c>
      <c r="AD134" t="s">
        <v>41</v>
      </c>
      <c r="AY134" t="s">
        <v>338</v>
      </c>
    </row>
    <row r="135" spans="1:51" x14ac:dyDescent="0.25">
      <c r="A135" t="str">
        <f t="shared" si="10"/>
        <v>5000015000108011851</v>
      </c>
      <c r="B135">
        <v>1</v>
      </c>
      <c r="C135">
        <v>10801185</v>
      </c>
      <c r="D135">
        <v>1</v>
      </c>
      <c r="E135">
        <v>5000015000</v>
      </c>
      <c r="F135" t="s">
        <v>176</v>
      </c>
      <c r="G135">
        <v>2</v>
      </c>
      <c r="H135" t="s">
        <v>35</v>
      </c>
      <c r="I135" s="10">
        <v>45733</v>
      </c>
      <c r="K135" s="23">
        <v>350000</v>
      </c>
      <c r="L135" t="s">
        <v>162</v>
      </c>
      <c r="M135" t="s">
        <v>36</v>
      </c>
      <c r="N135" t="s">
        <v>37</v>
      </c>
      <c r="O135" t="s">
        <v>38</v>
      </c>
      <c r="R135" t="s">
        <v>98</v>
      </c>
      <c r="S135" t="s">
        <v>39</v>
      </c>
      <c r="T135">
        <v>0</v>
      </c>
      <c r="U135">
        <v>79702499</v>
      </c>
      <c r="V135">
        <v>2</v>
      </c>
      <c r="W135">
        <v>0</v>
      </c>
      <c r="X135" t="s">
        <v>163</v>
      </c>
      <c r="Y135" s="10">
        <v>45727</v>
      </c>
      <c r="AD135" t="s">
        <v>41</v>
      </c>
      <c r="AY135" t="s">
        <v>344</v>
      </c>
    </row>
    <row r="136" spans="1:51" x14ac:dyDescent="0.25">
      <c r="A136" t="str">
        <f t="shared" si="10"/>
        <v>5000008843108011852</v>
      </c>
      <c r="B136">
        <v>1</v>
      </c>
      <c r="C136">
        <v>10801185</v>
      </c>
      <c r="D136">
        <v>2</v>
      </c>
      <c r="E136">
        <v>5000008843</v>
      </c>
      <c r="F136" t="s">
        <v>150</v>
      </c>
      <c r="G136">
        <v>1</v>
      </c>
      <c r="H136" t="s">
        <v>35</v>
      </c>
      <c r="I136" s="10">
        <v>45733</v>
      </c>
      <c r="K136" s="23">
        <v>923424</v>
      </c>
      <c r="L136" t="s">
        <v>162</v>
      </c>
      <c r="M136" t="s">
        <v>36</v>
      </c>
      <c r="N136" t="s">
        <v>37</v>
      </c>
      <c r="O136" t="s">
        <v>38</v>
      </c>
      <c r="R136" t="s">
        <v>98</v>
      </c>
      <c r="S136" t="s">
        <v>39</v>
      </c>
      <c r="T136">
        <v>0</v>
      </c>
      <c r="U136">
        <v>79702500</v>
      </c>
      <c r="V136">
        <v>1</v>
      </c>
      <c r="W136">
        <v>0</v>
      </c>
      <c r="X136" t="s">
        <v>163</v>
      </c>
      <c r="Y136" s="10">
        <v>45727</v>
      </c>
      <c r="AD136" t="s">
        <v>41</v>
      </c>
      <c r="AY136" t="s">
        <v>358</v>
      </c>
    </row>
    <row r="137" spans="1:51" x14ac:dyDescent="0.25">
      <c r="A137" t="str">
        <f t="shared" si="10"/>
        <v>5000016930108008191</v>
      </c>
      <c r="B137">
        <v>1</v>
      </c>
      <c r="C137">
        <v>10800819</v>
      </c>
      <c r="D137">
        <v>1</v>
      </c>
      <c r="E137">
        <v>5000016930</v>
      </c>
      <c r="F137" t="s">
        <v>203</v>
      </c>
      <c r="G137">
        <v>1</v>
      </c>
      <c r="H137" t="s">
        <v>93</v>
      </c>
      <c r="I137" s="10">
        <v>45712</v>
      </c>
      <c r="K137" s="23">
        <v>180950</v>
      </c>
      <c r="L137" t="s">
        <v>162</v>
      </c>
      <c r="M137" t="s">
        <v>36</v>
      </c>
      <c r="N137" t="s">
        <v>37</v>
      </c>
      <c r="O137" t="s">
        <v>38</v>
      </c>
      <c r="R137" t="s">
        <v>98</v>
      </c>
      <c r="S137" t="s">
        <v>39</v>
      </c>
      <c r="T137">
        <v>0</v>
      </c>
      <c r="U137">
        <v>79702759</v>
      </c>
      <c r="V137">
        <v>1</v>
      </c>
      <c r="W137">
        <v>0</v>
      </c>
      <c r="X137" t="s">
        <v>163</v>
      </c>
      <c r="Y137" s="10">
        <v>45733</v>
      </c>
      <c r="AD137" t="s">
        <v>41</v>
      </c>
      <c r="AY137" t="s">
        <v>279</v>
      </c>
    </row>
    <row r="138" spans="1:51" x14ac:dyDescent="0.25">
      <c r="A138" t="str">
        <f t="shared" si="10"/>
        <v>5000016930108011171</v>
      </c>
      <c r="B138">
        <v>2</v>
      </c>
      <c r="C138">
        <v>10801117</v>
      </c>
      <c r="D138">
        <v>1</v>
      </c>
      <c r="E138">
        <v>5000016930</v>
      </c>
      <c r="F138" t="s">
        <v>203</v>
      </c>
      <c r="G138">
        <v>1</v>
      </c>
      <c r="H138" t="s">
        <v>93</v>
      </c>
      <c r="I138" s="10">
        <v>45728</v>
      </c>
      <c r="K138" s="23">
        <v>180950</v>
      </c>
      <c r="L138" t="s">
        <v>162</v>
      </c>
      <c r="M138" t="s">
        <v>36</v>
      </c>
      <c r="N138" t="s">
        <v>37</v>
      </c>
      <c r="O138" t="s">
        <v>38</v>
      </c>
      <c r="R138" t="s">
        <v>98</v>
      </c>
      <c r="S138" t="s">
        <v>39</v>
      </c>
      <c r="T138">
        <v>0</v>
      </c>
      <c r="U138">
        <v>79702759</v>
      </c>
      <c r="V138">
        <v>1</v>
      </c>
      <c r="W138">
        <v>0</v>
      </c>
      <c r="X138" t="s">
        <v>163</v>
      </c>
      <c r="Y138" s="10">
        <v>45733</v>
      </c>
      <c r="AD138" t="s">
        <v>41</v>
      </c>
      <c r="AY138" t="s">
        <v>335</v>
      </c>
    </row>
    <row r="139" spans="1:51" x14ac:dyDescent="0.25">
      <c r="A139" t="str">
        <f t="shared" ref="A139:A147" si="11">E139&amp;C139&amp;D139</f>
        <v>5000004248108011341</v>
      </c>
      <c r="B139">
        <v>1</v>
      </c>
      <c r="C139">
        <v>10801134</v>
      </c>
      <c r="D139">
        <v>1</v>
      </c>
      <c r="E139">
        <v>5000004248</v>
      </c>
      <c r="F139" t="s">
        <v>155</v>
      </c>
      <c r="G139">
        <v>10</v>
      </c>
      <c r="H139" t="s">
        <v>93</v>
      </c>
      <c r="I139" s="10">
        <v>45729</v>
      </c>
      <c r="K139" s="23">
        <v>65000</v>
      </c>
      <c r="L139" t="s">
        <v>162</v>
      </c>
      <c r="M139" t="s">
        <v>36</v>
      </c>
      <c r="N139" t="s">
        <v>37</v>
      </c>
      <c r="O139" t="s">
        <v>38</v>
      </c>
      <c r="R139" t="s">
        <v>98</v>
      </c>
      <c r="S139" t="s">
        <v>39</v>
      </c>
      <c r="T139">
        <v>0</v>
      </c>
      <c r="U139">
        <v>79702498</v>
      </c>
      <c r="V139">
        <v>0</v>
      </c>
      <c r="W139">
        <v>10</v>
      </c>
      <c r="X139" t="s">
        <v>163</v>
      </c>
      <c r="Y139" s="10">
        <v>45727</v>
      </c>
      <c r="AD139" t="s">
        <v>41</v>
      </c>
      <c r="AX139" t="s">
        <v>164</v>
      </c>
      <c r="AY139" t="s">
        <v>338</v>
      </c>
    </row>
    <row r="140" spans="1:51" x14ac:dyDescent="0.25">
      <c r="A140" t="str">
        <f t="shared" si="11"/>
        <v>5000015000108011851</v>
      </c>
      <c r="B140">
        <v>1</v>
      </c>
      <c r="C140">
        <v>10801185</v>
      </c>
      <c r="D140">
        <v>1</v>
      </c>
      <c r="E140">
        <v>5000015000</v>
      </c>
      <c r="F140" t="s">
        <v>176</v>
      </c>
      <c r="G140">
        <v>2</v>
      </c>
      <c r="H140" t="s">
        <v>35</v>
      </c>
      <c r="I140" s="10">
        <v>45733</v>
      </c>
      <c r="K140" s="23">
        <v>350000</v>
      </c>
      <c r="L140" t="s">
        <v>162</v>
      </c>
      <c r="M140" t="s">
        <v>36</v>
      </c>
      <c r="N140" t="s">
        <v>37</v>
      </c>
      <c r="O140" t="s">
        <v>38</v>
      </c>
      <c r="R140" t="s">
        <v>98</v>
      </c>
      <c r="S140" t="s">
        <v>39</v>
      </c>
      <c r="T140">
        <v>0</v>
      </c>
      <c r="U140">
        <v>79702499</v>
      </c>
      <c r="V140">
        <v>0</v>
      </c>
      <c r="W140">
        <v>2</v>
      </c>
      <c r="X140" t="s">
        <v>163</v>
      </c>
      <c r="Y140" s="10">
        <v>45727</v>
      </c>
      <c r="AD140" t="s">
        <v>41</v>
      </c>
      <c r="AX140" t="s">
        <v>164</v>
      </c>
      <c r="AY140" t="s">
        <v>344</v>
      </c>
    </row>
    <row r="141" spans="1:51" x14ac:dyDescent="0.25">
      <c r="A141" t="str">
        <f t="shared" si="11"/>
        <v>5000008843108011852</v>
      </c>
      <c r="B141">
        <v>1</v>
      </c>
      <c r="C141">
        <v>10801185</v>
      </c>
      <c r="D141">
        <v>2</v>
      </c>
      <c r="E141">
        <v>5000008843</v>
      </c>
      <c r="F141" t="s">
        <v>150</v>
      </c>
      <c r="G141">
        <v>1</v>
      </c>
      <c r="H141" t="s">
        <v>35</v>
      </c>
      <c r="I141" s="10">
        <v>45733</v>
      </c>
      <c r="K141" s="23">
        <v>923424</v>
      </c>
      <c r="L141" t="s">
        <v>162</v>
      </c>
      <c r="M141" t="s">
        <v>36</v>
      </c>
      <c r="N141" t="s">
        <v>37</v>
      </c>
      <c r="O141" t="s">
        <v>38</v>
      </c>
      <c r="R141" t="s">
        <v>98</v>
      </c>
      <c r="S141" t="s">
        <v>39</v>
      </c>
      <c r="T141">
        <v>0</v>
      </c>
      <c r="U141">
        <v>79702500</v>
      </c>
      <c r="V141">
        <v>0</v>
      </c>
      <c r="W141">
        <v>1</v>
      </c>
      <c r="X141" t="s">
        <v>163</v>
      </c>
      <c r="Y141" s="10">
        <v>45727</v>
      </c>
      <c r="AD141" t="s">
        <v>41</v>
      </c>
      <c r="AX141" t="s">
        <v>164</v>
      </c>
      <c r="AY141" t="s">
        <v>358</v>
      </c>
    </row>
    <row r="142" spans="1:51" x14ac:dyDescent="0.25">
      <c r="A142" t="str">
        <f t="shared" si="11"/>
        <v>5000016255108011853</v>
      </c>
      <c r="B142">
        <v>1</v>
      </c>
      <c r="C142">
        <v>10801185</v>
      </c>
      <c r="D142">
        <v>3</v>
      </c>
      <c r="E142">
        <v>5000016255</v>
      </c>
      <c r="F142" t="s">
        <v>110</v>
      </c>
      <c r="G142">
        <v>1</v>
      </c>
      <c r="H142" t="s">
        <v>93</v>
      </c>
      <c r="I142" s="10">
        <v>45733</v>
      </c>
      <c r="K142" s="23">
        <v>343000</v>
      </c>
      <c r="L142" t="s">
        <v>162</v>
      </c>
      <c r="M142" t="s">
        <v>36</v>
      </c>
      <c r="N142" t="s">
        <v>37</v>
      </c>
      <c r="O142" t="s">
        <v>38</v>
      </c>
      <c r="R142" t="s">
        <v>98</v>
      </c>
      <c r="S142" t="s">
        <v>39</v>
      </c>
      <c r="T142">
        <v>0</v>
      </c>
      <c r="U142">
        <v>79702840</v>
      </c>
      <c r="V142">
        <v>1</v>
      </c>
      <c r="W142">
        <v>0</v>
      </c>
      <c r="X142" t="s">
        <v>163</v>
      </c>
      <c r="Y142" s="10">
        <v>45735</v>
      </c>
      <c r="AA142" s="10"/>
      <c r="AD142" t="s">
        <v>41</v>
      </c>
      <c r="AY142" t="s">
        <v>347</v>
      </c>
    </row>
    <row r="143" spans="1:51" x14ac:dyDescent="0.25">
      <c r="A143" t="str">
        <f t="shared" si="11"/>
        <v>5000015916108012012</v>
      </c>
      <c r="B143">
        <v>2</v>
      </c>
      <c r="C143">
        <v>10801201</v>
      </c>
      <c r="D143">
        <v>2</v>
      </c>
      <c r="E143">
        <v>5000015916</v>
      </c>
      <c r="F143" t="s">
        <v>293</v>
      </c>
      <c r="G143">
        <v>1</v>
      </c>
      <c r="H143" t="s">
        <v>93</v>
      </c>
      <c r="I143" s="10">
        <v>45734</v>
      </c>
      <c r="K143" s="23">
        <v>105000</v>
      </c>
      <c r="L143" t="s">
        <v>162</v>
      </c>
      <c r="M143" t="s">
        <v>36</v>
      </c>
      <c r="N143" t="s">
        <v>37</v>
      </c>
      <c r="O143" t="s">
        <v>38</v>
      </c>
      <c r="R143" t="s">
        <v>98</v>
      </c>
      <c r="S143" t="s">
        <v>39</v>
      </c>
      <c r="T143">
        <v>0</v>
      </c>
      <c r="U143">
        <v>79702840</v>
      </c>
      <c r="V143">
        <v>1</v>
      </c>
      <c r="W143">
        <v>0</v>
      </c>
      <c r="X143" t="s">
        <v>163</v>
      </c>
      <c r="Y143" s="10">
        <v>45735</v>
      </c>
      <c r="AA143" s="10"/>
      <c r="AD143" t="s">
        <v>41</v>
      </c>
      <c r="AY143" t="s">
        <v>349</v>
      </c>
    </row>
    <row r="144" spans="1:51" x14ac:dyDescent="0.25">
      <c r="A144" t="str">
        <f t="shared" si="11"/>
        <v>5000011754108012011</v>
      </c>
      <c r="B144">
        <v>1</v>
      </c>
      <c r="C144">
        <v>10801201</v>
      </c>
      <c r="D144">
        <v>1</v>
      </c>
      <c r="E144">
        <v>5000011754</v>
      </c>
      <c r="F144" t="s">
        <v>99</v>
      </c>
      <c r="G144">
        <v>1</v>
      </c>
      <c r="H144" t="s">
        <v>93</v>
      </c>
      <c r="I144" s="10">
        <v>45734</v>
      </c>
      <c r="K144" s="23">
        <v>20000</v>
      </c>
      <c r="L144" t="s">
        <v>162</v>
      </c>
      <c r="M144" t="s">
        <v>36</v>
      </c>
      <c r="N144" t="s">
        <v>37</v>
      </c>
      <c r="O144" t="s">
        <v>38</v>
      </c>
      <c r="R144" t="s">
        <v>98</v>
      </c>
      <c r="S144" t="s">
        <v>39</v>
      </c>
      <c r="T144">
        <v>0</v>
      </c>
      <c r="U144">
        <v>79702845</v>
      </c>
      <c r="V144">
        <v>1</v>
      </c>
      <c r="W144">
        <v>0</v>
      </c>
      <c r="X144" t="s">
        <v>163</v>
      </c>
      <c r="Y144" s="10">
        <v>45735</v>
      </c>
      <c r="AD144" t="s">
        <v>41</v>
      </c>
      <c r="AY144" t="s">
        <v>348</v>
      </c>
    </row>
    <row r="145" spans="1:51" x14ac:dyDescent="0.25">
      <c r="A145" t="str">
        <f t="shared" si="11"/>
        <v>5000000740108012013</v>
      </c>
      <c r="B145">
        <v>2</v>
      </c>
      <c r="C145">
        <v>10801201</v>
      </c>
      <c r="D145">
        <v>3</v>
      </c>
      <c r="E145">
        <v>5000000740</v>
      </c>
      <c r="F145" t="s">
        <v>360</v>
      </c>
      <c r="G145">
        <v>6</v>
      </c>
      <c r="H145" t="s">
        <v>383</v>
      </c>
      <c r="I145" s="10">
        <v>45736</v>
      </c>
      <c r="K145" s="23">
        <v>300000</v>
      </c>
      <c r="L145" t="s">
        <v>162</v>
      </c>
      <c r="M145" t="s">
        <v>36</v>
      </c>
      <c r="N145" t="s">
        <v>37</v>
      </c>
      <c r="O145" t="s">
        <v>38</v>
      </c>
      <c r="R145" t="s">
        <v>98</v>
      </c>
      <c r="S145" t="s">
        <v>39</v>
      </c>
      <c r="T145">
        <v>0</v>
      </c>
      <c r="U145">
        <v>79702845</v>
      </c>
      <c r="V145">
        <v>6</v>
      </c>
      <c r="W145">
        <v>0</v>
      </c>
      <c r="X145" t="s">
        <v>163</v>
      </c>
      <c r="Y145" s="10">
        <v>45735</v>
      </c>
      <c r="AD145" t="s">
        <v>41</v>
      </c>
      <c r="AY145" t="s">
        <v>361</v>
      </c>
    </row>
    <row r="146" spans="1:51" x14ac:dyDescent="0.25">
      <c r="A146" t="str">
        <f t="shared" si="11"/>
        <v>5000015833108013384</v>
      </c>
      <c r="B146">
        <v>1</v>
      </c>
      <c r="C146">
        <v>10801338</v>
      </c>
      <c r="D146">
        <v>4</v>
      </c>
      <c r="E146">
        <v>5000015833</v>
      </c>
      <c r="F146" t="s">
        <v>370</v>
      </c>
      <c r="G146">
        <v>1</v>
      </c>
      <c r="H146" t="s">
        <v>35</v>
      </c>
      <c r="I146" s="10">
        <v>45742</v>
      </c>
      <c r="K146" s="23">
        <v>3693694</v>
      </c>
      <c r="L146" t="s">
        <v>162</v>
      </c>
      <c r="M146" t="s">
        <v>36</v>
      </c>
      <c r="N146" t="s">
        <v>37</v>
      </c>
      <c r="O146" t="s">
        <v>38</v>
      </c>
      <c r="R146" t="s">
        <v>98</v>
      </c>
      <c r="S146" t="s">
        <v>39</v>
      </c>
      <c r="T146">
        <v>0</v>
      </c>
      <c r="U146">
        <v>79702917</v>
      </c>
      <c r="V146">
        <v>1</v>
      </c>
      <c r="W146">
        <v>0</v>
      </c>
      <c r="X146" t="s">
        <v>163</v>
      </c>
      <c r="Y146" s="10">
        <v>45736</v>
      </c>
      <c r="AD146" t="s">
        <v>41</v>
      </c>
      <c r="AY146" t="s">
        <v>384</v>
      </c>
    </row>
    <row r="147" spans="1:51" x14ac:dyDescent="0.25">
      <c r="A147" t="str">
        <f t="shared" si="11"/>
        <v>5000000739108012832</v>
      </c>
      <c r="B147">
        <v>1</v>
      </c>
      <c r="C147">
        <v>10801283</v>
      </c>
      <c r="D147">
        <v>2</v>
      </c>
      <c r="E147">
        <v>5000000739</v>
      </c>
      <c r="F147" t="s">
        <v>261</v>
      </c>
      <c r="G147">
        <v>4</v>
      </c>
      <c r="H147" t="s">
        <v>262</v>
      </c>
      <c r="I147" s="10">
        <v>45741</v>
      </c>
      <c r="K147" s="23">
        <v>2175000</v>
      </c>
      <c r="L147" t="s">
        <v>162</v>
      </c>
      <c r="M147" t="s">
        <v>36</v>
      </c>
      <c r="N147" t="s">
        <v>37</v>
      </c>
      <c r="O147" t="s">
        <v>38</v>
      </c>
      <c r="R147" t="s">
        <v>98</v>
      </c>
      <c r="S147" t="s">
        <v>39</v>
      </c>
      <c r="T147">
        <v>0</v>
      </c>
      <c r="U147">
        <v>79702920</v>
      </c>
      <c r="V147">
        <v>4</v>
      </c>
      <c r="W147">
        <v>0</v>
      </c>
      <c r="X147" t="s">
        <v>163</v>
      </c>
      <c r="Y147" s="10">
        <v>45736</v>
      </c>
      <c r="AD147" t="s">
        <v>41</v>
      </c>
      <c r="AY147" t="s">
        <v>363</v>
      </c>
    </row>
    <row r="148" spans="1:51" x14ac:dyDescent="0.25">
      <c r="A148" t="str">
        <f t="shared" ref="A148:A149" si="12">E148&amp;C148&amp;D148</f>
        <v>5000000739108013381</v>
      </c>
      <c r="B148">
        <v>2</v>
      </c>
      <c r="C148">
        <v>10801338</v>
      </c>
      <c r="D148">
        <v>1</v>
      </c>
      <c r="E148">
        <v>5000000739</v>
      </c>
      <c r="F148" t="s">
        <v>261</v>
      </c>
      <c r="G148">
        <v>3</v>
      </c>
      <c r="H148" t="s">
        <v>262</v>
      </c>
      <c r="I148" s="10">
        <v>45742</v>
      </c>
      <c r="K148" s="23">
        <v>2175000</v>
      </c>
      <c r="L148" t="s">
        <v>162</v>
      </c>
      <c r="M148" t="s">
        <v>36</v>
      </c>
      <c r="N148" t="s">
        <v>37</v>
      </c>
      <c r="O148" t="s">
        <v>38</v>
      </c>
      <c r="R148" t="s">
        <v>98</v>
      </c>
      <c r="S148" t="s">
        <v>39</v>
      </c>
      <c r="T148">
        <v>0</v>
      </c>
      <c r="U148">
        <v>79702920</v>
      </c>
      <c r="V148">
        <v>3</v>
      </c>
      <c r="W148">
        <v>0</v>
      </c>
      <c r="X148" t="s">
        <v>163</v>
      </c>
      <c r="Y148" s="10">
        <v>45736</v>
      </c>
      <c r="AD148" t="s">
        <v>41</v>
      </c>
      <c r="AY148" t="s">
        <v>366</v>
      </c>
    </row>
    <row r="149" spans="1:51" x14ac:dyDescent="0.25">
      <c r="A149" t="str">
        <f t="shared" si="12"/>
        <v>5000000740108013382</v>
      </c>
      <c r="B149">
        <v>3</v>
      </c>
      <c r="C149">
        <v>10801338</v>
      </c>
      <c r="D149">
        <v>2</v>
      </c>
      <c r="E149">
        <v>5000000740</v>
      </c>
      <c r="F149" t="s">
        <v>360</v>
      </c>
      <c r="G149">
        <v>1</v>
      </c>
      <c r="H149" t="s">
        <v>383</v>
      </c>
      <c r="I149" s="10">
        <v>45742</v>
      </c>
      <c r="K149" s="23">
        <v>300000</v>
      </c>
      <c r="L149" t="s">
        <v>162</v>
      </c>
      <c r="M149" t="s">
        <v>36</v>
      </c>
      <c r="N149" t="s">
        <v>37</v>
      </c>
      <c r="O149" t="s">
        <v>38</v>
      </c>
      <c r="R149" t="s">
        <v>98</v>
      </c>
      <c r="S149" t="s">
        <v>39</v>
      </c>
      <c r="T149">
        <v>0</v>
      </c>
      <c r="U149">
        <v>79702920</v>
      </c>
      <c r="V149">
        <v>1</v>
      </c>
      <c r="W149">
        <v>0</v>
      </c>
      <c r="X149" t="s">
        <v>163</v>
      </c>
      <c r="Y149" s="10">
        <v>45736</v>
      </c>
      <c r="AD149" t="s">
        <v>41</v>
      </c>
      <c r="AY149" t="s">
        <v>367</v>
      </c>
    </row>
    <row r="150" spans="1:51" x14ac:dyDescent="0.25">
      <c r="A150" t="str">
        <f t="shared" ref="A150:A163" si="13">E150&amp;C150&amp;D150</f>
        <v>5000014668108013383</v>
      </c>
      <c r="B150">
        <v>1</v>
      </c>
      <c r="C150">
        <v>10801338</v>
      </c>
      <c r="D150">
        <v>3</v>
      </c>
      <c r="E150">
        <v>5000014668</v>
      </c>
      <c r="F150" t="s">
        <v>368</v>
      </c>
      <c r="G150">
        <v>1</v>
      </c>
      <c r="H150" t="s">
        <v>35</v>
      </c>
      <c r="I150" s="10">
        <v>45742</v>
      </c>
      <c r="K150" s="23">
        <v>2550000</v>
      </c>
      <c r="L150" t="s">
        <v>162</v>
      </c>
      <c r="M150" t="s">
        <v>36</v>
      </c>
      <c r="N150" t="s">
        <v>37</v>
      </c>
      <c r="O150" t="s">
        <v>38</v>
      </c>
      <c r="R150" t="s">
        <v>98</v>
      </c>
      <c r="S150" t="s">
        <v>39</v>
      </c>
      <c r="T150">
        <v>0</v>
      </c>
      <c r="U150">
        <v>79702930</v>
      </c>
      <c r="V150">
        <v>1</v>
      </c>
      <c r="W150">
        <v>0</v>
      </c>
      <c r="X150" t="s">
        <v>163</v>
      </c>
      <c r="Y150" s="10">
        <v>45736</v>
      </c>
      <c r="AD150" t="s">
        <v>41</v>
      </c>
      <c r="AY150" t="s">
        <v>369</v>
      </c>
    </row>
    <row r="151" spans="1:51" x14ac:dyDescent="0.25">
      <c r="A151" t="str">
        <f t="shared" si="13"/>
        <v>5000004248108011341</v>
      </c>
      <c r="B151">
        <v>1</v>
      </c>
      <c r="C151">
        <v>10801134</v>
      </c>
      <c r="D151">
        <v>1</v>
      </c>
      <c r="E151">
        <v>5000004248</v>
      </c>
      <c r="F151" t="s">
        <v>155</v>
      </c>
      <c r="G151">
        <v>10</v>
      </c>
      <c r="H151" t="s">
        <v>93</v>
      </c>
      <c r="I151" s="10">
        <v>45729</v>
      </c>
      <c r="K151" s="23">
        <v>65000</v>
      </c>
      <c r="L151" t="s">
        <v>162</v>
      </c>
      <c r="M151" t="s">
        <v>36</v>
      </c>
      <c r="N151" t="s">
        <v>37</v>
      </c>
      <c r="O151" t="s">
        <v>38</v>
      </c>
      <c r="R151" t="s">
        <v>98</v>
      </c>
      <c r="S151" t="s">
        <v>39</v>
      </c>
      <c r="T151">
        <v>0</v>
      </c>
      <c r="U151">
        <v>79702498</v>
      </c>
      <c r="V151">
        <v>0</v>
      </c>
      <c r="W151">
        <v>10</v>
      </c>
      <c r="X151" t="s">
        <v>163</v>
      </c>
      <c r="Y151" s="10">
        <v>45727</v>
      </c>
      <c r="AA151" s="25"/>
      <c r="AD151" t="s">
        <v>41</v>
      </c>
      <c r="AX151" t="s">
        <v>164</v>
      </c>
      <c r="AY151" t="s">
        <v>338</v>
      </c>
    </row>
    <row r="152" spans="1:51" x14ac:dyDescent="0.25">
      <c r="A152" t="str">
        <f t="shared" si="13"/>
        <v>5000000739108012832</v>
      </c>
      <c r="B152">
        <v>1</v>
      </c>
      <c r="C152">
        <v>10801283</v>
      </c>
      <c r="D152">
        <v>2</v>
      </c>
      <c r="E152">
        <v>5000000739</v>
      </c>
      <c r="F152" t="s">
        <v>261</v>
      </c>
      <c r="G152">
        <v>4</v>
      </c>
      <c r="H152" t="s">
        <v>262</v>
      </c>
      <c r="I152" s="10">
        <v>45741</v>
      </c>
      <c r="K152" s="23">
        <v>2175000</v>
      </c>
      <c r="L152" t="s">
        <v>162</v>
      </c>
      <c r="M152" t="s">
        <v>36</v>
      </c>
      <c r="N152" t="s">
        <v>37</v>
      </c>
      <c r="O152" t="s">
        <v>38</v>
      </c>
      <c r="R152" t="s">
        <v>98</v>
      </c>
      <c r="S152" t="s">
        <v>39</v>
      </c>
      <c r="T152">
        <v>0</v>
      </c>
      <c r="U152">
        <v>79702920</v>
      </c>
      <c r="V152">
        <v>4</v>
      </c>
      <c r="W152">
        <v>0</v>
      </c>
      <c r="X152" t="s">
        <v>163</v>
      </c>
      <c r="Y152" s="10">
        <v>45736</v>
      </c>
      <c r="AD152" t="s">
        <v>41</v>
      </c>
      <c r="AY152" t="s">
        <v>363</v>
      </c>
    </row>
    <row r="153" spans="1:51" x14ac:dyDescent="0.25">
      <c r="A153" t="str">
        <f t="shared" si="13"/>
        <v>5000015861108013422</v>
      </c>
      <c r="B153">
        <v>1</v>
      </c>
      <c r="C153">
        <v>10801342</v>
      </c>
      <c r="D153">
        <v>2</v>
      </c>
      <c r="E153">
        <v>5000015861</v>
      </c>
      <c r="F153" t="s">
        <v>174</v>
      </c>
      <c r="G153">
        <v>8</v>
      </c>
      <c r="H153" t="s">
        <v>35</v>
      </c>
      <c r="I153" s="10">
        <v>45743</v>
      </c>
      <c r="K153" s="23">
        <v>1000000</v>
      </c>
      <c r="L153" t="s">
        <v>162</v>
      </c>
      <c r="M153" t="s">
        <v>36</v>
      </c>
      <c r="N153" t="s">
        <v>37</v>
      </c>
      <c r="O153" t="s">
        <v>38</v>
      </c>
      <c r="R153" t="s">
        <v>98</v>
      </c>
      <c r="S153" t="s">
        <v>39</v>
      </c>
      <c r="T153">
        <v>0</v>
      </c>
      <c r="U153">
        <v>79702981</v>
      </c>
      <c r="V153">
        <v>8</v>
      </c>
      <c r="W153">
        <v>0</v>
      </c>
      <c r="X153" t="s">
        <v>163</v>
      </c>
      <c r="Y153" s="10">
        <v>45737</v>
      </c>
      <c r="AD153" t="s">
        <v>41</v>
      </c>
      <c r="AY153" t="s">
        <v>373</v>
      </c>
    </row>
    <row r="154" spans="1:51" x14ac:dyDescent="0.25">
      <c r="A154" t="str">
        <f t="shared" si="13"/>
        <v>5000015000108013423</v>
      </c>
      <c r="B154">
        <v>2</v>
      </c>
      <c r="C154">
        <v>10801342</v>
      </c>
      <c r="D154">
        <v>3</v>
      </c>
      <c r="E154">
        <v>5000015000</v>
      </c>
      <c r="F154" t="s">
        <v>176</v>
      </c>
      <c r="G154">
        <v>8</v>
      </c>
      <c r="H154" t="s">
        <v>35</v>
      </c>
      <c r="I154" s="10">
        <v>45743</v>
      </c>
      <c r="K154" s="23">
        <v>350000</v>
      </c>
      <c r="L154" t="s">
        <v>162</v>
      </c>
      <c r="M154" t="s">
        <v>36</v>
      </c>
      <c r="N154" t="s">
        <v>37</v>
      </c>
      <c r="O154" t="s">
        <v>38</v>
      </c>
      <c r="R154" t="s">
        <v>98</v>
      </c>
      <c r="S154" t="s">
        <v>39</v>
      </c>
      <c r="T154">
        <v>0</v>
      </c>
      <c r="U154">
        <v>79702981</v>
      </c>
      <c r="V154">
        <v>8</v>
      </c>
      <c r="W154">
        <v>0</v>
      </c>
      <c r="X154" t="s">
        <v>163</v>
      </c>
      <c r="Y154" s="10">
        <v>45737</v>
      </c>
      <c r="AD154" t="s">
        <v>41</v>
      </c>
      <c r="AY154" t="s">
        <v>374</v>
      </c>
    </row>
    <row r="155" spans="1:51" x14ac:dyDescent="0.25">
      <c r="A155" t="str">
        <f t="shared" si="13"/>
        <v>5000008843108013424</v>
      </c>
      <c r="B155">
        <v>1</v>
      </c>
      <c r="C155">
        <v>10801342</v>
      </c>
      <c r="D155">
        <v>4</v>
      </c>
      <c r="E155">
        <v>5000008843</v>
      </c>
      <c r="F155" t="s">
        <v>150</v>
      </c>
      <c r="G155">
        <v>1</v>
      </c>
      <c r="H155" t="s">
        <v>35</v>
      </c>
      <c r="I155" s="10">
        <v>45743</v>
      </c>
      <c r="K155" s="23">
        <v>923424</v>
      </c>
      <c r="L155" t="s">
        <v>162</v>
      </c>
      <c r="M155" t="s">
        <v>36</v>
      </c>
      <c r="N155" t="s">
        <v>37</v>
      </c>
      <c r="O155" t="s">
        <v>38</v>
      </c>
      <c r="R155" t="s">
        <v>98</v>
      </c>
      <c r="S155" t="s">
        <v>39</v>
      </c>
      <c r="T155">
        <v>0</v>
      </c>
      <c r="U155">
        <v>79702989</v>
      </c>
      <c r="V155">
        <v>1</v>
      </c>
      <c r="W155">
        <v>0</v>
      </c>
      <c r="X155" t="s">
        <v>163</v>
      </c>
      <c r="Y155" s="10">
        <v>45737</v>
      </c>
      <c r="AD155" t="s">
        <v>41</v>
      </c>
      <c r="AY155" t="s">
        <v>390</v>
      </c>
    </row>
    <row r="156" spans="1:51" x14ac:dyDescent="0.25">
      <c r="A156" t="str">
        <f t="shared" si="13"/>
        <v>50000164281080134210</v>
      </c>
      <c r="B156">
        <v>2</v>
      </c>
      <c r="C156">
        <v>10801342</v>
      </c>
      <c r="D156">
        <v>10</v>
      </c>
      <c r="E156">
        <v>5000016428</v>
      </c>
      <c r="F156" t="s">
        <v>157</v>
      </c>
      <c r="G156">
        <v>1</v>
      </c>
      <c r="H156" t="s">
        <v>35</v>
      </c>
      <c r="I156" s="10">
        <v>45743</v>
      </c>
      <c r="K156" s="23">
        <v>1531532</v>
      </c>
      <c r="L156" t="s">
        <v>162</v>
      </c>
      <c r="M156" t="s">
        <v>36</v>
      </c>
      <c r="N156" t="s">
        <v>37</v>
      </c>
      <c r="O156" t="s">
        <v>38</v>
      </c>
      <c r="R156" t="s">
        <v>98</v>
      </c>
      <c r="S156" t="s">
        <v>39</v>
      </c>
      <c r="T156">
        <v>0</v>
      </c>
      <c r="U156">
        <v>79702989</v>
      </c>
      <c r="V156">
        <v>1</v>
      </c>
      <c r="W156">
        <v>0</v>
      </c>
      <c r="X156" t="s">
        <v>163</v>
      </c>
      <c r="Y156" s="10">
        <v>45737</v>
      </c>
      <c r="AD156" t="s">
        <v>41</v>
      </c>
      <c r="AY156" t="s">
        <v>391</v>
      </c>
    </row>
    <row r="157" spans="1:51" x14ac:dyDescent="0.25">
      <c r="A157" t="str">
        <f t="shared" si="13"/>
        <v>5000016308108013425</v>
      </c>
      <c r="B157">
        <v>1</v>
      </c>
      <c r="C157">
        <v>10801342</v>
      </c>
      <c r="D157">
        <v>5</v>
      </c>
      <c r="E157">
        <v>5000016308</v>
      </c>
      <c r="F157" t="s">
        <v>143</v>
      </c>
      <c r="G157">
        <v>1</v>
      </c>
      <c r="H157" t="s">
        <v>35</v>
      </c>
      <c r="I157" s="10">
        <v>45743</v>
      </c>
      <c r="K157" s="23">
        <v>2980000</v>
      </c>
      <c r="L157" t="s">
        <v>162</v>
      </c>
      <c r="M157" t="s">
        <v>36</v>
      </c>
      <c r="N157" t="s">
        <v>37</v>
      </c>
      <c r="O157" t="s">
        <v>38</v>
      </c>
      <c r="R157" t="s">
        <v>98</v>
      </c>
      <c r="S157" t="s">
        <v>39</v>
      </c>
      <c r="T157">
        <v>0</v>
      </c>
      <c r="U157">
        <v>79702990</v>
      </c>
      <c r="V157">
        <v>1</v>
      </c>
      <c r="W157">
        <v>0</v>
      </c>
      <c r="X157" t="s">
        <v>163</v>
      </c>
      <c r="Y157" s="10">
        <v>45737</v>
      </c>
      <c r="AD157" t="s">
        <v>41</v>
      </c>
      <c r="AY157" t="s">
        <v>392</v>
      </c>
    </row>
    <row r="158" spans="1:51" x14ac:dyDescent="0.25">
      <c r="A158" t="str">
        <f t="shared" si="13"/>
        <v>5000016541108013421</v>
      </c>
      <c r="B158">
        <v>1</v>
      </c>
      <c r="C158">
        <v>10801342</v>
      </c>
      <c r="D158">
        <v>1</v>
      </c>
      <c r="E158">
        <v>5000016541</v>
      </c>
      <c r="F158" t="s">
        <v>181</v>
      </c>
      <c r="G158">
        <v>2</v>
      </c>
      <c r="H158" t="s">
        <v>93</v>
      </c>
      <c r="I158" s="10">
        <v>45743</v>
      </c>
      <c r="K158" s="23">
        <v>60000</v>
      </c>
      <c r="L158" t="s">
        <v>162</v>
      </c>
      <c r="M158" t="s">
        <v>36</v>
      </c>
      <c r="N158" t="s">
        <v>37</v>
      </c>
      <c r="O158" t="s">
        <v>38</v>
      </c>
      <c r="R158" t="s">
        <v>98</v>
      </c>
      <c r="S158" t="s">
        <v>39</v>
      </c>
      <c r="T158">
        <v>0</v>
      </c>
      <c r="U158">
        <v>79703017</v>
      </c>
      <c r="V158">
        <v>2</v>
      </c>
      <c r="W158">
        <v>0</v>
      </c>
      <c r="X158" t="s">
        <v>163</v>
      </c>
      <c r="Y158" s="10">
        <v>45738</v>
      </c>
      <c r="AD158" t="s">
        <v>41</v>
      </c>
      <c r="AY158" t="s">
        <v>372</v>
      </c>
    </row>
    <row r="159" spans="1:51" x14ac:dyDescent="0.25">
      <c r="A159" t="str">
        <f t="shared" si="13"/>
        <v>5000005059108013426</v>
      </c>
      <c r="B159">
        <v>2</v>
      </c>
      <c r="C159">
        <v>10801342</v>
      </c>
      <c r="D159">
        <v>6</v>
      </c>
      <c r="E159">
        <v>5000005059</v>
      </c>
      <c r="F159" t="s">
        <v>153</v>
      </c>
      <c r="G159">
        <v>1</v>
      </c>
      <c r="H159" t="s">
        <v>93</v>
      </c>
      <c r="I159" s="10">
        <v>45743</v>
      </c>
      <c r="K159" s="23">
        <v>95000</v>
      </c>
      <c r="L159" t="s">
        <v>162</v>
      </c>
      <c r="M159" t="s">
        <v>36</v>
      </c>
      <c r="N159" t="s">
        <v>37</v>
      </c>
      <c r="O159" t="s">
        <v>38</v>
      </c>
      <c r="R159" t="s">
        <v>98</v>
      </c>
      <c r="S159" t="s">
        <v>39</v>
      </c>
      <c r="T159">
        <v>0</v>
      </c>
      <c r="U159">
        <v>79703017</v>
      </c>
      <c r="V159">
        <v>1</v>
      </c>
      <c r="W159">
        <v>0</v>
      </c>
      <c r="X159" t="s">
        <v>163</v>
      </c>
      <c r="Y159" s="10">
        <v>45738</v>
      </c>
      <c r="AD159" t="s">
        <v>41</v>
      </c>
      <c r="AY159" t="s">
        <v>377</v>
      </c>
    </row>
    <row r="160" spans="1:51" x14ac:dyDescent="0.25">
      <c r="A160" t="str">
        <f t="shared" si="13"/>
        <v>5000004248108013427</v>
      </c>
      <c r="B160">
        <v>3</v>
      </c>
      <c r="C160">
        <v>10801342</v>
      </c>
      <c r="D160">
        <v>7</v>
      </c>
      <c r="E160">
        <v>5000004248</v>
      </c>
      <c r="F160" t="s">
        <v>155</v>
      </c>
      <c r="G160">
        <v>1</v>
      </c>
      <c r="H160" t="s">
        <v>93</v>
      </c>
      <c r="I160" s="10">
        <v>45743</v>
      </c>
      <c r="K160" s="23">
        <v>65000</v>
      </c>
      <c r="L160" t="s">
        <v>162</v>
      </c>
      <c r="M160" t="s">
        <v>36</v>
      </c>
      <c r="N160" t="s">
        <v>37</v>
      </c>
      <c r="O160" t="s">
        <v>38</v>
      </c>
      <c r="R160" t="s">
        <v>98</v>
      </c>
      <c r="S160" t="s">
        <v>39</v>
      </c>
      <c r="T160">
        <v>0</v>
      </c>
      <c r="U160">
        <v>79703017</v>
      </c>
      <c r="V160">
        <v>1</v>
      </c>
      <c r="W160">
        <v>0</v>
      </c>
      <c r="X160" t="s">
        <v>163</v>
      </c>
      <c r="Y160" s="10">
        <v>45738</v>
      </c>
      <c r="AD160" t="s">
        <v>41</v>
      </c>
      <c r="AY160" t="s">
        <v>378</v>
      </c>
    </row>
    <row r="161" spans="1:51" x14ac:dyDescent="0.25">
      <c r="A161" t="str">
        <f t="shared" si="13"/>
        <v>5000011754108013429</v>
      </c>
      <c r="B161">
        <v>4</v>
      </c>
      <c r="C161">
        <v>10801342</v>
      </c>
      <c r="D161">
        <v>9</v>
      </c>
      <c r="E161">
        <v>5000011754</v>
      </c>
      <c r="F161" t="s">
        <v>99</v>
      </c>
      <c r="G161">
        <v>2</v>
      </c>
      <c r="H161" t="s">
        <v>93</v>
      </c>
      <c r="I161" s="10">
        <v>45743</v>
      </c>
      <c r="K161" s="23">
        <v>20000</v>
      </c>
      <c r="L161" t="s">
        <v>162</v>
      </c>
      <c r="M161" t="s">
        <v>36</v>
      </c>
      <c r="N161" t="s">
        <v>37</v>
      </c>
      <c r="O161" t="s">
        <v>38</v>
      </c>
      <c r="R161" t="s">
        <v>98</v>
      </c>
      <c r="S161" t="s">
        <v>39</v>
      </c>
      <c r="T161">
        <v>0</v>
      </c>
      <c r="U161">
        <v>79703017</v>
      </c>
      <c r="V161">
        <v>2</v>
      </c>
      <c r="W161">
        <v>0</v>
      </c>
      <c r="X161" t="s">
        <v>163</v>
      </c>
      <c r="Y161" s="10">
        <v>45738</v>
      </c>
      <c r="AD161" t="s">
        <v>41</v>
      </c>
      <c r="AY161" t="s">
        <v>348</v>
      </c>
    </row>
    <row r="162" spans="1:51" x14ac:dyDescent="0.25">
      <c r="A162" t="str">
        <f t="shared" si="13"/>
        <v>50000139111080134212</v>
      </c>
      <c r="B162">
        <v>5</v>
      </c>
      <c r="C162">
        <v>10801342</v>
      </c>
      <c r="D162">
        <v>12</v>
      </c>
      <c r="E162">
        <v>5000013911</v>
      </c>
      <c r="F162" t="s">
        <v>385</v>
      </c>
      <c r="G162">
        <v>1</v>
      </c>
      <c r="H162" t="s">
        <v>93</v>
      </c>
      <c r="I162" s="10">
        <v>45743</v>
      </c>
      <c r="K162" s="23">
        <v>75000</v>
      </c>
      <c r="L162" t="s">
        <v>162</v>
      </c>
      <c r="M162" t="s">
        <v>36</v>
      </c>
      <c r="N162" t="s">
        <v>37</v>
      </c>
      <c r="O162" t="s">
        <v>38</v>
      </c>
      <c r="R162" t="s">
        <v>98</v>
      </c>
      <c r="S162" t="s">
        <v>39</v>
      </c>
      <c r="T162">
        <v>0</v>
      </c>
      <c r="U162">
        <v>79703017</v>
      </c>
      <c r="V162">
        <v>1</v>
      </c>
      <c r="W162">
        <v>0</v>
      </c>
      <c r="X162" t="s">
        <v>163</v>
      </c>
      <c r="Y162" s="10">
        <v>45738</v>
      </c>
      <c r="AD162" t="s">
        <v>41</v>
      </c>
      <c r="AY162" t="s">
        <v>386</v>
      </c>
    </row>
    <row r="163" spans="1:51" x14ac:dyDescent="0.25">
      <c r="A163" t="str">
        <f t="shared" si="13"/>
        <v>5000014904108013428</v>
      </c>
      <c r="B163">
        <v>1</v>
      </c>
      <c r="C163">
        <v>10801342</v>
      </c>
      <c r="D163">
        <v>8</v>
      </c>
      <c r="E163">
        <v>5000014904</v>
      </c>
      <c r="F163" t="s">
        <v>204</v>
      </c>
      <c r="G163">
        <v>1</v>
      </c>
      <c r="H163" t="s">
        <v>35</v>
      </c>
      <c r="I163" s="10">
        <v>45743</v>
      </c>
      <c r="K163" s="23">
        <v>1600000</v>
      </c>
      <c r="L163" t="s">
        <v>162</v>
      </c>
      <c r="M163" t="s">
        <v>36</v>
      </c>
      <c r="N163" t="s">
        <v>37</v>
      </c>
      <c r="O163" t="s">
        <v>38</v>
      </c>
      <c r="R163" t="s">
        <v>98</v>
      </c>
      <c r="S163" t="s">
        <v>39</v>
      </c>
      <c r="T163">
        <v>0</v>
      </c>
      <c r="U163">
        <v>79703018</v>
      </c>
      <c r="V163">
        <v>1</v>
      </c>
      <c r="W163">
        <v>0</v>
      </c>
      <c r="X163" t="s">
        <v>163</v>
      </c>
      <c r="Y163" s="10">
        <v>45738</v>
      </c>
      <c r="AD163" t="s">
        <v>41</v>
      </c>
      <c r="AY163" t="s">
        <v>379</v>
      </c>
    </row>
    <row r="164" spans="1:51" x14ac:dyDescent="0.25">
      <c r="A164" t="str">
        <f t="shared" ref="A164:A168" si="14">E164&amp;C164&amp;D164</f>
        <v>5000016554108012833</v>
      </c>
      <c r="B164">
        <v>1</v>
      </c>
      <c r="C164">
        <v>10801283</v>
      </c>
      <c r="D164">
        <v>3</v>
      </c>
      <c r="E164">
        <v>5000016554</v>
      </c>
      <c r="F164" t="s">
        <v>364</v>
      </c>
      <c r="G164">
        <v>400</v>
      </c>
      <c r="H164" t="s">
        <v>93</v>
      </c>
      <c r="I164" s="10">
        <v>45742</v>
      </c>
      <c r="K164">
        <v>2000</v>
      </c>
      <c r="L164" t="s">
        <v>162</v>
      </c>
      <c r="M164" t="s">
        <v>36</v>
      </c>
      <c r="N164" t="s">
        <v>37</v>
      </c>
      <c r="O164" t="s">
        <v>38</v>
      </c>
      <c r="R164" t="s">
        <v>98</v>
      </c>
      <c r="S164" t="s">
        <v>39</v>
      </c>
      <c r="T164">
        <v>0</v>
      </c>
      <c r="U164">
        <v>79703187</v>
      </c>
      <c r="V164">
        <v>400</v>
      </c>
      <c r="W164">
        <v>0</v>
      </c>
      <c r="X164" t="s">
        <v>163</v>
      </c>
      <c r="Y164" s="10">
        <v>45755</v>
      </c>
      <c r="AA164" s="10"/>
      <c r="AD164" t="s">
        <v>41</v>
      </c>
      <c r="AY164" t="s">
        <v>365</v>
      </c>
    </row>
    <row r="165" spans="1:51" x14ac:dyDescent="0.25">
      <c r="A165" t="str">
        <f t="shared" si="14"/>
        <v>5000015861108014462</v>
      </c>
      <c r="B165">
        <v>1</v>
      </c>
      <c r="C165">
        <v>10801446</v>
      </c>
      <c r="D165">
        <v>2</v>
      </c>
      <c r="E165">
        <v>5000015861</v>
      </c>
      <c r="F165" t="s">
        <v>174</v>
      </c>
      <c r="G165">
        <v>1</v>
      </c>
      <c r="H165" t="s">
        <v>35</v>
      </c>
      <c r="I165" s="10">
        <v>45750</v>
      </c>
      <c r="K165">
        <v>1000000</v>
      </c>
      <c r="L165" t="s">
        <v>162</v>
      </c>
      <c r="M165" t="s">
        <v>36</v>
      </c>
      <c r="N165" t="s">
        <v>37</v>
      </c>
      <c r="O165" t="s">
        <v>38</v>
      </c>
      <c r="R165" t="s">
        <v>98</v>
      </c>
      <c r="S165" t="s">
        <v>39</v>
      </c>
      <c r="T165">
        <v>0</v>
      </c>
      <c r="U165">
        <v>79703254</v>
      </c>
      <c r="V165">
        <v>1</v>
      </c>
      <c r="W165">
        <v>0</v>
      </c>
      <c r="X165" t="s">
        <v>163</v>
      </c>
      <c r="Y165" s="10">
        <v>45757</v>
      </c>
      <c r="AA165" s="10"/>
      <c r="AD165" t="s">
        <v>41</v>
      </c>
      <c r="AY165" t="s">
        <v>395</v>
      </c>
    </row>
    <row r="166" spans="1:51" x14ac:dyDescent="0.25">
      <c r="A166" t="str">
        <f t="shared" si="14"/>
        <v>5000015000108014463</v>
      </c>
      <c r="B166">
        <v>2</v>
      </c>
      <c r="C166">
        <v>10801446</v>
      </c>
      <c r="D166">
        <v>3</v>
      </c>
      <c r="E166">
        <v>5000015000</v>
      </c>
      <c r="F166" t="s">
        <v>176</v>
      </c>
      <c r="G166">
        <v>2</v>
      </c>
      <c r="H166" t="s">
        <v>35</v>
      </c>
      <c r="I166" s="10">
        <v>45750</v>
      </c>
      <c r="K166">
        <v>350000</v>
      </c>
      <c r="L166" t="s">
        <v>162</v>
      </c>
      <c r="M166" t="s">
        <v>36</v>
      </c>
      <c r="N166" t="s">
        <v>37</v>
      </c>
      <c r="O166" t="s">
        <v>38</v>
      </c>
      <c r="R166" t="s">
        <v>98</v>
      </c>
      <c r="S166" t="s">
        <v>39</v>
      </c>
      <c r="T166">
        <v>0</v>
      </c>
      <c r="U166">
        <v>79703254</v>
      </c>
      <c r="V166">
        <v>2</v>
      </c>
      <c r="W166">
        <v>0</v>
      </c>
      <c r="X166" t="s">
        <v>163</v>
      </c>
      <c r="Y166" s="10">
        <v>45757</v>
      </c>
      <c r="AD166" t="s">
        <v>41</v>
      </c>
      <c r="AY166" t="s">
        <v>396</v>
      </c>
    </row>
    <row r="167" spans="1:51" x14ac:dyDescent="0.25">
      <c r="A167" t="str">
        <f t="shared" si="14"/>
        <v>5000016728108014631</v>
      </c>
      <c r="B167">
        <v>1</v>
      </c>
      <c r="C167">
        <v>10801463</v>
      </c>
      <c r="D167">
        <v>1</v>
      </c>
      <c r="E167">
        <v>5000016728</v>
      </c>
      <c r="F167" t="s">
        <v>146</v>
      </c>
      <c r="G167">
        <v>1</v>
      </c>
      <c r="H167" t="s">
        <v>35</v>
      </c>
      <c r="I167" s="10">
        <v>45761</v>
      </c>
      <c r="K167">
        <v>346847</v>
      </c>
      <c r="L167" t="s">
        <v>162</v>
      </c>
      <c r="M167" t="s">
        <v>36</v>
      </c>
      <c r="N167" t="s">
        <v>37</v>
      </c>
      <c r="O167" t="s">
        <v>38</v>
      </c>
      <c r="R167" t="s">
        <v>98</v>
      </c>
      <c r="S167" t="s">
        <v>39</v>
      </c>
      <c r="T167">
        <v>0</v>
      </c>
      <c r="U167">
        <v>79703257</v>
      </c>
      <c r="V167">
        <v>1</v>
      </c>
      <c r="W167">
        <v>0</v>
      </c>
      <c r="X167" t="s">
        <v>163</v>
      </c>
      <c r="Y167" s="10">
        <v>45757</v>
      </c>
      <c r="AD167" t="s">
        <v>41</v>
      </c>
      <c r="AY167" t="s">
        <v>410</v>
      </c>
    </row>
    <row r="168" spans="1:51" x14ac:dyDescent="0.25">
      <c r="A168" t="str">
        <f t="shared" si="14"/>
        <v>5000016779108014632</v>
      </c>
      <c r="B168">
        <v>2</v>
      </c>
      <c r="C168">
        <v>10801463</v>
      </c>
      <c r="D168">
        <v>2</v>
      </c>
      <c r="E168">
        <v>5000016779</v>
      </c>
      <c r="F168" t="s">
        <v>267</v>
      </c>
      <c r="G168">
        <v>1</v>
      </c>
      <c r="H168" t="s">
        <v>35</v>
      </c>
      <c r="I168" s="10">
        <v>45761</v>
      </c>
      <c r="K168">
        <v>743243.3</v>
      </c>
      <c r="L168" t="s">
        <v>162</v>
      </c>
      <c r="M168" t="s">
        <v>36</v>
      </c>
      <c r="N168" t="s">
        <v>37</v>
      </c>
      <c r="O168" t="s">
        <v>38</v>
      </c>
      <c r="R168" t="s">
        <v>98</v>
      </c>
      <c r="S168" t="s">
        <v>39</v>
      </c>
      <c r="T168">
        <v>0</v>
      </c>
      <c r="U168">
        <v>79703257</v>
      </c>
      <c r="V168">
        <v>1</v>
      </c>
      <c r="W168">
        <v>0</v>
      </c>
      <c r="X168" t="s">
        <v>163</v>
      </c>
      <c r="Y168" s="10">
        <v>45757</v>
      </c>
      <c r="AD168" t="s">
        <v>41</v>
      </c>
      <c r="AY168" t="s">
        <v>411</v>
      </c>
    </row>
    <row r="169" spans="1:51" x14ac:dyDescent="0.25">
      <c r="A169" t="str">
        <f t="shared" ref="A169:A175" si="15">E169&amp;C169&amp;D169</f>
        <v>5000010980108011342</v>
      </c>
      <c r="B169">
        <v>1</v>
      </c>
      <c r="C169">
        <v>10801134</v>
      </c>
      <c r="D169">
        <v>2</v>
      </c>
      <c r="E169">
        <v>5000010980</v>
      </c>
      <c r="F169" t="s">
        <v>342</v>
      </c>
      <c r="G169">
        <v>1</v>
      </c>
      <c r="H169" t="s">
        <v>93</v>
      </c>
      <c r="I169" s="25">
        <v>45730</v>
      </c>
      <c r="K169">
        <v>450000</v>
      </c>
      <c r="L169" t="s">
        <v>162</v>
      </c>
      <c r="M169" t="s">
        <v>36</v>
      </c>
      <c r="N169" t="s">
        <v>37</v>
      </c>
      <c r="O169" t="s">
        <v>38</v>
      </c>
      <c r="R169" t="s">
        <v>98</v>
      </c>
      <c r="S169" t="s">
        <v>39</v>
      </c>
      <c r="T169">
        <v>0</v>
      </c>
      <c r="U169">
        <v>79703403</v>
      </c>
      <c r="V169">
        <v>1</v>
      </c>
      <c r="W169">
        <v>0</v>
      </c>
      <c r="X169" t="s">
        <v>163</v>
      </c>
      <c r="Y169" s="25">
        <v>45761</v>
      </c>
      <c r="AD169" t="s">
        <v>41</v>
      </c>
      <c r="AY169" t="s">
        <v>343</v>
      </c>
    </row>
    <row r="170" spans="1:51" x14ac:dyDescent="0.25">
      <c r="A170" t="str">
        <f t="shared" si="15"/>
        <v>5000004248108014464</v>
      </c>
      <c r="B170">
        <v>1</v>
      </c>
      <c r="C170">
        <v>10801446</v>
      </c>
      <c r="D170">
        <v>4</v>
      </c>
      <c r="E170">
        <v>5000004248</v>
      </c>
      <c r="F170" t="s">
        <v>155</v>
      </c>
      <c r="G170">
        <v>10</v>
      </c>
      <c r="H170" t="s">
        <v>93</v>
      </c>
      <c r="I170" s="25">
        <v>45750</v>
      </c>
      <c r="K170">
        <v>65000</v>
      </c>
      <c r="L170" t="s">
        <v>162</v>
      </c>
      <c r="M170" t="s">
        <v>36</v>
      </c>
      <c r="N170" t="s">
        <v>37</v>
      </c>
      <c r="O170" t="s">
        <v>38</v>
      </c>
      <c r="R170" t="s">
        <v>98</v>
      </c>
      <c r="S170" t="s">
        <v>39</v>
      </c>
      <c r="T170">
        <v>0</v>
      </c>
      <c r="U170">
        <v>79703408</v>
      </c>
      <c r="V170">
        <v>10</v>
      </c>
      <c r="W170">
        <v>0</v>
      </c>
      <c r="X170" t="s">
        <v>163</v>
      </c>
      <c r="Y170" s="25">
        <v>45761</v>
      </c>
      <c r="AD170" t="s">
        <v>41</v>
      </c>
      <c r="AY170" t="s">
        <v>397</v>
      </c>
    </row>
    <row r="171" spans="1:51" x14ac:dyDescent="0.25">
      <c r="A171" t="str">
        <f t="shared" si="15"/>
        <v>5000016930108012831</v>
      </c>
      <c r="B171">
        <v>1</v>
      </c>
      <c r="C171">
        <v>10801283</v>
      </c>
      <c r="D171">
        <v>1</v>
      </c>
      <c r="E171">
        <v>5000016930</v>
      </c>
      <c r="F171" t="s">
        <v>203</v>
      </c>
      <c r="G171">
        <v>2</v>
      </c>
      <c r="H171" t="s">
        <v>93</v>
      </c>
      <c r="I171" s="25">
        <v>45740</v>
      </c>
      <c r="K171">
        <v>190025</v>
      </c>
      <c r="L171" t="s">
        <v>162</v>
      </c>
      <c r="M171" t="s">
        <v>36</v>
      </c>
      <c r="N171" t="s">
        <v>37</v>
      </c>
      <c r="O171" t="s">
        <v>38</v>
      </c>
      <c r="R171" t="s">
        <v>98</v>
      </c>
      <c r="S171" t="s">
        <v>39</v>
      </c>
      <c r="T171">
        <v>0</v>
      </c>
      <c r="U171">
        <v>79703475</v>
      </c>
      <c r="V171">
        <v>2</v>
      </c>
      <c r="W171">
        <v>0</v>
      </c>
      <c r="X171" t="s">
        <v>163</v>
      </c>
      <c r="Y171" s="25">
        <v>45763</v>
      </c>
      <c r="AD171" t="s">
        <v>41</v>
      </c>
      <c r="AY171" t="s">
        <v>362</v>
      </c>
    </row>
    <row r="172" spans="1:51" x14ac:dyDescent="0.25">
      <c r="A172" t="str">
        <f t="shared" si="15"/>
        <v>5000016930108014465</v>
      </c>
      <c r="B172">
        <v>2</v>
      </c>
      <c r="C172">
        <v>10801446</v>
      </c>
      <c r="D172">
        <v>5</v>
      </c>
      <c r="E172">
        <v>5000016930</v>
      </c>
      <c r="F172" t="s">
        <v>203</v>
      </c>
      <c r="G172">
        <v>1</v>
      </c>
      <c r="H172" t="s">
        <v>93</v>
      </c>
      <c r="I172" s="25">
        <v>45750</v>
      </c>
      <c r="K172">
        <v>190025</v>
      </c>
      <c r="L172" t="s">
        <v>162</v>
      </c>
      <c r="M172" t="s">
        <v>36</v>
      </c>
      <c r="N172" t="s">
        <v>37</v>
      </c>
      <c r="O172" t="s">
        <v>38</v>
      </c>
      <c r="R172" t="s">
        <v>98</v>
      </c>
      <c r="S172" t="s">
        <v>39</v>
      </c>
      <c r="T172">
        <v>0</v>
      </c>
      <c r="U172">
        <v>79703475</v>
      </c>
      <c r="V172">
        <v>1</v>
      </c>
      <c r="W172">
        <v>0</v>
      </c>
      <c r="X172" t="s">
        <v>163</v>
      </c>
      <c r="Y172" s="25">
        <v>45763</v>
      </c>
      <c r="AD172" t="s">
        <v>41</v>
      </c>
      <c r="AY172" t="s">
        <v>398</v>
      </c>
    </row>
    <row r="173" spans="1:51" x14ac:dyDescent="0.25">
      <c r="A173" t="str">
        <f t="shared" si="15"/>
        <v>5000016930108014731</v>
      </c>
      <c r="B173">
        <v>3</v>
      </c>
      <c r="C173">
        <v>10801473</v>
      </c>
      <c r="D173">
        <v>1</v>
      </c>
      <c r="E173">
        <v>5000016930</v>
      </c>
      <c r="F173" t="s">
        <v>203</v>
      </c>
      <c r="G173">
        <v>1</v>
      </c>
      <c r="H173" t="s">
        <v>93</v>
      </c>
      <c r="I173" s="25">
        <v>45762</v>
      </c>
      <c r="K173">
        <v>190025</v>
      </c>
      <c r="L173" t="s">
        <v>162</v>
      </c>
      <c r="M173" t="s">
        <v>36</v>
      </c>
      <c r="N173" t="s">
        <v>37</v>
      </c>
      <c r="O173" t="s">
        <v>38</v>
      </c>
      <c r="R173" t="s">
        <v>98</v>
      </c>
      <c r="S173" t="s">
        <v>39</v>
      </c>
      <c r="T173">
        <v>0</v>
      </c>
      <c r="U173">
        <v>79703475</v>
      </c>
      <c r="V173">
        <v>1</v>
      </c>
      <c r="W173">
        <v>0</v>
      </c>
      <c r="X173" t="s">
        <v>163</v>
      </c>
      <c r="Y173" s="25">
        <v>45763</v>
      </c>
      <c r="AD173" t="s">
        <v>41</v>
      </c>
      <c r="AY173" t="s">
        <v>401</v>
      </c>
    </row>
    <row r="174" spans="1:51" x14ac:dyDescent="0.25">
      <c r="A174" t="str">
        <f t="shared" si="15"/>
        <v>5000016693108014732</v>
      </c>
      <c r="B174">
        <v>1</v>
      </c>
      <c r="C174">
        <v>10801473</v>
      </c>
      <c r="D174">
        <v>2</v>
      </c>
      <c r="E174">
        <v>5000016693</v>
      </c>
      <c r="F174" t="s">
        <v>402</v>
      </c>
      <c r="G174">
        <v>1</v>
      </c>
      <c r="H174" t="s">
        <v>93</v>
      </c>
      <c r="I174" s="25">
        <v>45762</v>
      </c>
      <c r="K174">
        <v>900000</v>
      </c>
      <c r="L174" t="s">
        <v>162</v>
      </c>
      <c r="M174" t="s">
        <v>36</v>
      </c>
      <c r="N174" t="s">
        <v>37</v>
      </c>
      <c r="O174" t="s">
        <v>38</v>
      </c>
      <c r="R174" t="s">
        <v>98</v>
      </c>
      <c r="S174" t="s">
        <v>39</v>
      </c>
      <c r="T174">
        <v>0</v>
      </c>
      <c r="U174">
        <v>79703485</v>
      </c>
      <c r="V174">
        <v>1</v>
      </c>
      <c r="W174">
        <v>0</v>
      </c>
      <c r="X174" t="s">
        <v>163</v>
      </c>
      <c r="Y174" s="25">
        <v>45764</v>
      </c>
      <c r="AD174" t="s">
        <v>41</v>
      </c>
      <c r="AY174" t="s">
        <v>403</v>
      </c>
    </row>
    <row r="175" spans="1:51" x14ac:dyDescent="0.25">
      <c r="A175" t="str">
        <f t="shared" si="15"/>
        <v>5000016692108014733</v>
      </c>
      <c r="B175">
        <v>2</v>
      </c>
      <c r="C175">
        <v>10801473</v>
      </c>
      <c r="D175">
        <v>3</v>
      </c>
      <c r="E175">
        <v>5000016692</v>
      </c>
      <c r="F175" t="s">
        <v>404</v>
      </c>
      <c r="G175">
        <v>1</v>
      </c>
      <c r="H175" t="s">
        <v>35</v>
      </c>
      <c r="I175" s="25">
        <v>45762</v>
      </c>
      <c r="K175">
        <v>425000</v>
      </c>
      <c r="L175" t="s">
        <v>162</v>
      </c>
      <c r="M175" t="s">
        <v>36</v>
      </c>
      <c r="N175" t="s">
        <v>37</v>
      </c>
      <c r="O175" t="s">
        <v>38</v>
      </c>
      <c r="R175" t="s">
        <v>98</v>
      </c>
      <c r="S175" t="s">
        <v>39</v>
      </c>
      <c r="T175">
        <v>0</v>
      </c>
      <c r="U175">
        <v>79703485</v>
      </c>
      <c r="V175">
        <v>1</v>
      </c>
      <c r="W175">
        <v>0</v>
      </c>
      <c r="X175" t="s">
        <v>163</v>
      </c>
      <c r="Y175" s="25">
        <v>45764</v>
      </c>
      <c r="AD175" t="s">
        <v>41</v>
      </c>
      <c r="AY175" t="s">
        <v>405</v>
      </c>
    </row>
    <row r="176" spans="1:51" x14ac:dyDescent="0.25">
      <c r="A176" t="str">
        <f t="shared" ref="A176:A191" si="16">E176&amp;C176&amp;D176</f>
        <v>5000008843108016591</v>
      </c>
      <c r="B176">
        <v>1</v>
      </c>
      <c r="C176">
        <v>10801659</v>
      </c>
      <c r="D176">
        <v>1</v>
      </c>
      <c r="E176">
        <v>5000008843</v>
      </c>
      <c r="F176" t="s">
        <v>150</v>
      </c>
      <c r="G176">
        <v>1</v>
      </c>
      <c r="H176" t="s">
        <v>35</v>
      </c>
      <c r="I176" s="25">
        <v>45771</v>
      </c>
      <c r="K176">
        <v>1025000</v>
      </c>
      <c r="L176" t="s">
        <v>162</v>
      </c>
      <c r="M176" t="s">
        <v>36</v>
      </c>
      <c r="N176" t="s">
        <v>37</v>
      </c>
      <c r="O176" t="s">
        <v>38</v>
      </c>
      <c r="R176" t="s">
        <v>98</v>
      </c>
      <c r="S176" t="s">
        <v>39</v>
      </c>
      <c r="T176">
        <v>0</v>
      </c>
      <c r="U176">
        <v>79703639</v>
      </c>
      <c r="V176">
        <v>0</v>
      </c>
      <c r="W176">
        <v>1</v>
      </c>
      <c r="X176" t="s">
        <v>163</v>
      </c>
      <c r="Y176" s="25">
        <v>45770</v>
      </c>
      <c r="Z176" t="s">
        <v>163</v>
      </c>
      <c r="AA176" s="25">
        <v>45770</v>
      </c>
      <c r="AD176" t="s">
        <v>41</v>
      </c>
      <c r="AX176" t="s">
        <v>164</v>
      </c>
      <c r="AY176" t="s">
        <v>416</v>
      </c>
    </row>
    <row r="177" spans="1:51" x14ac:dyDescent="0.25">
      <c r="A177" t="str">
        <f t="shared" si="16"/>
        <v>5000005059108016593</v>
      </c>
      <c r="B177">
        <v>2</v>
      </c>
      <c r="C177">
        <v>10801659</v>
      </c>
      <c r="D177">
        <v>3</v>
      </c>
      <c r="E177">
        <v>5000005059</v>
      </c>
      <c r="F177" t="s">
        <v>153</v>
      </c>
      <c r="G177">
        <v>1</v>
      </c>
      <c r="H177" t="s">
        <v>93</v>
      </c>
      <c r="I177" s="25">
        <v>45771</v>
      </c>
      <c r="K177">
        <v>95000</v>
      </c>
      <c r="L177" t="s">
        <v>162</v>
      </c>
      <c r="M177" t="s">
        <v>36</v>
      </c>
      <c r="N177" t="s">
        <v>37</v>
      </c>
      <c r="O177" t="s">
        <v>38</v>
      </c>
      <c r="R177" t="s">
        <v>98</v>
      </c>
      <c r="S177" t="s">
        <v>39</v>
      </c>
      <c r="T177">
        <v>0</v>
      </c>
      <c r="U177">
        <v>79703639</v>
      </c>
      <c r="V177">
        <v>0</v>
      </c>
      <c r="W177">
        <v>1</v>
      </c>
      <c r="X177" t="s">
        <v>163</v>
      </c>
      <c r="Y177" s="25">
        <v>45770</v>
      </c>
      <c r="AD177" t="s">
        <v>41</v>
      </c>
      <c r="AX177" t="s">
        <v>164</v>
      </c>
      <c r="AY177" t="s">
        <v>418</v>
      </c>
    </row>
    <row r="178" spans="1:51" x14ac:dyDescent="0.25">
      <c r="A178" t="str">
        <f t="shared" si="16"/>
        <v>5000004248108016594</v>
      </c>
      <c r="B178">
        <v>3</v>
      </c>
      <c r="C178">
        <v>10801659</v>
      </c>
      <c r="D178">
        <v>4</v>
      </c>
      <c r="E178">
        <v>5000004248</v>
      </c>
      <c r="F178" t="s">
        <v>155</v>
      </c>
      <c r="G178">
        <v>1</v>
      </c>
      <c r="H178" t="s">
        <v>93</v>
      </c>
      <c r="I178" s="25">
        <v>45771</v>
      </c>
      <c r="K178">
        <v>65000</v>
      </c>
      <c r="L178" t="s">
        <v>162</v>
      </c>
      <c r="M178" t="s">
        <v>36</v>
      </c>
      <c r="N178" t="s">
        <v>37</v>
      </c>
      <c r="O178" t="s">
        <v>38</v>
      </c>
      <c r="R178" t="s">
        <v>98</v>
      </c>
      <c r="S178" t="s">
        <v>39</v>
      </c>
      <c r="T178">
        <v>0</v>
      </c>
      <c r="U178">
        <v>79703639</v>
      </c>
      <c r="V178">
        <v>0</v>
      </c>
      <c r="W178">
        <v>1</v>
      </c>
      <c r="X178" t="s">
        <v>163</v>
      </c>
      <c r="Y178" s="25">
        <v>45770</v>
      </c>
      <c r="AD178" t="s">
        <v>41</v>
      </c>
      <c r="AX178" t="s">
        <v>164</v>
      </c>
      <c r="AY178" t="s">
        <v>419</v>
      </c>
    </row>
    <row r="179" spans="1:51" x14ac:dyDescent="0.25">
      <c r="A179" t="str">
        <f t="shared" si="16"/>
        <v>5000012021108016595</v>
      </c>
      <c r="B179">
        <v>4</v>
      </c>
      <c r="C179">
        <v>10801659</v>
      </c>
      <c r="D179">
        <v>5</v>
      </c>
      <c r="E179">
        <v>5000012021</v>
      </c>
      <c r="F179" t="s">
        <v>188</v>
      </c>
      <c r="G179">
        <v>1</v>
      </c>
      <c r="H179" t="s">
        <v>93</v>
      </c>
      <c r="I179" s="25">
        <v>45771</v>
      </c>
      <c r="K179">
        <v>30000</v>
      </c>
      <c r="L179" t="s">
        <v>162</v>
      </c>
      <c r="M179" t="s">
        <v>36</v>
      </c>
      <c r="N179" t="s">
        <v>37</v>
      </c>
      <c r="O179" t="s">
        <v>38</v>
      </c>
      <c r="R179" t="s">
        <v>98</v>
      </c>
      <c r="S179" t="s">
        <v>39</v>
      </c>
      <c r="T179">
        <v>0</v>
      </c>
      <c r="U179">
        <v>79703639</v>
      </c>
      <c r="V179">
        <v>0</v>
      </c>
      <c r="W179">
        <v>1</v>
      </c>
      <c r="X179" t="s">
        <v>163</v>
      </c>
      <c r="Y179" s="25">
        <v>45770</v>
      </c>
      <c r="AD179" t="s">
        <v>41</v>
      </c>
      <c r="AX179" t="s">
        <v>164</v>
      </c>
      <c r="AY179" t="s">
        <v>420</v>
      </c>
    </row>
    <row r="180" spans="1:51" x14ac:dyDescent="0.25">
      <c r="A180" t="str">
        <f t="shared" si="16"/>
        <v>5000017047108014461</v>
      </c>
      <c r="B180">
        <v>1</v>
      </c>
      <c r="C180">
        <v>10801446</v>
      </c>
      <c r="D180">
        <v>1</v>
      </c>
      <c r="E180">
        <v>5000017047</v>
      </c>
      <c r="F180" t="s">
        <v>393</v>
      </c>
      <c r="G180">
        <v>1</v>
      </c>
      <c r="H180" t="s">
        <v>93</v>
      </c>
      <c r="I180" s="25">
        <v>45749</v>
      </c>
      <c r="K180">
        <v>140000</v>
      </c>
      <c r="L180" t="s">
        <v>162</v>
      </c>
      <c r="M180" t="s">
        <v>36</v>
      </c>
      <c r="N180" t="s">
        <v>37</v>
      </c>
      <c r="O180" t="s">
        <v>38</v>
      </c>
      <c r="R180" t="s">
        <v>98</v>
      </c>
      <c r="S180" t="s">
        <v>39</v>
      </c>
      <c r="T180">
        <v>0</v>
      </c>
      <c r="U180">
        <v>79703640</v>
      </c>
      <c r="V180">
        <v>1</v>
      </c>
      <c r="W180">
        <v>0</v>
      </c>
      <c r="X180" t="s">
        <v>163</v>
      </c>
      <c r="Y180" s="25">
        <v>45770</v>
      </c>
      <c r="AD180" t="s">
        <v>41</v>
      </c>
      <c r="AY180" t="s">
        <v>394</v>
      </c>
    </row>
    <row r="181" spans="1:51" x14ac:dyDescent="0.25">
      <c r="A181" t="str">
        <f t="shared" si="16"/>
        <v>5000013499108017051</v>
      </c>
      <c r="B181">
        <v>2</v>
      </c>
      <c r="C181">
        <v>10801705</v>
      </c>
      <c r="D181">
        <v>1</v>
      </c>
      <c r="E181">
        <v>5000013499</v>
      </c>
      <c r="F181" t="s">
        <v>244</v>
      </c>
      <c r="G181">
        <v>1</v>
      </c>
      <c r="H181" t="s">
        <v>35</v>
      </c>
      <c r="I181" s="25">
        <v>45773</v>
      </c>
      <c r="K181">
        <v>290000</v>
      </c>
      <c r="L181" t="s">
        <v>162</v>
      </c>
      <c r="M181" t="s">
        <v>160</v>
      </c>
      <c r="N181" t="s">
        <v>37</v>
      </c>
      <c r="O181" t="s">
        <v>38</v>
      </c>
      <c r="R181" t="s">
        <v>98</v>
      </c>
      <c r="S181" t="s">
        <v>39</v>
      </c>
      <c r="T181">
        <v>0</v>
      </c>
      <c r="U181">
        <v>79703640</v>
      </c>
      <c r="V181">
        <v>1</v>
      </c>
      <c r="W181">
        <v>0</v>
      </c>
      <c r="X181" t="s">
        <v>163</v>
      </c>
      <c r="Y181" s="25">
        <v>45770</v>
      </c>
      <c r="AD181" t="s">
        <v>41</v>
      </c>
      <c r="AY181" t="s">
        <v>422</v>
      </c>
    </row>
    <row r="182" spans="1:51" x14ac:dyDescent="0.25">
      <c r="A182" t="str">
        <f t="shared" si="16"/>
        <v>5000016308108016592</v>
      </c>
      <c r="B182">
        <v>1</v>
      </c>
      <c r="C182">
        <v>10801659</v>
      </c>
      <c r="D182">
        <v>2</v>
      </c>
      <c r="E182">
        <v>5000016308</v>
      </c>
      <c r="F182" t="s">
        <v>143</v>
      </c>
      <c r="G182">
        <v>1</v>
      </c>
      <c r="H182" t="s">
        <v>35</v>
      </c>
      <c r="I182" s="25">
        <v>45771</v>
      </c>
      <c r="K182">
        <v>2980000</v>
      </c>
      <c r="L182" t="s">
        <v>162</v>
      </c>
      <c r="M182" t="s">
        <v>36</v>
      </c>
      <c r="N182" t="s">
        <v>37</v>
      </c>
      <c r="O182" t="s">
        <v>38</v>
      </c>
      <c r="R182" t="s">
        <v>98</v>
      </c>
      <c r="S182" t="s">
        <v>39</v>
      </c>
      <c r="T182">
        <v>0</v>
      </c>
      <c r="U182">
        <v>79703641</v>
      </c>
      <c r="V182">
        <v>1</v>
      </c>
      <c r="W182">
        <v>0</v>
      </c>
      <c r="X182" t="s">
        <v>163</v>
      </c>
      <c r="Y182" s="25">
        <v>45770</v>
      </c>
      <c r="AD182" t="s">
        <v>41</v>
      </c>
      <c r="AY182" t="s">
        <v>435</v>
      </c>
    </row>
    <row r="183" spans="1:51" x14ac:dyDescent="0.25">
      <c r="A183" t="str">
        <f t="shared" si="16"/>
        <v>5000016728108016596</v>
      </c>
      <c r="B183">
        <v>1</v>
      </c>
      <c r="C183">
        <v>10801659</v>
      </c>
      <c r="D183">
        <v>6</v>
      </c>
      <c r="E183">
        <v>5000016728</v>
      </c>
      <c r="F183" t="s">
        <v>146</v>
      </c>
      <c r="G183">
        <v>3</v>
      </c>
      <c r="H183" t="s">
        <v>35</v>
      </c>
      <c r="I183" s="25">
        <v>45771</v>
      </c>
      <c r="K183">
        <v>346847</v>
      </c>
      <c r="L183" t="s">
        <v>162</v>
      </c>
      <c r="M183" t="s">
        <v>36</v>
      </c>
      <c r="N183" t="s">
        <v>37</v>
      </c>
      <c r="O183" t="s">
        <v>38</v>
      </c>
      <c r="R183" t="s">
        <v>98</v>
      </c>
      <c r="S183" t="s">
        <v>39</v>
      </c>
      <c r="T183">
        <v>0</v>
      </c>
      <c r="U183">
        <v>79703645</v>
      </c>
      <c r="V183">
        <v>0</v>
      </c>
      <c r="W183">
        <v>3</v>
      </c>
      <c r="X183" t="s">
        <v>163</v>
      </c>
      <c r="Y183" s="25">
        <v>45770</v>
      </c>
      <c r="AD183" t="s">
        <v>41</v>
      </c>
      <c r="AX183" t="s">
        <v>164</v>
      </c>
      <c r="AY183" t="s">
        <v>436</v>
      </c>
    </row>
    <row r="184" spans="1:51" x14ac:dyDescent="0.25">
      <c r="A184" t="str">
        <f t="shared" si="16"/>
        <v>5000016375108017231</v>
      </c>
      <c r="B184">
        <v>2</v>
      </c>
      <c r="C184">
        <v>10801723</v>
      </c>
      <c r="D184">
        <v>1</v>
      </c>
      <c r="E184">
        <v>5000016375</v>
      </c>
      <c r="F184" t="s">
        <v>114</v>
      </c>
      <c r="G184">
        <v>1</v>
      </c>
      <c r="H184" t="s">
        <v>35</v>
      </c>
      <c r="I184" s="25">
        <v>45775</v>
      </c>
      <c r="K184">
        <v>2072072.1</v>
      </c>
      <c r="L184" t="s">
        <v>162</v>
      </c>
      <c r="M184" t="s">
        <v>36</v>
      </c>
      <c r="N184" t="s">
        <v>37</v>
      </c>
      <c r="O184" t="s">
        <v>38</v>
      </c>
      <c r="R184" t="s">
        <v>98</v>
      </c>
      <c r="S184" t="s">
        <v>39</v>
      </c>
      <c r="T184">
        <v>0</v>
      </c>
      <c r="U184">
        <v>79703645</v>
      </c>
      <c r="V184">
        <v>0</v>
      </c>
      <c r="W184">
        <v>1</v>
      </c>
      <c r="X184" t="s">
        <v>163</v>
      </c>
      <c r="Y184" s="25">
        <v>45770</v>
      </c>
      <c r="AD184" t="s">
        <v>41</v>
      </c>
      <c r="AX184" t="s">
        <v>164</v>
      </c>
      <c r="AY184" t="s">
        <v>437</v>
      </c>
    </row>
    <row r="185" spans="1:51" x14ac:dyDescent="0.25">
      <c r="A185" t="str">
        <f t="shared" si="16"/>
        <v>5000015861108016372</v>
      </c>
      <c r="B185">
        <v>1</v>
      </c>
      <c r="C185">
        <v>10801637</v>
      </c>
      <c r="D185">
        <v>2</v>
      </c>
      <c r="E185">
        <v>5000015861</v>
      </c>
      <c r="F185" t="s">
        <v>174</v>
      </c>
      <c r="G185">
        <v>1</v>
      </c>
      <c r="H185" t="s">
        <v>35</v>
      </c>
      <c r="I185" s="25">
        <v>45770</v>
      </c>
      <c r="K185">
        <v>1000000</v>
      </c>
      <c r="L185" t="s">
        <v>162</v>
      </c>
      <c r="M185" t="s">
        <v>36</v>
      </c>
      <c r="N185" t="s">
        <v>37</v>
      </c>
      <c r="O185" t="s">
        <v>38</v>
      </c>
      <c r="R185" t="s">
        <v>98</v>
      </c>
      <c r="S185" t="s">
        <v>39</v>
      </c>
      <c r="T185">
        <v>0</v>
      </c>
      <c r="U185">
        <v>79703646</v>
      </c>
      <c r="V185">
        <v>1</v>
      </c>
      <c r="W185">
        <v>0</v>
      </c>
      <c r="X185" t="s">
        <v>163</v>
      </c>
      <c r="Y185" s="25">
        <v>45770</v>
      </c>
      <c r="AD185" t="s">
        <v>41</v>
      </c>
      <c r="AY185" t="s">
        <v>414</v>
      </c>
    </row>
    <row r="186" spans="1:51" x14ac:dyDescent="0.25">
      <c r="A186" t="str">
        <f t="shared" si="16"/>
        <v>5000015000108016373</v>
      </c>
      <c r="B186">
        <v>2</v>
      </c>
      <c r="C186">
        <v>10801637</v>
      </c>
      <c r="D186">
        <v>3</v>
      </c>
      <c r="E186">
        <v>5000015000</v>
      </c>
      <c r="F186" t="s">
        <v>176</v>
      </c>
      <c r="G186">
        <v>1</v>
      </c>
      <c r="H186" t="s">
        <v>35</v>
      </c>
      <c r="I186" s="25">
        <v>45770</v>
      </c>
      <c r="K186">
        <v>350000</v>
      </c>
      <c r="L186" t="s">
        <v>162</v>
      </c>
      <c r="M186" t="s">
        <v>36</v>
      </c>
      <c r="N186" t="s">
        <v>37</v>
      </c>
      <c r="O186" t="s">
        <v>38</v>
      </c>
      <c r="R186" t="s">
        <v>98</v>
      </c>
      <c r="S186" t="s">
        <v>39</v>
      </c>
      <c r="T186">
        <v>0</v>
      </c>
      <c r="U186">
        <v>79703646</v>
      </c>
      <c r="V186">
        <v>1</v>
      </c>
      <c r="W186">
        <v>0</v>
      </c>
      <c r="X186" t="s">
        <v>163</v>
      </c>
      <c r="Y186" s="25">
        <v>45770</v>
      </c>
      <c r="AD186" t="s">
        <v>41</v>
      </c>
      <c r="AY186" t="s">
        <v>415</v>
      </c>
    </row>
    <row r="187" spans="1:51" x14ac:dyDescent="0.25">
      <c r="A187" t="str">
        <f t="shared" si="16"/>
        <v>5000017752108016371</v>
      </c>
      <c r="B187">
        <v>3</v>
      </c>
      <c r="C187">
        <v>10801637</v>
      </c>
      <c r="D187">
        <v>1</v>
      </c>
      <c r="E187">
        <v>5000017752</v>
      </c>
      <c r="F187" t="s">
        <v>412</v>
      </c>
      <c r="G187">
        <v>2</v>
      </c>
      <c r="H187" t="s">
        <v>93</v>
      </c>
      <c r="I187" s="25">
        <v>45769</v>
      </c>
      <c r="K187">
        <v>147000</v>
      </c>
      <c r="L187" t="s">
        <v>162</v>
      </c>
      <c r="M187" t="s">
        <v>36</v>
      </c>
      <c r="N187" t="s">
        <v>37</v>
      </c>
      <c r="O187" t="s">
        <v>38</v>
      </c>
      <c r="R187" t="s">
        <v>98</v>
      </c>
      <c r="S187" t="s">
        <v>39</v>
      </c>
      <c r="T187">
        <v>0</v>
      </c>
      <c r="U187">
        <v>79703640</v>
      </c>
      <c r="V187">
        <v>2</v>
      </c>
      <c r="W187">
        <v>0</v>
      </c>
      <c r="X187" t="s">
        <v>163</v>
      </c>
      <c r="Y187" s="25">
        <v>45770</v>
      </c>
      <c r="AD187" t="s">
        <v>41</v>
      </c>
      <c r="AY187" t="s">
        <v>438</v>
      </c>
    </row>
    <row r="188" spans="1:51" x14ac:dyDescent="0.25">
      <c r="A188" t="str">
        <f t="shared" si="16"/>
        <v>50000177171080134211</v>
      </c>
      <c r="B188">
        <v>1</v>
      </c>
      <c r="C188">
        <v>10801342</v>
      </c>
      <c r="D188">
        <v>11</v>
      </c>
      <c r="E188">
        <v>5000017717</v>
      </c>
      <c r="F188" t="s">
        <v>381</v>
      </c>
      <c r="G188">
        <v>4</v>
      </c>
      <c r="H188" t="s">
        <v>93</v>
      </c>
      <c r="I188" s="25">
        <v>45743</v>
      </c>
      <c r="K188">
        <v>600000</v>
      </c>
      <c r="L188" t="s">
        <v>162</v>
      </c>
      <c r="M188" t="s">
        <v>382</v>
      </c>
      <c r="N188" t="s">
        <v>37</v>
      </c>
      <c r="O188" t="s">
        <v>38</v>
      </c>
      <c r="R188" t="s">
        <v>98</v>
      </c>
      <c r="S188" t="s">
        <v>39</v>
      </c>
      <c r="T188">
        <v>0</v>
      </c>
      <c r="U188">
        <v>79703648</v>
      </c>
      <c r="V188">
        <v>4</v>
      </c>
      <c r="W188">
        <v>0</v>
      </c>
      <c r="X188" t="s">
        <v>163</v>
      </c>
      <c r="Y188" s="25">
        <v>45770</v>
      </c>
      <c r="AD188" t="s">
        <v>41</v>
      </c>
      <c r="AY188" t="s">
        <v>439</v>
      </c>
    </row>
    <row r="189" spans="1:51" x14ac:dyDescent="0.25">
      <c r="A189" t="str">
        <f t="shared" si="16"/>
        <v>5000015919108017742</v>
      </c>
      <c r="B189">
        <v>1</v>
      </c>
      <c r="C189">
        <v>10801774</v>
      </c>
      <c r="D189">
        <v>2</v>
      </c>
      <c r="E189">
        <v>5000015919</v>
      </c>
      <c r="F189" t="s">
        <v>425</v>
      </c>
      <c r="G189">
        <v>1</v>
      </c>
      <c r="H189" t="s">
        <v>35</v>
      </c>
      <c r="I189" s="25">
        <v>45777</v>
      </c>
      <c r="K189">
        <v>270000</v>
      </c>
      <c r="L189" t="s">
        <v>162</v>
      </c>
      <c r="M189" t="s">
        <v>36</v>
      </c>
      <c r="N189" t="s">
        <v>37</v>
      </c>
      <c r="O189" t="s">
        <v>38</v>
      </c>
      <c r="R189" t="s">
        <v>98</v>
      </c>
      <c r="S189" t="s">
        <v>39</v>
      </c>
      <c r="T189">
        <v>0</v>
      </c>
      <c r="U189">
        <v>79704089</v>
      </c>
      <c r="V189">
        <v>1</v>
      </c>
      <c r="W189">
        <v>0</v>
      </c>
      <c r="X189" t="s">
        <v>163</v>
      </c>
      <c r="Y189" s="25">
        <v>45782</v>
      </c>
      <c r="AD189" t="s">
        <v>41</v>
      </c>
      <c r="AY189" t="s">
        <v>426</v>
      </c>
    </row>
    <row r="190" spans="1:51" x14ac:dyDescent="0.25">
      <c r="A190" t="str">
        <f t="shared" si="16"/>
        <v>5000015970108017743</v>
      </c>
      <c r="B190">
        <v>2</v>
      </c>
      <c r="C190">
        <v>10801774</v>
      </c>
      <c r="D190">
        <v>3</v>
      </c>
      <c r="E190">
        <v>5000015970</v>
      </c>
      <c r="F190" t="s">
        <v>427</v>
      </c>
      <c r="G190">
        <v>1</v>
      </c>
      <c r="H190" t="s">
        <v>35</v>
      </c>
      <c r="I190" s="25">
        <v>45777</v>
      </c>
      <c r="K190">
        <v>48000</v>
      </c>
      <c r="L190" t="s">
        <v>162</v>
      </c>
      <c r="M190" t="s">
        <v>36</v>
      </c>
      <c r="N190" t="s">
        <v>37</v>
      </c>
      <c r="O190" t="s">
        <v>38</v>
      </c>
      <c r="R190" t="s">
        <v>98</v>
      </c>
      <c r="S190" t="s">
        <v>39</v>
      </c>
      <c r="T190">
        <v>0</v>
      </c>
      <c r="U190">
        <v>79704089</v>
      </c>
      <c r="V190">
        <v>1</v>
      </c>
      <c r="W190">
        <v>0</v>
      </c>
      <c r="X190" t="s">
        <v>163</v>
      </c>
      <c r="Y190" s="25">
        <v>45782</v>
      </c>
      <c r="AD190" t="s">
        <v>41</v>
      </c>
      <c r="AY190" t="s">
        <v>428</v>
      </c>
    </row>
    <row r="191" spans="1:51" x14ac:dyDescent="0.25">
      <c r="A191" t="str">
        <f t="shared" si="16"/>
        <v>5000016063108017744</v>
      </c>
      <c r="B191">
        <v>3</v>
      </c>
      <c r="C191">
        <v>10801774</v>
      </c>
      <c r="D191">
        <v>4</v>
      </c>
      <c r="E191">
        <v>5000016063</v>
      </c>
      <c r="F191" t="s">
        <v>429</v>
      </c>
      <c r="G191">
        <v>1</v>
      </c>
      <c r="H191" t="s">
        <v>93</v>
      </c>
      <c r="I191" s="25">
        <v>45777</v>
      </c>
      <c r="K191">
        <v>119000</v>
      </c>
      <c r="L191" t="s">
        <v>162</v>
      </c>
      <c r="M191" t="s">
        <v>36</v>
      </c>
      <c r="N191" t="s">
        <v>37</v>
      </c>
      <c r="O191" t="s">
        <v>38</v>
      </c>
      <c r="R191" t="s">
        <v>98</v>
      </c>
      <c r="S191" t="s">
        <v>39</v>
      </c>
      <c r="T191">
        <v>0</v>
      </c>
      <c r="U191">
        <v>79704089</v>
      </c>
      <c r="V191">
        <v>1</v>
      </c>
      <c r="W191">
        <v>0</v>
      </c>
      <c r="X191" t="s">
        <v>163</v>
      </c>
      <c r="Y191" s="25">
        <v>45782</v>
      </c>
      <c r="AD191" t="s">
        <v>41</v>
      </c>
      <c r="AY191" t="s">
        <v>430</v>
      </c>
    </row>
    <row r="192" spans="1:51" x14ac:dyDescent="0.25">
      <c r="A192" t="str">
        <f t="shared" ref="A192:A202" si="17">E192&amp;C192&amp;D192</f>
        <v>5000014291108018421</v>
      </c>
      <c r="B192">
        <v>4</v>
      </c>
      <c r="C192">
        <v>10801842</v>
      </c>
      <c r="D192">
        <v>1</v>
      </c>
      <c r="E192">
        <v>5000014291</v>
      </c>
      <c r="F192" t="s">
        <v>406</v>
      </c>
      <c r="G192">
        <v>1</v>
      </c>
      <c r="H192" t="s">
        <v>296</v>
      </c>
      <c r="I192" s="25">
        <v>45782</v>
      </c>
      <c r="K192">
        <v>92500</v>
      </c>
      <c r="L192" t="s">
        <v>162</v>
      </c>
      <c r="M192" t="s">
        <v>36</v>
      </c>
      <c r="N192" t="s">
        <v>37</v>
      </c>
      <c r="O192" t="s">
        <v>38</v>
      </c>
      <c r="R192" t="s">
        <v>98</v>
      </c>
      <c r="S192" t="s">
        <v>39</v>
      </c>
      <c r="T192">
        <v>0</v>
      </c>
      <c r="U192">
        <v>79704089</v>
      </c>
      <c r="V192">
        <v>1</v>
      </c>
      <c r="W192">
        <v>0</v>
      </c>
      <c r="X192" t="s">
        <v>163</v>
      </c>
      <c r="Y192" s="25">
        <v>45782</v>
      </c>
      <c r="AD192" t="s">
        <v>41</v>
      </c>
      <c r="AY192" t="s">
        <v>466</v>
      </c>
    </row>
    <row r="193" spans="1:51" x14ac:dyDescent="0.25">
      <c r="A193" t="str">
        <f t="shared" si="17"/>
        <v>5000017786108018422</v>
      </c>
      <c r="B193">
        <v>5</v>
      </c>
      <c r="C193">
        <v>10801842</v>
      </c>
      <c r="D193">
        <v>2</v>
      </c>
      <c r="E193">
        <v>5000017786</v>
      </c>
      <c r="F193" t="s">
        <v>433</v>
      </c>
      <c r="G193">
        <v>1</v>
      </c>
      <c r="H193" t="s">
        <v>93</v>
      </c>
      <c r="I193" s="25">
        <v>45782</v>
      </c>
      <c r="K193">
        <v>59500</v>
      </c>
      <c r="L193" t="s">
        <v>162</v>
      </c>
      <c r="M193" t="s">
        <v>36</v>
      </c>
      <c r="N193" t="s">
        <v>37</v>
      </c>
      <c r="O193" t="s">
        <v>38</v>
      </c>
      <c r="R193" t="s">
        <v>98</v>
      </c>
      <c r="S193" t="s">
        <v>39</v>
      </c>
      <c r="T193">
        <v>0</v>
      </c>
      <c r="U193">
        <v>79704089</v>
      </c>
      <c r="V193">
        <v>1</v>
      </c>
      <c r="W193">
        <v>0</v>
      </c>
      <c r="X193" t="s">
        <v>163</v>
      </c>
      <c r="Y193" s="25">
        <v>45782</v>
      </c>
      <c r="AD193" t="s">
        <v>41</v>
      </c>
      <c r="AY193" t="s">
        <v>434</v>
      </c>
    </row>
    <row r="194" spans="1:51" x14ac:dyDescent="0.25">
      <c r="A194" t="str">
        <f t="shared" si="17"/>
        <v>5000016255108018425</v>
      </c>
      <c r="B194">
        <v>6</v>
      </c>
      <c r="C194">
        <v>10801842</v>
      </c>
      <c r="D194">
        <v>5</v>
      </c>
      <c r="E194">
        <v>5000016255</v>
      </c>
      <c r="F194" t="s">
        <v>110</v>
      </c>
      <c r="G194">
        <v>1</v>
      </c>
      <c r="H194" t="s">
        <v>93</v>
      </c>
      <c r="I194" s="25">
        <v>45783</v>
      </c>
      <c r="K194">
        <v>343000</v>
      </c>
      <c r="L194" t="s">
        <v>162</v>
      </c>
      <c r="M194" t="s">
        <v>36</v>
      </c>
      <c r="N194" t="s">
        <v>37</v>
      </c>
      <c r="O194" t="s">
        <v>38</v>
      </c>
      <c r="R194" t="s">
        <v>98</v>
      </c>
      <c r="S194" t="s">
        <v>39</v>
      </c>
      <c r="T194">
        <v>0</v>
      </c>
      <c r="U194">
        <v>79704089</v>
      </c>
      <c r="V194">
        <v>1</v>
      </c>
      <c r="W194">
        <v>0</v>
      </c>
      <c r="X194" t="s">
        <v>163</v>
      </c>
      <c r="Y194" s="25">
        <v>45782</v>
      </c>
      <c r="AD194" t="s">
        <v>41</v>
      </c>
      <c r="AY194" t="s">
        <v>443</v>
      </c>
    </row>
    <row r="195" spans="1:51" x14ac:dyDescent="0.25">
      <c r="A195" t="str">
        <f t="shared" si="17"/>
        <v>5000005059108017745</v>
      </c>
      <c r="B195">
        <v>1</v>
      </c>
      <c r="C195">
        <v>10801774</v>
      </c>
      <c r="D195">
        <v>5</v>
      </c>
      <c r="E195">
        <v>5000005059</v>
      </c>
      <c r="F195" t="s">
        <v>153</v>
      </c>
      <c r="G195">
        <v>10</v>
      </c>
      <c r="H195" t="s">
        <v>93</v>
      </c>
      <c r="I195" s="25">
        <v>45779</v>
      </c>
      <c r="K195">
        <v>95000</v>
      </c>
      <c r="L195" t="s">
        <v>162</v>
      </c>
      <c r="M195" t="s">
        <v>36</v>
      </c>
      <c r="N195" t="s">
        <v>37</v>
      </c>
      <c r="O195" t="s">
        <v>38</v>
      </c>
      <c r="R195" t="s">
        <v>98</v>
      </c>
      <c r="S195" t="s">
        <v>39</v>
      </c>
      <c r="T195">
        <v>0</v>
      </c>
      <c r="U195">
        <v>79704092</v>
      </c>
      <c r="V195">
        <v>10</v>
      </c>
      <c r="W195">
        <v>0</v>
      </c>
      <c r="X195" t="s">
        <v>163</v>
      </c>
      <c r="Y195" s="25">
        <v>45782</v>
      </c>
      <c r="AD195" t="s">
        <v>41</v>
      </c>
      <c r="AY195" t="s">
        <v>431</v>
      </c>
    </row>
    <row r="196" spans="1:51" x14ac:dyDescent="0.25">
      <c r="A196" t="str">
        <f t="shared" si="17"/>
        <v>5000008843108018423</v>
      </c>
      <c r="B196">
        <v>2</v>
      </c>
      <c r="C196">
        <v>10801842</v>
      </c>
      <c r="D196">
        <v>3</v>
      </c>
      <c r="E196">
        <v>5000008843</v>
      </c>
      <c r="F196" t="s">
        <v>150</v>
      </c>
      <c r="G196">
        <v>1</v>
      </c>
      <c r="H196" t="s">
        <v>35</v>
      </c>
      <c r="I196" s="25">
        <v>45782</v>
      </c>
      <c r="K196">
        <v>1025000</v>
      </c>
      <c r="L196" t="s">
        <v>162</v>
      </c>
      <c r="M196" t="s">
        <v>36</v>
      </c>
      <c r="N196" t="s">
        <v>37</v>
      </c>
      <c r="O196" t="s">
        <v>38</v>
      </c>
      <c r="R196" t="s">
        <v>98</v>
      </c>
      <c r="S196" t="s">
        <v>39</v>
      </c>
      <c r="T196">
        <v>0</v>
      </c>
      <c r="U196">
        <v>79704092</v>
      </c>
      <c r="V196">
        <v>1</v>
      </c>
      <c r="W196">
        <v>0</v>
      </c>
      <c r="X196" t="s">
        <v>163</v>
      </c>
      <c r="Y196" s="25">
        <v>45782</v>
      </c>
      <c r="AD196" t="s">
        <v>41</v>
      </c>
      <c r="AY196" t="s">
        <v>440</v>
      </c>
    </row>
    <row r="197" spans="1:51" x14ac:dyDescent="0.25">
      <c r="A197" t="str">
        <f t="shared" si="17"/>
        <v>5000016248108018921</v>
      </c>
      <c r="B197">
        <v>3</v>
      </c>
      <c r="C197">
        <v>10801892</v>
      </c>
      <c r="D197">
        <v>1</v>
      </c>
      <c r="E197">
        <v>5000016248</v>
      </c>
      <c r="F197" t="s">
        <v>265</v>
      </c>
      <c r="G197">
        <v>1</v>
      </c>
      <c r="H197" t="s">
        <v>35</v>
      </c>
      <c r="I197" s="25">
        <v>45784</v>
      </c>
      <c r="K197">
        <v>1850000</v>
      </c>
      <c r="L197" t="s">
        <v>162</v>
      </c>
      <c r="M197" t="s">
        <v>36</v>
      </c>
      <c r="N197" t="s">
        <v>37</v>
      </c>
      <c r="O197" t="s">
        <v>38</v>
      </c>
      <c r="R197" t="s">
        <v>98</v>
      </c>
      <c r="S197" t="s">
        <v>39</v>
      </c>
      <c r="T197">
        <v>0</v>
      </c>
      <c r="U197">
        <v>79704092</v>
      </c>
      <c r="V197">
        <v>1</v>
      </c>
      <c r="W197">
        <v>0</v>
      </c>
      <c r="X197" t="s">
        <v>163</v>
      </c>
      <c r="Y197" s="25">
        <v>45782</v>
      </c>
      <c r="AD197" t="s">
        <v>41</v>
      </c>
      <c r="AY197" t="s">
        <v>444</v>
      </c>
    </row>
    <row r="198" spans="1:51" x14ac:dyDescent="0.25">
      <c r="A198" t="str">
        <f t="shared" si="17"/>
        <v>5000000739108018922</v>
      </c>
      <c r="B198">
        <v>4</v>
      </c>
      <c r="C198">
        <v>10801892</v>
      </c>
      <c r="D198">
        <v>2</v>
      </c>
      <c r="E198">
        <v>5000000739</v>
      </c>
      <c r="F198" t="s">
        <v>261</v>
      </c>
      <c r="G198">
        <v>2</v>
      </c>
      <c r="H198" t="s">
        <v>262</v>
      </c>
      <c r="I198" s="25">
        <v>45784</v>
      </c>
      <c r="K198">
        <v>2175000</v>
      </c>
      <c r="L198" t="s">
        <v>162</v>
      </c>
      <c r="M198" t="s">
        <v>36</v>
      </c>
      <c r="N198" t="s">
        <v>37</v>
      </c>
      <c r="O198" t="s">
        <v>38</v>
      </c>
      <c r="R198" t="s">
        <v>98</v>
      </c>
      <c r="S198" t="s">
        <v>39</v>
      </c>
      <c r="T198">
        <v>0</v>
      </c>
      <c r="U198">
        <v>79704092</v>
      </c>
      <c r="V198">
        <v>2</v>
      </c>
      <c r="W198">
        <v>0</v>
      </c>
      <c r="X198" t="s">
        <v>163</v>
      </c>
      <c r="Y198" s="25">
        <v>45782</v>
      </c>
      <c r="AD198" t="s">
        <v>41</v>
      </c>
      <c r="AY198" t="s">
        <v>445</v>
      </c>
    </row>
    <row r="199" spans="1:51" x14ac:dyDescent="0.25">
      <c r="A199" t="str">
        <f t="shared" si="17"/>
        <v>5000000740108018923</v>
      </c>
      <c r="B199">
        <v>5</v>
      </c>
      <c r="C199">
        <v>10801892</v>
      </c>
      <c r="D199">
        <v>3</v>
      </c>
      <c r="E199">
        <v>5000000740</v>
      </c>
      <c r="F199" t="s">
        <v>360</v>
      </c>
      <c r="G199">
        <v>1</v>
      </c>
      <c r="H199" t="s">
        <v>383</v>
      </c>
      <c r="I199" s="25">
        <v>45784</v>
      </c>
      <c r="K199">
        <v>300000</v>
      </c>
      <c r="L199" t="s">
        <v>162</v>
      </c>
      <c r="M199" t="s">
        <v>36</v>
      </c>
      <c r="N199" t="s">
        <v>37</v>
      </c>
      <c r="O199" t="s">
        <v>38</v>
      </c>
      <c r="R199" t="s">
        <v>98</v>
      </c>
      <c r="S199" t="s">
        <v>39</v>
      </c>
      <c r="T199">
        <v>0</v>
      </c>
      <c r="U199">
        <v>79704092</v>
      </c>
      <c r="V199">
        <v>1</v>
      </c>
      <c r="W199">
        <v>0</v>
      </c>
      <c r="X199" t="s">
        <v>163</v>
      </c>
      <c r="Y199" s="25">
        <v>45782</v>
      </c>
      <c r="AD199" t="s">
        <v>41</v>
      </c>
      <c r="AY199" t="s">
        <v>446</v>
      </c>
    </row>
    <row r="200" spans="1:51" x14ac:dyDescent="0.25">
      <c r="A200" t="str">
        <f t="shared" si="17"/>
        <v>5000017258108018924</v>
      </c>
      <c r="B200">
        <v>1</v>
      </c>
      <c r="C200">
        <v>10801892</v>
      </c>
      <c r="D200">
        <v>4</v>
      </c>
      <c r="E200">
        <v>5000017258</v>
      </c>
      <c r="F200" t="s">
        <v>259</v>
      </c>
      <c r="G200">
        <v>1</v>
      </c>
      <c r="H200" t="s">
        <v>35</v>
      </c>
      <c r="I200" s="25">
        <v>45784</v>
      </c>
      <c r="K200">
        <v>945946</v>
      </c>
      <c r="L200" t="s">
        <v>162</v>
      </c>
      <c r="M200" t="s">
        <v>36</v>
      </c>
      <c r="N200" t="s">
        <v>37</v>
      </c>
      <c r="O200" t="s">
        <v>38</v>
      </c>
      <c r="R200" t="s">
        <v>98</v>
      </c>
      <c r="S200" t="s">
        <v>39</v>
      </c>
      <c r="T200">
        <v>0</v>
      </c>
      <c r="U200">
        <v>79704214</v>
      </c>
      <c r="V200">
        <v>1</v>
      </c>
      <c r="W200">
        <v>0</v>
      </c>
      <c r="X200" t="s">
        <v>163</v>
      </c>
      <c r="Y200" s="25">
        <v>45784</v>
      </c>
      <c r="AD200" t="s">
        <v>41</v>
      </c>
      <c r="AY200" t="s">
        <v>467</v>
      </c>
    </row>
    <row r="201" spans="1:51" x14ac:dyDescent="0.25">
      <c r="A201" t="str">
        <f t="shared" si="17"/>
        <v>5000015919108017742</v>
      </c>
      <c r="B201">
        <v>1</v>
      </c>
      <c r="C201">
        <v>10801774</v>
      </c>
      <c r="D201">
        <v>2</v>
      </c>
      <c r="E201">
        <v>5000015919</v>
      </c>
      <c r="F201" t="s">
        <v>425</v>
      </c>
      <c r="G201">
        <v>1</v>
      </c>
      <c r="H201" t="s">
        <v>35</v>
      </c>
      <c r="I201" s="25">
        <v>45777</v>
      </c>
      <c r="K201">
        <v>270000</v>
      </c>
      <c r="L201" t="s">
        <v>162</v>
      </c>
      <c r="M201" t="s">
        <v>36</v>
      </c>
      <c r="N201" t="s">
        <v>37</v>
      </c>
      <c r="O201" t="s">
        <v>38</v>
      </c>
      <c r="R201" t="s">
        <v>98</v>
      </c>
      <c r="S201" t="s">
        <v>39</v>
      </c>
      <c r="T201">
        <v>0</v>
      </c>
      <c r="U201">
        <v>79704089</v>
      </c>
      <c r="V201">
        <v>1</v>
      </c>
      <c r="W201">
        <v>0</v>
      </c>
      <c r="X201" t="s">
        <v>163</v>
      </c>
      <c r="Y201" s="25">
        <v>45782</v>
      </c>
      <c r="AA201" s="25"/>
      <c r="AD201" t="s">
        <v>41</v>
      </c>
      <c r="AY201" t="s">
        <v>426</v>
      </c>
    </row>
    <row r="202" spans="1:51" x14ac:dyDescent="0.25">
      <c r="A202" t="str">
        <f t="shared" si="17"/>
        <v>5000015970108017743</v>
      </c>
      <c r="B202">
        <v>2</v>
      </c>
      <c r="C202">
        <v>10801774</v>
      </c>
      <c r="D202">
        <v>3</v>
      </c>
      <c r="E202">
        <v>5000015970</v>
      </c>
      <c r="F202" t="s">
        <v>427</v>
      </c>
      <c r="G202">
        <v>1</v>
      </c>
      <c r="H202" t="s">
        <v>35</v>
      </c>
      <c r="I202" s="25">
        <v>45777</v>
      </c>
      <c r="K202">
        <v>48000</v>
      </c>
      <c r="L202" t="s">
        <v>162</v>
      </c>
      <c r="M202" t="s">
        <v>36</v>
      </c>
      <c r="N202" t="s">
        <v>37</v>
      </c>
      <c r="O202" t="s">
        <v>38</v>
      </c>
      <c r="R202" t="s">
        <v>98</v>
      </c>
      <c r="S202" t="s">
        <v>39</v>
      </c>
      <c r="T202">
        <v>0</v>
      </c>
      <c r="U202">
        <v>79704089</v>
      </c>
      <c r="V202">
        <v>1</v>
      </c>
      <c r="W202">
        <v>0</v>
      </c>
      <c r="X202" t="s">
        <v>163</v>
      </c>
      <c r="Y202" s="25">
        <v>45782</v>
      </c>
      <c r="AD202" t="s">
        <v>41</v>
      </c>
      <c r="AY202" t="s">
        <v>428</v>
      </c>
    </row>
    <row r="203" spans="1:51" x14ac:dyDescent="0.25">
      <c r="A203" t="str">
        <f t="shared" ref="A203:A232" si="18">E203&amp;C203&amp;D203</f>
        <v>5000016063108017744</v>
      </c>
      <c r="B203">
        <v>3</v>
      </c>
      <c r="C203">
        <v>10801774</v>
      </c>
      <c r="D203">
        <v>4</v>
      </c>
      <c r="E203">
        <v>5000016063</v>
      </c>
      <c r="F203" t="s">
        <v>429</v>
      </c>
      <c r="G203">
        <v>1</v>
      </c>
      <c r="H203" t="s">
        <v>93</v>
      </c>
      <c r="I203" s="25">
        <v>45777</v>
      </c>
      <c r="K203">
        <v>119000</v>
      </c>
      <c r="L203" t="s">
        <v>162</v>
      </c>
      <c r="M203" t="s">
        <v>36</v>
      </c>
      <c r="N203" t="s">
        <v>37</v>
      </c>
      <c r="O203" t="s">
        <v>38</v>
      </c>
      <c r="R203" t="s">
        <v>98</v>
      </c>
      <c r="S203" t="s">
        <v>39</v>
      </c>
      <c r="T203">
        <v>0</v>
      </c>
      <c r="U203">
        <v>79704089</v>
      </c>
      <c r="V203">
        <v>1</v>
      </c>
      <c r="W203">
        <v>0</v>
      </c>
      <c r="X203" t="s">
        <v>163</v>
      </c>
      <c r="Y203" s="25">
        <v>45782</v>
      </c>
      <c r="AD203" t="s">
        <v>41</v>
      </c>
      <c r="AY203" t="s">
        <v>430</v>
      </c>
    </row>
    <row r="204" spans="1:51" x14ac:dyDescent="0.25">
      <c r="A204" t="str">
        <f t="shared" si="18"/>
        <v>5000014291108018421</v>
      </c>
      <c r="B204">
        <v>4</v>
      </c>
      <c r="C204">
        <v>10801842</v>
      </c>
      <c r="D204">
        <v>1</v>
      </c>
      <c r="E204">
        <v>5000014291</v>
      </c>
      <c r="F204" t="s">
        <v>406</v>
      </c>
      <c r="G204">
        <v>1</v>
      </c>
      <c r="H204" t="s">
        <v>296</v>
      </c>
      <c r="I204" s="25">
        <v>45782</v>
      </c>
      <c r="K204">
        <v>92500</v>
      </c>
      <c r="L204" t="s">
        <v>162</v>
      </c>
      <c r="M204" t="s">
        <v>36</v>
      </c>
      <c r="N204" t="s">
        <v>37</v>
      </c>
      <c r="O204" t="s">
        <v>38</v>
      </c>
      <c r="R204" t="s">
        <v>98</v>
      </c>
      <c r="S204" t="s">
        <v>39</v>
      </c>
      <c r="T204">
        <v>0</v>
      </c>
      <c r="U204">
        <v>79704089</v>
      </c>
      <c r="V204">
        <v>1</v>
      </c>
      <c r="W204">
        <v>0</v>
      </c>
      <c r="X204" t="s">
        <v>163</v>
      </c>
      <c r="Y204" s="25">
        <v>45782</v>
      </c>
      <c r="AA204" s="25"/>
      <c r="AD204" t="s">
        <v>41</v>
      </c>
      <c r="AY204" t="s">
        <v>466</v>
      </c>
    </row>
    <row r="205" spans="1:51" x14ac:dyDescent="0.25">
      <c r="A205" t="str">
        <f t="shared" si="18"/>
        <v>5000017786108018422</v>
      </c>
      <c r="B205">
        <v>5</v>
      </c>
      <c r="C205">
        <v>10801842</v>
      </c>
      <c r="D205">
        <v>2</v>
      </c>
      <c r="E205">
        <v>5000017786</v>
      </c>
      <c r="F205" t="s">
        <v>433</v>
      </c>
      <c r="G205">
        <v>1</v>
      </c>
      <c r="H205" t="s">
        <v>93</v>
      </c>
      <c r="I205" s="25">
        <v>45782</v>
      </c>
      <c r="K205">
        <v>59500</v>
      </c>
      <c r="L205" t="s">
        <v>162</v>
      </c>
      <c r="M205" t="s">
        <v>36</v>
      </c>
      <c r="N205" t="s">
        <v>37</v>
      </c>
      <c r="O205" t="s">
        <v>38</v>
      </c>
      <c r="R205" t="s">
        <v>98</v>
      </c>
      <c r="S205" t="s">
        <v>39</v>
      </c>
      <c r="T205">
        <v>0</v>
      </c>
      <c r="U205">
        <v>79704089</v>
      </c>
      <c r="V205">
        <v>1</v>
      </c>
      <c r="W205">
        <v>0</v>
      </c>
      <c r="X205" t="s">
        <v>163</v>
      </c>
      <c r="Y205" s="25">
        <v>45782</v>
      </c>
      <c r="AA205" s="25"/>
      <c r="AD205" t="s">
        <v>41</v>
      </c>
      <c r="AY205" t="s">
        <v>434</v>
      </c>
    </row>
    <row r="206" spans="1:51" x14ac:dyDescent="0.25">
      <c r="A206" t="str">
        <f t="shared" si="18"/>
        <v>5000016255108018425</v>
      </c>
      <c r="B206">
        <v>6</v>
      </c>
      <c r="C206">
        <v>10801842</v>
      </c>
      <c r="D206">
        <v>5</v>
      </c>
      <c r="E206">
        <v>5000016255</v>
      </c>
      <c r="F206" t="s">
        <v>110</v>
      </c>
      <c r="G206">
        <v>1</v>
      </c>
      <c r="H206" t="s">
        <v>93</v>
      </c>
      <c r="I206" s="25">
        <v>45783</v>
      </c>
      <c r="K206">
        <v>343000</v>
      </c>
      <c r="L206" t="s">
        <v>162</v>
      </c>
      <c r="M206" t="s">
        <v>36</v>
      </c>
      <c r="N206" t="s">
        <v>37</v>
      </c>
      <c r="O206" t="s">
        <v>38</v>
      </c>
      <c r="R206" t="s">
        <v>98</v>
      </c>
      <c r="S206" t="s">
        <v>39</v>
      </c>
      <c r="T206">
        <v>0</v>
      </c>
      <c r="U206">
        <v>79704089</v>
      </c>
      <c r="V206">
        <v>1</v>
      </c>
      <c r="W206">
        <v>0</v>
      </c>
      <c r="X206" t="s">
        <v>163</v>
      </c>
      <c r="Y206" s="25">
        <v>45782</v>
      </c>
      <c r="AA206" s="25"/>
      <c r="AD206" t="s">
        <v>41</v>
      </c>
      <c r="AY206" t="s">
        <v>443</v>
      </c>
    </row>
    <row r="207" spans="1:51" x14ac:dyDescent="0.25">
      <c r="A207" t="str">
        <f t="shared" si="18"/>
        <v>5000005059108017745</v>
      </c>
      <c r="B207">
        <v>1</v>
      </c>
      <c r="C207">
        <v>10801774</v>
      </c>
      <c r="D207">
        <v>5</v>
      </c>
      <c r="E207">
        <v>5000005059</v>
      </c>
      <c r="F207" t="s">
        <v>153</v>
      </c>
      <c r="G207">
        <v>10</v>
      </c>
      <c r="H207" t="s">
        <v>93</v>
      </c>
      <c r="I207" s="25">
        <v>45779</v>
      </c>
      <c r="K207">
        <v>95000</v>
      </c>
      <c r="L207" t="s">
        <v>162</v>
      </c>
      <c r="M207" t="s">
        <v>36</v>
      </c>
      <c r="N207" t="s">
        <v>37</v>
      </c>
      <c r="O207" t="s">
        <v>38</v>
      </c>
      <c r="R207" t="s">
        <v>98</v>
      </c>
      <c r="S207" t="s">
        <v>39</v>
      </c>
      <c r="T207">
        <v>0</v>
      </c>
      <c r="U207">
        <v>79704092</v>
      </c>
      <c r="V207">
        <v>0</v>
      </c>
      <c r="W207">
        <v>10</v>
      </c>
      <c r="X207" t="s">
        <v>163</v>
      </c>
      <c r="Y207" s="25">
        <v>45782</v>
      </c>
      <c r="AA207" s="25"/>
      <c r="AD207" t="s">
        <v>41</v>
      </c>
      <c r="AX207" t="s">
        <v>164</v>
      </c>
      <c r="AY207" t="s">
        <v>431</v>
      </c>
    </row>
    <row r="208" spans="1:51" x14ac:dyDescent="0.25">
      <c r="A208" t="str">
        <f t="shared" si="18"/>
        <v>5000008843108018423</v>
      </c>
      <c r="B208">
        <v>2</v>
      </c>
      <c r="C208">
        <v>10801842</v>
      </c>
      <c r="D208">
        <v>3</v>
      </c>
      <c r="E208">
        <v>5000008843</v>
      </c>
      <c r="F208" t="s">
        <v>150</v>
      </c>
      <c r="G208">
        <v>1</v>
      </c>
      <c r="H208" t="s">
        <v>35</v>
      </c>
      <c r="I208" s="25">
        <v>45782</v>
      </c>
      <c r="K208">
        <v>1025000</v>
      </c>
      <c r="L208" t="s">
        <v>162</v>
      </c>
      <c r="M208" t="s">
        <v>36</v>
      </c>
      <c r="N208" t="s">
        <v>37</v>
      </c>
      <c r="O208" t="s">
        <v>38</v>
      </c>
      <c r="R208" t="s">
        <v>98</v>
      </c>
      <c r="S208" t="s">
        <v>39</v>
      </c>
      <c r="T208">
        <v>0</v>
      </c>
      <c r="U208">
        <v>79704092</v>
      </c>
      <c r="V208">
        <v>0</v>
      </c>
      <c r="W208">
        <v>1</v>
      </c>
      <c r="X208" t="s">
        <v>163</v>
      </c>
      <c r="Y208" s="25">
        <v>45782</v>
      </c>
      <c r="AA208" s="25"/>
      <c r="AD208" t="s">
        <v>41</v>
      </c>
      <c r="AX208" t="s">
        <v>164</v>
      </c>
      <c r="AY208" t="s">
        <v>440</v>
      </c>
    </row>
    <row r="209" spans="1:51" x14ac:dyDescent="0.25">
      <c r="A209" t="str">
        <f t="shared" si="18"/>
        <v>5000017258108020861</v>
      </c>
      <c r="B209">
        <v>1</v>
      </c>
      <c r="C209">
        <v>10802086</v>
      </c>
      <c r="D209">
        <v>1</v>
      </c>
      <c r="E209">
        <v>5000017258</v>
      </c>
      <c r="F209" t="s">
        <v>259</v>
      </c>
      <c r="G209">
        <v>2</v>
      </c>
      <c r="H209" t="s">
        <v>35</v>
      </c>
      <c r="I209" s="25">
        <v>45797</v>
      </c>
      <c r="K209">
        <v>945946</v>
      </c>
      <c r="L209" t="s">
        <v>162</v>
      </c>
      <c r="M209" t="s">
        <v>36</v>
      </c>
      <c r="N209" t="s">
        <v>37</v>
      </c>
      <c r="O209" t="s">
        <v>38</v>
      </c>
      <c r="R209" t="s">
        <v>98</v>
      </c>
      <c r="S209" t="s">
        <v>39</v>
      </c>
      <c r="T209">
        <v>0</v>
      </c>
      <c r="U209">
        <v>79704389</v>
      </c>
      <c r="V209">
        <v>2</v>
      </c>
      <c r="W209">
        <v>0</v>
      </c>
      <c r="X209" t="s">
        <v>163</v>
      </c>
      <c r="Y209" s="25">
        <v>45791</v>
      </c>
      <c r="AD209" t="s">
        <v>41</v>
      </c>
      <c r="AY209" t="s">
        <v>481</v>
      </c>
    </row>
    <row r="210" spans="1:51" x14ac:dyDescent="0.25">
      <c r="A210" t="str">
        <f t="shared" si="18"/>
        <v>5000016728108020862</v>
      </c>
      <c r="B210">
        <v>2</v>
      </c>
      <c r="C210">
        <v>10802086</v>
      </c>
      <c r="D210">
        <v>2</v>
      </c>
      <c r="E210">
        <v>5000016728</v>
      </c>
      <c r="F210" t="s">
        <v>146</v>
      </c>
      <c r="G210">
        <v>6</v>
      </c>
      <c r="H210" t="s">
        <v>35</v>
      </c>
      <c r="I210" s="25">
        <v>45797</v>
      </c>
      <c r="K210">
        <v>346847</v>
      </c>
      <c r="L210" t="s">
        <v>162</v>
      </c>
      <c r="M210" t="s">
        <v>36</v>
      </c>
      <c r="N210" t="s">
        <v>37</v>
      </c>
      <c r="O210" t="s">
        <v>38</v>
      </c>
      <c r="R210" t="s">
        <v>98</v>
      </c>
      <c r="S210" t="s">
        <v>39</v>
      </c>
      <c r="T210">
        <v>0</v>
      </c>
      <c r="U210">
        <v>79704389</v>
      </c>
      <c r="V210">
        <v>6</v>
      </c>
      <c r="W210">
        <v>0</v>
      </c>
      <c r="X210" t="s">
        <v>163</v>
      </c>
      <c r="Y210" s="25">
        <v>45791</v>
      </c>
      <c r="AD210" t="s">
        <v>41</v>
      </c>
      <c r="AY210" t="s">
        <v>481</v>
      </c>
    </row>
    <row r="211" spans="1:51" x14ac:dyDescent="0.25">
      <c r="A211" t="str">
        <f t="shared" si="18"/>
        <v>5000000739108020863</v>
      </c>
      <c r="B211">
        <v>3</v>
      </c>
      <c r="C211">
        <v>10802086</v>
      </c>
      <c r="D211">
        <v>3</v>
      </c>
      <c r="E211">
        <v>5000000739</v>
      </c>
      <c r="F211" t="s">
        <v>261</v>
      </c>
      <c r="G211">
        <v>2</v>
      </c>
      <c r="H211" t="s">
        <v>262</v>
      </c>
      <c r="I211" s="25">
        <v>45797</v>
      </c>
      <c r="K211">
        <v>1936937</v>
      </c>
      <c r="L211" t="s">
        <v>162</v>
      </c>
      <c r="M211" t="s">
        <v>36</v>
      </c>
      <c r="N211" t="s">
        <v>37</v>
      </c>
      <c r="O211" t="s">
        <v>38</v>
      </c>
      <c r="R211" t="s">
        <v>98</v>
      </c>
      <c r="S211" t="s">
        <v>39</v>
      </c>
      <c r="T211">
        <v>0</v>
      </c>
      <c r="U211">
        <v>79704389</v>
      </c>
      <c r="V211">
        <v>2</v>
      </c>
      <c r="W211">
        <v>0</v>
      </c>
      <c r="X211" t="s">
        <v>163</v>
      </c>
      <c r="Y211" s="25">
        <v>45791</v>
      </c>
      <c r="AD211" t="s">
        <v>41</v>
      </c>
      <c r="AY211" t="s">
        <v>482</v>
      </c>
    </row>
    <row r="212" spans="1:51" x14ac:dyDescent="0.25">
      <c r="A212" t="str">
        <f t="shared" si="18"/>
        <v>5000017481108020868</v>
      </c>
      <c r="B212">
        <v>4</v>
      </c>
      <c r="C212">
        <v>10802086</v>
      </c>
      <c r="D212">
        <v>8</v>
      </c>
      <c r="E212">
        <v>5000017481</v>
      </c>
      <c r="F212" t="s">
        <v>322</v>
      </c>
      <c r="G212">
        <v>1</v>
      </c>
      <c r="H212" t="s">
        <v>35</v>
      </c>
      <c r="I212" s="25">
        <v>45797</v>
      </c>
      <c r="K212">
        <v>3873874</v>
      </c>
      <c r="L212" t="s">
        <v>162</v>
      </c>
      <c r="M212" t="s">
        <v>36</v>
      </c>
      <c r="N212" t="s">
        <v>37</v>
      </c>
      <c r="O212" t="s">
        <v>38</v>
      </c>
      <c r="R212" t="s">
        <v>98</v>
      </c>
      <c r="S212" t="s">
        <v>39</v>
      </c>
      <c r="T212">
        <v>0</v>
      </c>
      <c r="U212">
        <v>79704389</v>
      </c>
      <c r="V212">
        <v>1</v>
      </c>
      <c r="W212">
        <v>0</v>
      </c>
      <c r="X212" t="s">
        <v>163</v>
      </c>
      <c r="Y212" s="25">
        <v>45791</v>
      </c>
      <c r="AD212" t="s">
        <v>41</v>
      </c>
      <c r="AY212" t="s">
        <v>483</v>
      </c>
    </row>
    <row r="213" spans="1:51" x14ac:dyDescent="0.25">
      <c r="A213" t="str">
        <f t="shared" si="18"/>
        <v>5000015970108020201</v>
      </c>
      <c r="B213">
        <v>1</v>
      </c>
      <c r="C213">
        <v>10802020</v>
      </c>
      <c r="D213">
        <v>1</v>
      </c>
      <c r="E213">
        <v>5000015970</v>
      </c>
      <c r="F213" t="s">
        <v>427</v>
      </c>
      <c r="G213">
        <v>1</v>
      </c>
      <c r="H213" t="s">
        <v>35</v>
      </c>
      <c r="I213" s="25">
        <v>45786</v>
      </c>
      <c r="K213">
        <v>48000</v>
      </c>
      <c r="L213" t="s">
        <v>162</v>
      </c>
      <c r="M213" t="s">
        <v>36</v>
      </c>
      <c r="N213" t="s">
        <v>37</v>
      </c>
      <c r="O213" t="s">
        <v>38</v>
      </c>
      <c r="R213" t="s">
        <v>98</v>
      </c>
      <c r="S213" t="s">
        <v>39</v>
      </c>
      <c r="T213">
        <v>0</v>
      </c>
      <c r="U213">
        <v>79704391</v>
      </c>
      <c r="V213">
        <v>1</v>
      </c>
      <c r="W213">
        <v>0</v>
      </c>
      <c r="X213" t="s">
        <v>163</v>
      </c>
      <c r="Y213" s="25">
        <v>45791</v>
      </c>
      <c r="AD213" t="s">
        <v>41</v>
      </c>
      <c r="AY213" t="s">
        <v>449</v>
      </c>
    </row>
    <row r="214" spans="1:51" x14ac:dyDescent="0.25">
      <c r="A214" t="str">
        <f t="shared" si="18"/>
        <v>5000013499108020421</v>
      </c>
      <c r="B214">
        <v>2</v>
      </c>
      <c r="C214">
        <v>10802042</v>
      </c>
      <c r="D214">
        <v>1</v>
      </c>
      <c r="E214">
        <v>5000013499</v>
      </c>
      <c r="F214" t="s">
        <v>244</v>
      </c>
      <c r="G214">
        <v>1</v>
      </c>
      <c r="H214" t="s">
        <v>35</v>
      </c>
      <c r="I214" s="25">
        <v>45787</v>
      </c>
      <c r="K214">
        <v>290000</v>
      </c>
      <c r="L214" t="s">
        <v>162</v>
      </c>
      <c r="M214" t="s">
        <v>160</v>
      </c>
      <c r="N214" t="s">
        <v>37</v>
      </c>
      <c r="O214" t="s">
        <v>38</v>
      </c>
      <c r="R214" t="s">
        <v>98</v>
      </c>
      <c r="S214" t="s">
        <v>39</v>
      </c>
      <c r="T214">
        <v>0</v>
      </c>
      <c r="U214">
        <v>79704391</v>
      </c>
      <c r="V214">
        <v>1</v>
      </c>
      <c r="W214">
        <v>0</v>
      </c>
      <c r="X214" t="s">
        <v>163</v>
      </c>
      <c r="Y214" s="25">
        <v>45791</v>
      </c>
      <c r="AA214" s="25"/>
      <c r="AD214" t="s">
        <v>41</v>
      </c>
      <c r="AY214" t="s">
        <v>452</v>
      </c>
    </row>
    <row r="215" spans="1:51" x14ac:dyDescent="0.25">
      <c r="A215" t="str">
        <f t="shared" si="18"/>
        <v>5000016308108020441</v>
      </c>
      <c r="B215">
        <v>3</v>
      </c>
      <c r="C215">
        <v>10802044</v>
      </c>
      <c r="D215">
        <v>1</v>
      </c>
      <c r="E215">
        <v>5000016308</v>
      </c>
      <c r="F215" t="s">
        <v>143</v>
      </c>
      <c r="G215">
        <v>2</v>
      </c>
      <c r="H215" t="s">
        <v>35</v>
      </c>
      <c r="I215" s="25">
        <v>45787</v>
      </c>
      <c r="K215">
        <v>2980000</v>
      </c>
      <c r="L215" t="s">
        <v>162</v>
      </c>
      <c r="M215" t="s">
        <v>36</v>
      </c>
      <c r="N215" t="s">
        <v>37</v>
      </c>
      <c r="O215" t="s">
        <v>38</v>
      </c>
      <c r="R215" t="s">
        <v>98</v>
      </c>
      <c r="S215" t="s">
        <v>39</v>
      </c>
      <c r="T215">
        <v>0</v>
      </c>
      <c r="U215">
        <v>79704391</v>
      </c>
      <c r="V215">
        <v>2</v>
      </c>
      <c r="W215">
        <v>0</v>
      </c>
      <c r="X215" t="s">
        <v>163</v>
      </c>
      <c r="Y215" s="25">
        <v>45791</v>
      </c>
      <c r="AA215" s="25"/>
      <c r="AD215" t="s">
        <v>41</v>
      </c>
      <c r="AY215" t="s">
        <v>484</v>
      </c>
    </row>
    <row r="216" spans="1:51" x14ac:dyDescent="0.25">
      <c r="A216" t="str">
        <f t="shared" si="18"/>
        <v>5000012021108020401</v>
      </c>
      <c r="B216">
        <v>1</v>
      </c>
      <c r="C216">
        <v>10802040</v>
      </c>
      <c r="D216">
        <v>1</v>
      </c>
      <c r="E216">
        <v>5000012021</v>
      </c>
      <c r="F216" t="s">
        <v>188</v>
      </c>
      <c r="G216">
        <v>1</v>
      </c>
      <c r="H216" t="s">
        <v>93</v>
      </c>
      <c r="I216" s="25">
        <v>45787</v>
      </c>
      <c r="K216">
        <v>30000</v>
      </c>
      <c r="L216" t="s">
        <v>162</v>
      </c>
      <c r="M216" t="s">
        <v>36</v>
      </c>
      <c r="N216" t="s">
        <v>37</v>
      </c>
      <c r="O216" t="s">
        <v>38</v>
      </c>
      <c r="R216" t="s">
        <v>98</v>
      </c>
      <c r="S216" t="s">
        <v>39</v>
      </c>
      <c r="T216">
        <v>0</v>
      </c>
      <c r="U216">
        <v>79704393</v>
      </c>
      <c r="V216">
        <v>1</v>
      </c>
      <c r="W216">
        <v>0</v>
      </c>
      <c r="X216" t="s">
        <v>163</v>
      </c>
      <c r="Y216" s="25">
        <v>45791</v>
      </c>
      <c r="AD216" t="s">
        <v>41</v>
      </c>
      <c r="AY216" t="s">
        <v>450</v>
      </c>
    </row>
    <row r="217" spans="1:51" x14ac:dyDescent="0.25">
      <c r="A217" t="str">
        <f t="shared" si="18"/>
        <v>5000005059108020442</v>
      </c>
      <c r="B217">
        <v>2</v>
      </c>
      <c r="C217">
        <v>10802044</v>
      </c>
      <c r="D217">
        <v>2</v>
      </c>
      <c r="E217">
        <v>5000005059</v>
      </c>
      <c r="F217" t="s">
        <v>153</v>
      </c>
      <c r="G217">
        <v>2</v>
      </c>
      <c r="H217" t="s">
        <v>93</v>
      </c>
      <c r="I217" s="25">
        <v>45787</v>
      </c>
      <c r="K217">
        <v>95000</v>
      </c>
      <c r="L217" t="s">
        <v>162</v>
      </c>
      <c r="M217" t="s">
        <v>36</v>
      </c>
      <c r="N217" t="s">
        <v>37</v>
      </c>
      <c r="O217" t="s">
        <v>38</v>
      </c>
      <c r="R217" t="s">
        <v>98</v>
      </c>
      <c r="S217" t="s">
        <v>39</v>
      </c>
      <c r="T217">
        <v>0</v>
      </c>
      <c r="U217">
        <v>79704393</v>
      </c>
      <c r="V217">
        <v>2</v>
      </c>
      <c r="W217">
        <v>0</v>
      </c>
      <c r="X217" t="s">
        <v>163</v>
      </c>
      <c r="Y217" s="25">
        <v>45791</v>
      </c>
      <c r="AD217" t="s">
        <v>41</v>
      </c>
      <c r="AY217" t="s">
        <v>454</v>
      </c>
    </row>
    <row r="218" spans="1:51" x14ac:dyDescent="0.25">
      <c r="A218" t="str">
        <f t="shared" si="18"/>
        <v>5000004248108020443</v>
      </c>
      <c r="B218">
        <v>3</v>
      </c>
      <c r="C218">
        <v>10802044</v>
      </c>
      <c r="D218">
        <v>3</v>
      </c>
      <c r="E218">
        <v>5000004248</v>
      </c>
      <c r="F218" t="s">
        <v>155</v>
      </c>
      <c r="G218">
        <v>2</v>
      </c>
      <c r="H218" t="s">
        <v>93</v>
      </c>
      <c r="I218" s="25">
        <v>45787</v>
      </c>
      <c r="K218">
        <v>65000</v>
      </c>
      <c r="L218" t="s">
        <v>162</v>
      </c>
      <c r="M218" t="s">
        <v>36</v>
      </c>
      <c r="N218" t="s">
        <v>37</v>
      </c>
      <c r="O218" t="s">
        <v>38</v>
      </c>
      <c r="R218" t="s">
        <v>98</v>
      </c>
      <c r="S218" t="s">
        <v>39</v>
      </c>
      <c r="T218">
        <v>0</v>
      </c>
      <c r="U218">
        <v>79704393</v>
      </c>
      <c r="V218">
        <v>2</v>
      </c>
      <c r="W218">
        <v>0</v>
      </c>
      <c r="X218" t="s">
        <v>163</v>
      </c>
      <c r="Y218" s="25">
        <v>45791</v>
      </c>
      <c r="AD218" t="s">
        <v>41</v>
      </c>
      <c r="AY218" t="s">
        <v>455</v>
      </c>
    </row>
    <row r="219" spans="1:51" x14ac:dyDescent="0.25">
      <c r="A219" t="str">
        <f t="shared" si="18"/>
        <v>5000008843108020444</v>
      </c>
      <c r="B219">
        <v>4</v>
      </c>
      <c r="C219">
        <v>10802044</v>
      </c>
      <c r="D219">
        <v>4</v>
      </c>
      <c r="E219">
        <v>5000008843</v>
      </c>
      <c r="F219" t="s">
        <v>150</v>
      </c>
      <c r="G219">
        <v>2</v>
      </c>
      <c r="H219" t="s">
        <v>35</v>
      </c>
      <c r="I219" s="25">
        <v>45787</v>
      </c>
      <c r="K219">
        <v>1025000</v>
      </c>
      <c r="L219" t="s">
        <v>162</v>
      </c>
      <c r="M219" t="s">
        <v>36</v>
      </c>
      <c r="N219" t="s">
        <v>37</v>
      </c>
      <c r="O219" t="s">
        <v>38</v>
      </c>
      <c r="R219" t="s">
        <v>98</v>
      </c>
      <c r="S219" t="s">
        <v>39</v>
      </c>
      <c r="T219">
        <v>0</v>
      </c>
      <c r="U219">
        <v>79704393</v>
      </c>
      <c r="V219">
        <v>2</v>
      </c>
      <c r="W219">
        <v>0</v>
      </c>
      <c r="X219" t="s">
        <v>163</v>
      </c>
      <c r="Y219" s="25">
        <v>45791</v>
      </c>
      <c r="AD219" t="s">
        <v>41</v>
      </c>
      <c r="AY219" t="s">
        <v>456</v>
      </c>
    </row>
    <row r="220" spans="1:51" x14ac:dyDescent="0.25">
      <c r="A220" t="str">
        <f t="shared" si="18"/>
        <v>5000000740108020864</v>
      </c>
      <c r="B220">
        <v>5</v>
      </c>
      <c r="C220">
        <v>10802086</v>
      </c>
      <c r="D220">
        <v>4</v>
      </c>
      <c r="E220">
        <v>5000000740</v>
      </c>
      <c r="F220" t="s">
        <v>360</v>
      </c>
      <c r="G220">
        <v>2</v>
      </c>
      <c r="H220" t="s">
        <v>383</v>
      </c>
      <c r="I220" s="25">
        <v>45797</v>
      </c>
      <c r="K220">
        <v>300000</v>
      </c>
      <c r="L220" t="s">
        <v>162</v>
      </c>
      <c r="M220" t="s">
        <v>36</v>
      </c>
      <c r="N220" t="s">
        <v>37</v>
      </c>
      <c r="O220" t="s">
        <v>38</v>
      </c>
      <c r="R220" t="s">
        <v>98</v>
      </c>
      <c r="S220" t="s">
        <v>39</v>
      </c>
      <c r="T220">
        <v>0</v>
      </c>
      <c r="U220">
        <v>79704393</v>
      </c>
      <c r="V220">
        <v>2</v>
      </c>
      <c r="W220">
        <v>0</v>
      </c>
      <c r="X220" t="s">
        <v>163</v>
      </c>
      <c r="Y220" s="25">
        <v>45791</v>
      </c>
      <c r="AD220" t="s">
        <v>41</v>
      </c>
      <c r="AY220" t="s">
        <v>463</v>
      </c>
    </row>
    <row r="221" spans="1:51" x14ac:dyDescent="0.25">
      <c r="A221" t="str">
        <f t="shared" si="18"/>
        <v>5000013640108020865</v>
      </c>
      <c r="B221">
        <v>6</v>
      </c>
      <c r="C221">
        <v>10802086</v>
      </c>
      <c r="D221">
        <v>5</v>
      </c>
      <c r="E221">
        <v>5000013640</v>
      </c>
      <c r="F221" t="s">
        <v>159</v>
      </c>
      <c r="G221">
        <v>50</v>
      </c>
      <c r="H221" t="s">
        <v>93</v>
      </c>
      <c r="I221" s="25">
        <v>45797</v>
      </c>
      <c r="K221">
        <v>15000</v>
      </c>
      <c r="L221" t="s">
        <v>162</v>
      </c>
      <c r="M221" t="s">
        <v>160</v>
      </c>
      <c r="N221" t="s">
        <v>37</v>
      </c>
      <c r="O221" t="s">
        <v>38</v>
      </c>
      <c r="R221" t="s">
        <v>98</v>
      </c>
      <c r="S221" t="s">
        <v>39</v>
      </c>
      <c r="T221">
        <v>0</v>
      </c>
      <c r="U221">
        <v>79704393</v>
      </c>
      <c r="V221">
        <v>50</v>
      </c>
      <c r="W221">
        <v>0</v>
      </c>
      <c r="X221" t="s">
        <v>163</v>
      </c>
      <c r="Y221" s="25">
        <v>45791</v>
      </c>
      <c r="AD221" t="s">
        <v>41</v>
      </c>
      <c r="AY221" t="s">
        <v>464</v>
      </c>
    </row>
    <row r="222" spans="1:51" x14ac:dyDescent="0.25">
      <c r="A222" t="str">
        <f t="shared" si="18"/>
        <v>5000016322108020866</v>
      </c>
      <c r="B222">
        <v>7</v>
      </c>
      <c r="C222">
        <v>10802086</v>
      </c>
      <c r="D222">
        <v>6</v>
      </c>
      <c r="E222">
        <v>5000016322</v>
      </c>
      <c r="F222" t="s">
        <v>388</v>
      </c>
      <c r="G222">
        <v>55</v>
      </c>
      <c r="H222" t="s">
        <v>93</v>
      </c>
      <c r="I222" s="25">
        <v>45797</v>
      </c>
      <c r="K222">
        <v>15000</v>
      </c>
      <c r="L222" t="s">
        <v>162</v>
      </c>
      <c r="M222" t="s">
        <v>36</v>
      </c>
      <c r="N222" t="s">
        <v>37</v>
      </c>
      <c r="O222" t="s">
        <v>38</v>
      </c>
      <c r="R222" t="s">
        <v>98</v>
      </c>
      <c r="S222" t="s">
        <v>39</v>
      </c>
      <c r="T222">
        <v>0</v>
      </c>
      <c r="U222">
        <v>79704393</v>
      </c>
      <c r="V222">
        <v>55</v>
      </c>
      <c r="W222">
        <v>0</v>
      </c>
      <c r="X222" t="s">
        <v>163</v>
      </c>
      <c r="Y222" s="25">
        <v>45791</v>
      </c>
      <c r="AD222" t="s">
        <v>41</v>
      </c>
      <c r="AY222" t="s">
        <v>471</v>
      </c>
    </row>
    <row r="223" spans="1:51" x14ac:dyDescent="0.25">
      <c r="A223" t="str">
        <f t="shared" si="18"/>
        <v>5000012033108020867</v>
      </c>
      <c r="B223">
        <v>8</v>
      </c>
      <c r="C223">
        <v>10802086</v>
      </c>
      <c r="D223">
        <v>7</v>
      </c>
      <c r="E223">
        <v>5000012033</v>
      </c>
      <c r="F223" t="s">
        <v>465</v>
      </c>
      <c r="G223">
        <v>55</v>
      </c>
      <c r="H223" t="s">
        <v>93</v>
      </c>
      <c r="I223" s="25">
        <v>45797</v>
      </c>
      <c r="K223">
        <v>25000</v>
      </c>
      <c r="L223" t="s">
        <v>162</v>
      </c>
      <c r="M223" t="s">
        <v>160</v>
      </c>
      <c r="N223" t="s">
        <v>37</v>
      </c>
      <c r="O223" t="s">
        <v>38</v>
      </c>
      <c r="R223" t="s">
        <v>98</v>
      </c>
      <c r="S223" t="s">
        <v>39</v>
      </c>
      <c r="T223">
        <v>0</v>
      </c>
      <c r="U223">
        <v>79704393</v>
      </c>
      <c r="V223">
        <v>55</v>
      </c>
      <c r="W223">
        <v>0</v>
      </c>
      <c r="X223" t="s">
        <v>163</v>
      </c>
      <c r="Y223" s="25">
        <v>45791</v>
      </c>
      <c r="AD223" t="s">
        <v>41</v>
      </c>
      <c r="AY223" t="s">
        <v>472</v>
      </c>
    </row>
    <row r="224" spans="1:51" x14ac:dyDescent="0.25">
      <c r="A224" t="str">
        <f t="shared" si="18"/>
        <v>5000017799108020869</v>
      </c>
      <c r="B224">
        <v>9</v>
      </c>
      <c r="C224">
        <v>10802086</v>
      </c>
      <c r="D224">
        <v>9</v>
      </c>
      <c r="E224">
        <v>5000017799</v>
      </c>
      <c r="F224" t="s">
        <v>468</v>
      </c>
      <c r="G224">
        <v>5</v>
      </c>
      <c r="H224" t="s">
        <v>93</v>
      </c>
      <c r="I224" s="25">
        <v>45797</v>
      </c>
      <c r="K224">
        <v>25000</v>
      </c>
      <c r="L224" t="s">
        <v>162</v>
      </c>
      <c r="M224" t="s">
        <v>36</v>
      </c>
      <c r="N224" t="s">
        <v>37</v>
      </c>
      <c r="O224" t="s">
        <v>38</v>
      </c>
      <c r="R224" t="s">
        <v>98</v>
      </c>
      <c r="S224" t="s">
        <v>39</v>
      </c>
      <c r="T224">
        <v>0</v>
      </c>
      <c r="U224">
        <v>79704393</v>
      </c>
      <c r="V224">
        <v>5</v>
      </c>
      <c r="W224">
        <v>0</v>
      </c>
      <c r="X224" t="s">
        <v>163</v>
      </c>
      <c r="Y224" s="25">
        <v>45791</v>
      </c>
      <c r="AD224" t="s">
        <v>41</v>
      </c>
      <c r="AY224" t="s">
        <v>469</v>
      </c>
    </row>
    <row r="225" spans="1:51" x14ac:dyDescent="0.25">
      <c r="A225" t="str">
        <f t="shared" si="18"/>
        <v>5000012021108020445</v>
      </c>
      <c r="B225">
        <v>10</v>
      </c>
      <c r="C225">
        <v>10802044</v>
      </c>
      <c r="D225">
        <v>5</v>
      </c>
      <c r="E225">
        <v>5000012021</v>
      </c>
      <c r="F225" t="s">
        <v>188</v>
      </c>
      <c r="G225">
        <v>2</v>
      </c>
      <c r="H225" t="s">
        <v>93</v>
      </c>
      <c r="I225" s="25">
        <v>45787</v>
      </c>
      <c r="K225">
        <v>30000</v>
      </c>
      <c r="L225" t="s">
        <v>162</v>
      </c>
      <c r="M225" t="s">
        <v>36</v>
      </c>
      <c r="N225" t="s">
        <v>37</v>
      </c>
      <c r="O225" t="s">
        <v>38</v>
      </c>
      <c r="R225" t="s">
        <v>98</v>
      </c>
      <c r="S225" t="s">
        <v>39</v>
      </c>
      <c r="T225">
        <v>0</v>
      </c>
      <c r="U225">
        <v>79704393</v>
      </c>
      <c r="V225">
        <v>2</v>
      </c>
      <c r="W225">
        <v>0</v>
      </c>
      <c r="X225" t="s">
        <v>163</v>
      </c>
      <c r="Y225" s="25">
        <v>45791</v>
      </c>
      <c r="AD225" t="s">
        <v>41</v>
      </c>
      <c r="AY225" t="s">
        <v>460</v>
      </c>
    </row>
    <row r="226" spans="1:51" x14ac:dyDescent="0.25">
      <c r="A226" t="str">
        <f t="shared" si="18"/>
        <v>5000015919108017742</v>
      </c>
      <c r="B226">
        <v>1</v>
      </c>
      <c r="C226">
        <v>10801774</v>
      </c>
      <c r="D226">
        <v>2</v>
      </c>
      <c r="E226">
        <v>5000015919</v>
      </c>
      <c r="F226" t="s">
        <v>425</v>
      </c>
      <c r="G226">
        <v>1</v>
      </c>
      <c r="H226" t="s">
        <v>35</v>
      </c>
      <c r="I226" s="25">
        <v>45777</v>
      </c>
      <c r="K226">
        <v>270000</v>
      </c>
      <c r="L226" t="s">
        <v>162</v>
      </c>
      <c r="M226" t="s">
        <v>36</v>
      </c>
      <c r="N226" t="s">
        <v>37</v>
      </c>
      <c r="O226" t="s">
        <v>38</v>
      </c>
      <c r="R226" t="s">
        <v>98</v>
      </c>
      <c r="S226" t="s">
        <v>39</v>
      </c>
      <c r="T226">
        <v>0</v>
      </c>
      <c r="U226">
        <v>79704089</v>
      </c>
      <c r="V226">
        <v>0</v>
      </c>
      <c r="W226">
        <v>1</v>
      </c>
      <c r="X226" t="s">
        <v>163</v>
      </c>
      <c r="Y226" s="25">
        <v>45782</v>
      </c>
      <c r="AD226" t="s">
        <v>41</v>
      </c>
      <c r="AX226" t="s">
        <v>164</v>
      </c>
      <c r="AY226" t="s">
        <v>426</v>
      </c>
    </row>
    <row r="227" spans="1:51" x14ac:dyDescent="0.25">
      <c r="A227" t="str">
        <f t="shared" si="18"/>
        <v>5000015970108017743</v>
      </c>
      <c r="B227">
        <v>2</v>
      </c>
      <c r="C227">
        <v>10801774</v>
      </c>
      <c r="D227">
        <v>3</v>
      </c>
      <c r="E227">
        <v>5000015970</v>
      </c>
      <c r="F227" t="s">
        <v>427</v>
      </c>
      <c r="G227">
        <v>1</v>
      </c>
      <c r="H227" t="s">
        <v>35</v>
      </c>
      <c r="I227" s="25">
        <v>45777</v>
      </c>
      <c r="K227">
        <v>48000</v>
      </c>
      <c r="L227" t="s">
        <v>162</v>
      </c>
      <c r="M227" t="s">
        <v>36</v>
      </c>
      <c r="N227" t="s">
        <v>37</v>
      </c>
      <c r="O227" t="s">
        <v>38</v>
      </c>
      <c r="R227" t="s">
        <v>98</v>
      </c>
      <c r="S227" t="s">
        <v>39</v>
      </c>
      <c r="T227">
        <v>0</v>
      </c>
      <c r="U227">
        <v>79704089</v>
      </c>
      <c r="V227">
        <v>0</v>
      </c>
      <c r="W227">
        <v>1</v>
      </c>
      <c r="X227" t="s">
        <v>163</v>
      </c>
      <c r="Y227" s="25">
        <v>45782</v>
      </c>
      <c r="AD227" t="s">
        <v>41</v>
      </c>
      <c r="AX227" t="s">
        <v>164</v>
      </c>
      <c r="AY227" t="s">
        <v>428</v>
      </c>
    </row>
    <row r="228" spans="1:51" x14ac:dyDescent="0.25">
      <c r="A228" t="str">
        <f t="shared" si="18"/>
        <v>5000016063108017744</v>
      </c>
      <c r="B228">
        <v>3</v>
      </c>
      <c r="C228">
        <v>10801774</v>
      </c>
      <c r="D228">
        <v>4</v>
      </c>
      <c r="E228">
        <v>5000016063</v>
      </c>
      <c r="F228" t="s">
        <v>429</v>
      </c>
      <c r="G228">
        <v>1</v>
      </c>
      <c r="H228" t="s">
        <v>93</v>
      </c>
      <c r="I228" s="25">
        <v>45777</v>
      </c>
      <c r="K228">
        <v>119000</v>
      </c>
      <c r="L228" t="s">
        <v>162</v>
      </c>
      <c r="M228" t="s">
        <v>36</v>
      </c>
      <c r="N228" t="s">
        <v>37</v>
      </c>
      <c r="O228" t="s">
        <v>38</v>
      </c>
      <c r="R228" t="s">
        <v>98</v>
      </c>
      <c r="S228" t="s">
        <v>39</v>
      </c>
      <c r="T228">
        <v>0</v>
      </c>
      <c r="U228">
        <v>79704089</v>
      </c>
      <c r="V228">
        <v>0</v>
      </c>
      <c r="W228">
        <v>1</v>
      </c>
      <c r="X228" t="s">
        <v>163</v>
      </c>
      <c r="Y228" s="25">
        <v>45782</v>
      </c>
      <c r="AD228" t="s">
        <v>41</v>
      </c>
      <c r="AX228" t="s">
        <v>164</v>
      </c>
      <c r="AY228" t="s">
        <v>430</v>
      </c>
    </row>
    <row r="229" spans="1:51" x14ac:dyDescent="0.25">
      <c r="A229" t="str">
        <f t="shared" si="18"/>
        <v>5000014291108018421</v>
      </c>
      <c r="B229">
        <v>4</v>
      </c>
      <c r="C229">
        <v>10801842</v>
      </c>
      <c r="D229">
        <v>1</v>
      </c>
      <c r="E229">
        <v>5000014291</v>
      </c>
      <c r="F229" t="s">
        <v>406</v>
      </c>
      <c r="G229">
        <v>1</v>
      </c>
      <c r="H229" t="s">
        <v>296</v>
      </c>
      <c r="I229" s="25">
        <v>45782</v>
      </c>
      <c r="K229">
        <v>92500</v>
      </c>
      <c r="L229" t="s">
        <v>162</v>
      </c>
      <c r="M229" t="s">
        <v>36</v>
      </c>
      <c r="N229" t="s">
        <v>37</v>
      </c>
      <c r="O229" t="s">
        <v>38</v>
      </c>
      <c r="R229" t="s">
        <v>98</v>
      </c>
      <c r="S229" t="s">
        <v>39</v>
      </c>
      <c r="T229">
        <v>0</v>
      </c>
      <c r="U229">
        <v>79704089</v>
      </c>
      <c r="V229">
        <v>0</v>
      </c>
      <c r="W229">
        <v>1</v>
      </c>
      <c r="X229" t="s">
        <v>163</v>
      </c>
      <c r="Y229" s="25">
        <v>45782</v>
      </c>
      <c r="AD229" t="s">
        <v>41</v>
      </c>
      <c r="AX229" t="s">
        <v>164</v>
      </c>
      <c r="AY229" t="s">
        <v>466</v>
      </c>
    </row>
    <row r="230" spans="1:51" x14ac:dyDescent="0.25">
      <c r="A230" t="str">
        <f t="shared" si="18"/>
        <v>5000017786108018422</v>
      </c>
      <c r="B230">
        <v>5</v>
      </c>
      <c r="C230">
        <v>10801842</v>
      </c>
      <c r="D230">
        <v>2</v>
      </c>
      <c r="E230">
        <v>5000017786</v>
      </c>
      <c r="F230" t="s">
        <v>433</v>
      </c>
      <c r="G230">
        <v>1</v>
      </c>
      <c r="H230" t="s">
        <v>93</v>
      </c>
      <c r="I230" s="25">
        <v>45782</v>
      </c>
      <c r="K230">
        <v>59500</v>
      </c>
      <c r="L230" t="s">
        <v>162</v>
      </c>
      <c r="M230" t="s">
        <v>36</v>
      </c>
      <c r="N230" t="s">
        <v>37</v>
      </c>
      <c r="O230" t="s">
        <v>38</v>
      </c>
      <c r="R230" t="s">
        <v>98</v>
      </c>
      <c r="S230" t="s">
        <v>39</v>
      </c>
      <c r="T230">
        <v>0</v>
      </c>
      <c r="U230">
        <v>79704089</v>
      </c>
      <c r="V230">
        <v>0</v>
      </c>
      <c r="W230">
        <v>1</v>
      </c>
      <c r="X230" t="s">
        <v>163</v>
      </c>
      <c r="Y230" s="25">
        <v>45782</v>
      </c>
      <c r="AD230" t="s">
        <v>41</v>
      </c>
      <c r="AX230" t="s">
        <v>164</v>
      </c>
      <c r="AY230" t="s">
        <v>434</v>
      </c>
    </row>
    <row r="231" spans="1:51" x14ac:dyDescent="0.25">
      <c r="A231" t="str">
        <f t="shared" si="18"/>
        <v>5000016255108018425</v>
      </c>
      <c r="B231">
        <v>6</v>
      </c>
      <c r="C231">
        <v>10801842</v>
      </c>
      <c r="D231">
        <v>5</v>
      </c>
      <c r="E231">
        <v>5000016255</v>
      </c>
      <c r="F231" t="s">
        <v>110</v>
      </c>
      <c r="G231">
        <v>1</v>
      </c>
      <c r="H231" t="s">
        <v>93</v>
      </c>
      <c r="I231" s="25">
        <v>45783</v>
      </c>
      <c r="K231">
        <v>343000</v>
      </c>
      <c r="L231" t="s">
        <v>162</v>
      </c>
      <c r="M231" t="s">
        <v>36</v>
      </c>
      <c r="N231" t="s">
        <v>37</v>
      </c>
      <c r="O231" t="s">
        <v>38</v>
      </c>
      <c r="R231" t="s">
        <v>98</v>
      </c>
      <c r="S231" t="s">
        <v>39</v>
      </c>
      <c r="T231">
        <v>0</v>
      </c>
      <c r="U231">
        <v>79704089</v>
      </c>
      <c r="V231">
        <v>0</v>
      </c>
      <c r="W231">
        <v>1</v>
      </c>
      <c r="X231" t="s">
        <v>163</v>
      </c>
      <c r="Y231" s="25">
        <v>45782</v>
      </c>
      <c r="AD231" t="s">
        <v>41</v>
      </c>
      <c r="AX231" t="s">
        <v>164</v>
      </c>
      <c r="AY231" t="s">
        <v>443</v>
      </c>
    </row>
    <row r="232" spans="1:51" x14ac:dyDescent="0.25">
      <c r="A232" t="str">
        <f t="shared" si="18"/>
        <v>5000005059108017745</v>
      </c>
      <c r="B232">
        <v>1</v>
      </c>
      <c r="C232">
        <v>10801774</v>
      </c>
      <c r="D232">
        <v>5</v>
      </c>
      <c r="E232">
        <v>5000005059</v>
      </c>
      <c r="F232" t="s">
        <v>153</v>
      </c>
      <c r="G232">
        <v>10</v>
      </c>
      <c r="H232" t="s">
        <v>93</v>
      </c>
      <c r="I232" s="25">
        <v>45779</v>
      </c>
      <c r="K232">
        <v>95000</v>
      </c>
      <c r="L232" t="s">
        <v>162</v>
      </c>
      <c r="M232" t="s">
        <v>36</v>
      </c>
      <c r="N232" t="s">
        <v>37</v>
      </c>
      <c r="O232" t="s">
        <v>38</v>
      </c>
      <c r="R232" t="s">
        <v>98</v>
      </c>
      <c r="S232" t="s">
        <v>39</v>
      </c>
      <c r="T232">
        <v>0</v>
      </c>
      <c r="U232">
        <v>79704092</v>
      </c>
      <c r="V232">
        <v>0</v>
      </c>
      <c r="W232">
        <v>10</v>
      </c>
      <c r="X232" t="s">
        <v>163</v>
      </c>
      <c r="Y232" s="25">
        <v>45782</v>
      </c>
      <c r="AD232" t="s">
        <v>41</v>
      </c>
      <c r="AX232" t="s">
        <v>164</v>
      </c>
      <c r="AY232" t="s">
        <v>431</v>
      </c>
    </row>
    <row r="233" spans="1:51" x14ac:dyDescent="0.25">
      <c r="A233" t="str">
        <f t="shared" ref="A233:A262" si="19">E233&amp;C233&amp;D233</f>
        <v>5000008843108018423</v>
      </c>
      <c r="B233">
        <v>2</v>
      </c>
      <c r="C233">
        <v>10801842</v>
      </c>
      <c r="D233">
        <v>3</v>
      </c>
      <c r="E233">
        <v>5000008843</v>
      </c>
      <c r="F233" t="s">
        <v>150</v>
      </c>
      <c r="G233">
        <v>1</v>
      </c>
      <c r="H233" t="s">
        <v>35</v>
      </c>
      <c r="I233" s="25">
        <v>45782</v>
      </c>
      <c r="K233">
        <v>1025000</v>
      </c>
      <c r="L233" t="s">
        <v>162</v>
      </c>
      <c r="M233" t="s">
        <v>36</v>
      </c>
      <c r="N233" t="s">
        <v>37</v>
      </c>
      <c r="O233" t="s">
        <v>38</v>
      </c>
      <c r="R233" t="s">
        <v>98</v>
      </c>
      <c r="S233" t="s">
        <v>39</v>
      </c>
      <c r="T233">
        <v>0</v>
      </c>
      <c r="U233">
        <v>79704092</v>
      </c>
      <c r="V233">
        <v>0</v>
      </c>
      <c r="W233">
        <v>1</v>
      </c>
      <c r="X233" t="s">
        <v>163</v>
      </c>
      <c r="Y233" s="25">
        <v>45782</v>
      </c>
      <c r="AD233" t="s">
        <v>41</v>
      </c>
      <c r="AX233" t="s">
        <v>164</v>
      </c>
      <c r="AY233" t="s">
        <v>440</v>
      </c>
    </row>
    <row r="234" spans="1:51" x14ac:dyDescent="0.25">
      <c r="A234" t="str">
        <f t="shared" si="19"/>
        <v>5000017258108020861</v>
      </c>
      <c r="B234">
        <v>1</v>
      </c>
      <c r="C234">
        <v>10802086</v>
      </c>
      <c r="D234">
        <v>1</v>
      </c>
      <c r="E234">
        <v>5000017258</v>
      </c>
      <c r="F234" t="s">
        <v>259</v>
      </c>
      <c r="G234">
        <v>2</v>
      </c>
      <c r="H234" t="s">
        <v>35</v>
      </c>
      <c r="I234" s="25">
        <v>45797</v>
      </c>
      <c r="K234">
        <v>945946</v>
      </c>
      <c r="L234" t="s">
        <v>162</v>
      </c>
      <c r="M234" t="s">
        <v>36</v>
      </c>
      <c r="N234" t="s">
        <v>37</v>
      </c>
      <c r="O234" t="s">
        <v>38</v>
      </c>
      <c r="R234" t="s">
        <v>98</v>
      </c>
      <c r="S234" t="s">
        <v>39</v>
      </c>
      <c r="T234">
        <v>0</v>
      </c>
      <c r="U234">
        <v>79704389</v>
      </c>
      <c r="V234">
        <v>0</v>
      </c>
      <c r="W234">
        <v>2</v>
      </c>
      <c r="X234" t="s">
        <v>163</v>
      </c>
      <c r="Y234" s="25">
        <v>45791</v>
      </c>
      <c r="AD234" t="s">
        <v>41</v>
      </c>
      <c r="AX234" t="s">
        <v>164</v>
      </c>
      <c r="AY234" t="s">
        <v>481</v>
      </c>
    </row>
    <row r="235" spans="1:51" x14ac:dyDescent="0.25">
      <c r="A235" t="str">
        <f t="shared" si="19"/>
        <v>5000016728108020862</v>
      </c>
      <c r="B235">
        <v>2</v>
      </c>
      <c r="C235">
        <v>10802086</v>
      </c>
      <c r="D235">
        <v>2</v>
      </c>
      <c r="E235">
        <v>5000016728</v>
      </c>
      <c r="F235" t="s">
        <v>146</v>
      </c>
      <c r="G235">
        <v>6</v>
      </c>
      <c r="H235" t="s">
        <v>35</v>
      </c>
      <c r="I235" s="25">
        <v>45797</v>
      </c>
      <c r="K235">
        <v>346847</v>
      </c>
      <c r="L235" t="s">
        <v>162</v>
      </c>
      <c r="M235" t="s">
        <v>36</v>
      </c>
      <c r="N235" t="s">
        <v>37</v>
      </c>
      <c r="O235" t="s">
        <v>38</v>
      </c>
      <c r="R235" t="s">
        <v>98</v>
      </c>
      <c r="S235" t="s">
        <v>39</v>
      </c>
      <c r="T235">
        <v>0</v>
      </c>
      <c r="U235">
        <v>79704389</v>
      </c>
      <c r="V235">
        <v>0</v>
      </c>
      <c r="W235">
        <v>6</v>
      </c>
      <c r="X235" t="s">
        <v>163</v>
      </c>
      <c r="Y235" s="25">
        <v>45791</v>
      </c>
      <c r="AD235" t="s">
        <v>41</v>
      </c>
      <c r="AX235" t="s">
        <v>164</v>
      </c>
      <c r="AY235" t="s">
        <v>481</v>
      </c>
    </row>
    <row r="236" spans="1:51" x14ac:dyDescent="0.25">
      <c r="A236" t="str">
        <f t="shared" si="19"/>
        <v>5000000739108020863</v>
      </c>
      <c r="B236">
        <v>3</v>
      </c>
      <c r="C236">
        <v>10802086</v>
      </c>
      <c r="D236">
        <v>3</v>
      </c>
      <c r="E236">
        <v>5000000739</v>
      </c>
      <c r="F236" t="s">
        <v>261</v>
      </c>
      <c r="G236">
        <v>2</v>
      </c>
      <c r="H236" t="s">
        <v>262</v>
      </c>
      <c r="I236" s="25">
        <v>45797</v>
      </c>
      <c r="K236">
        <v>1936937</v>
      </c>
      <c r="L236" t="s">
        <v>162</v>
      </c>
      <c r="M236" t="s">
        <v>36</v>
      </c>
      <c r="N236" t="s">
        <v>37</v>
      </c>
      <c r="O236" t="s">
        <v>38</v>
      </c>
      <c r="R236" t="s">
        <v>98</v>
      </c>
      <c r="S236" t="s">
        <v>39</v>
      </c>
      <c r="T236">
        <v>0</v>
      </c>
      <c r="U236">
        <v>79704389</v>
      </c>
      <c r="V236">
        <v>0</v>
      </c>
      <c r="W236">
        <v>2</v>
      </c>
      <c r="X236" t="s">
        <v>163</v>
      </c>
      <c r="Y236" s="25">
        <v>45791</v>
      </c>
      <c r="AD236" t="s">
        <v>41</v>
      </c>
      <c r="AX236" t="s">
        <v>164</v>
      </c>
      <c r="AY236" t="s">
        <v>482</v>
      </c>
    </row>
    <row r="237" spans="1:51" x14ac:dyDescent="0.25">
      <c r="A237" t="str">
        <f t="shared" si="19"/>
        <v>5000017481108020868</v>
      </c>
      <c r="B237">
        <v>4</v>
      </c>
      <c r="C237">
        <v>10802086</v>
      </c>
      <c r="D237">
        <v>8</v>
      </c>
      <c r="E237">
        <v>5000017481</v>
      </c>
      <c r="F237" t="s">
        <v>322</v>
      </c>
      <c r="G237">
        <v>1</v>
      </c>
      <c r="H237" t="s">
        <v>35</v>
      </c>
      <c r="I237" s="25">
        <v>45797</v>
      </c>
      <c r="K237">
        <v>3873874</v>
      </c>
      <c r="L237" t="s">
        <v>162</v>
      </c>
      <c r="M237" t="s">
        <v>36</v>
      </c>
      <c r="N237" t="s">
        <v>37</v>
      </c>
      <c r="O237" t="s">
        <v>38</v>
      </c>
      <c r="R237" t="s">
        <v>98</v>
      </c>
      <c r="S237" t="s">
        <v>39</v>
      </c>
      <c r="T237">
        <v>0</v>
      </c>
      <c r="U237">
        <v>79704389</v>
      </c>
      <c r="V237">
        <v>0</v>
      </c>
      <c r="W237">
        <v>1</v>
      </c>
      <c r="X237" t="s">
        <v>163</v>
      </c>
      <c r="Y237" s="25">
        <v>45791</v>
      </c>
      <c r="AD237" t="s">
        <v>41</v>
      </c>
      <c r="AX237" t="s">
        <v>164</v>
      </c>
      <c r="AY237" t="s">
        <v>483</v>
      </c>
    </row>
    <row r="238" spans="1:51" x14ac:dyDescent="0.25">
      <c r="A238" t="str">
        <f t="shared" si="19"/>
        <v>5000000740108020864</v>
      </c>
      <c r="B238">
        <v>5</v>
      </c>
      <c r="C238">
        <v>10802086</v>
      </c>
      <c r="D238">
        <v>4</v>
      </c>
      <c r="E238">
        <v>5000000740</v>
      </c>
      <c r="F238" t="s">
        <v>360</v>
      </c>
      <c r="G238">
        <v>2</v>
      </c>
      <c r="H238" t="s">
        <v>383</v>
      </c>
      <c r="I238" s="25">
        <v>45797</v>
      </c>
      <c r="K238">
        <v>300000</v>
      </c>
      <c r="L238" t="s">
        <v>162</v>
      </c>
      <c r="M238" t="s">
        <v>36</v>
      </c>
      <c r="N238" t="s">
        <v>37</v>
      </c>
      <c r="O238" t="s">
        <v>38</v>
      </c>
      <c r="R238" t="s">
        <v>98</v>
      </c>
      <c r="S238" t="s">
        <v>39</v>
      </c>
      <c r="T238">
        <v>0</v>
      </c>
      <c r="U238">
        <v>79704393</v>
      </c>
      <c r="V238">
        <v>0</v>
      </c>
      <c r="W238">
        <v>2</v>
      </c>
      <c r="X238" t="s">
        <v>163</v>
      </c>
      <c r="Y238" s="25">
        <v>45791</v>
      </c>
      <c r="AD238" t="s">
        <v>41</v>
      </c>
      <c r="AX238" t="s">
        <v>164</v>
      </c>
      <c r="AY238" t="s">
        <v>463</v>
      </c>
    </row>
    <row r="239" spans="1:51" x14ac:dyDescent="0.25">
      <c r="A239" t="str">
        <f t="shared" si="19"/>
        <v>5000013640108020865</v>
      </c>
      <c r="B239">
        <v>6</v>
      </c>
      <c r="C239">
        <v>10802086</v>
      </c>
      <c r="D239">
        <v>5</v>
      </c>
      <c r="E239">
        <v>5000013640</v>
      </c>
      <c r="F239" t="s">
        <v>159</v>
      </c>
      <c r="G239">
        <v>50</v>
      </c>
      <c r="H239" t="s">
        <v>93</v>
      </c>
      <c r="I239" s="25">
        <v>45797</v>
      </c>
      <c r="K239">
        <v>15000</v>
      </c>
      <c r="L239" t="s">
        <v>162</v>
      </c>
      <c r="M239" t="s">
        <v>160</v>
      </c>
      <c r="N239" t="s">
        <v>37</v>
      </c>
      <c r="O239" t="s">
        <v>38</v>
      </c>
      <c r="R239" t="s">
        <v>98</v>
      </c>
      <c r="S239" t="s">
        <v>39</v>
      </c>
      <c r="T239">
        <v>0</v>
      </c>
      <c r="U239">
        <v>79704393</v>
      </c>
      <c r="V239">
        <v>0</v>
      </c>
      <c r="W239">
        <v>50</v>
      </c>
      <c r="X239" t="s">
        <v>163</v>
      </c>
      <c r="Y239" s="25">
        <v>45791</v>
      </c>
      <c r="AD239" t="s">
        <v>41</v>
      </c>
      <c r="AX239" t="s">
        <v>164</v>
      </c>
      <c r="AY239" t="s">
        <v>464</v>
      </c>
    </row>
    <row r="240" spans="1:51" x14ac:dyDescent="0.25">
      <c r="A240" t="str">
        <f t="shared" si="19"/>
        <v>5000016322108020866</v>
      </c>
      <c r="B240">
        <v>7</v>
      </c>
      <c r="C240">
        <v>10802086</v>
      </c>
      <c r="D240">
        <v>6</v>
      </c>
      <c r="E240">
        <v>5000016322</v>
      </c>
      <c r="F240" t="s">
        <v>388</v>
      </c>
      <c r="G240">
        <v>55</v>
      </c>
      <c r="H240" t="s">
        <v>93</v>
      </c>
      <c r="I240" s="25">
        <v>45797</v>
      </c>
      <c r="K240">
        <v>15000</v>
      </c>
      <c r="L240" t="s">
        <v>162</v>
      </c>
      <c r="M240" t="s">
        <v>36</v>
      </c>
      <c r="N240" t="s">
        <v>37</v>
      </c>
      <c r="O240" t="s">
        <v>38</v>
      </c>
      <c r="R240" t="s">
        <v>98</v>
      </c>
      <c r="S240" t="s">
        <v>39</v>
      </c>
      <c r="T240">
        <v>0</v>
      </c>
      <c r="U240">
        <v>79704393</v>
      </c>
      <c r="V240">
        <v>0</v>
      </c>
      <c r="W240">
        <v>55</v>
      </c>
      <c r="X240" t="s">
        <v>163</v>
      </c>
      <c r="Y240" s="25">
        <v>45791</v>
      </c>
      <c r="AD240" t="s">
        <v>41</v>
      </c>
      <c r="AX240" t="s">
        <v>164</v>
      </c>
      <c r="AY240" t="s">
        <v>471</v>
      </c>
    </row>
    <row r="241" spans="1:51" x14ac:dyDescent="0.25">
      <c r="A241" t="str">
        <f t="shared" si="19"/>
        <v>5000012033108020867</v>
      </c>
      <c r="B241">
        <v>8</v>
      </c>
      <c r="C241">
        <v>10802086</v>
      </c>
      <c r="D241">
        <v>7</v>
      </c>
      <c r="E241">
        <v>5000012033</v>
      </c>
      <c r="F241" t="s">
        <v>465</v>
      </c>
      <c r="G241">
        <v>55</v>
      </c>
      <c r="H241" t="s">
        <v>93</v>
      </c>
      <c r="I241" s="25">
        <v>45797</v>
      </c>
      <c r="K241">
        <v>25000</v>
      </c>
      <c r="L241" t="s">
        <v>162</v>
      </c>
      <c r="M241" t="s">
        <v>160</v>
      </c>
      <c r="N241" t="s">
        <v>37</v>
      </c>
      <c r="O241" t="s">
        <v>38</v>
      </c>
      <c r="R241" t="s">
        <v>98</v>
      </c>
      <c r="S241" t="s">
        <v>39</v>
      </c>
      <c r="T241">
        <v>0</v>
      </c>
      <c r="U241">
        <v>79704393</v>
      </c>
      <c r="V241">
        <v>0</v>
      </c>
      <c r="W241">
        <v>55</v>
      </c>
      <c r="X241" t="s">
        <v>163</v>
      </c>
      <c r="Y241" s="25">
        <v>45791</v>
      </c>
      <c r="AD241" t="s">
        <v>41</v>
      </c>
      <c r="AX241" t="s">
        <v>164</v>
      </c>
      <c r="AY241" t="s">
        <v>472</v>
      </c>
    </row>
    <row r="242" spans="1:51" x14ac:dyDescent="0.25">
      <c r="A242" t="str">
        <f t="shared" si="19"/>
        <v>5000017799108020869</v>
      </c>
      <c r="B242">
        <v>9</v>
      </c>
      <c r="C242">
        <v>10802086</v>
      </c>
      <c r="D242">
        <v>9</v>
      </c>
      <c r="E242">
        <v>5000017799</v>
      </c>
      <c r="F242" t="s">
        <v>468</v>
      </c>
      <c r="G242">
        <v>5</v>
      </c>
      <c r="H242" t="s">
        <v>93</v>
      </c>
      <c r="I242" s="25">
        <v>45797</v>
      </c>
      <c r="K242">
        <v>25000</v>
      </c>
      <c r="L242" t="s">
        <v>162</v>
      </c>
      <c r="M242" t="s">
        <v>36</v>
      </c>
      <c r="N242" t="s">
        <v>37</v>
      </c>
      <c r="O242" t="s">
        <v>38</v>
      </c>
      <c r="R242" t="s">
        <v>98</v>
      </c>
      <c r="S242" t="s">
        <v>39</v>
      </c>
      <c r="T242">
        <v>0</v>
      </c>
      <c r="U242">
        <v>79704393</v>
      </c>
      <c r="V242">
        <v>0</v>
      </c>
      <c r="W242">
        <v>5</v>
      </c>
      <c r="X242" t="s">
        <v>163</v>
      </c>
      <c r="Y242" s="25">
        <v>45791</v>
      </c>
      <c r="AD242" t="s">
        <v>41</v>
      </c>
      <c r="AX242" t="s">
        <v>164</v>
      </c>
      <c r="AY242" t="s">
        <v>469</v>
      </c>
    </row>
    <row r="243" spans="1:51" x14ac:dyDescent="0.25">
      <c r="A243" t="str">
        <f t="shared" si="19"/>
        <v>5000016930108017741</v>
      </c>
      <c r="B243">
        <v>1</v>
      </c>
      <c r="C243">
        <v>10801774</v>
      </c>
      <c r="D243">
        <v>1</v>
      </c>
      <c r="E243">
        <v>5000016930</v>
      </c>
      <c r="F243" t="s">
        <v>203</v>
      </c>
      <c r="G243">
        <v>1</v>
      </c>
      <c r="H243" t="s">
        <v>93</v>
      </c>
      <c r="I243" s="25">
        <v>45777</v>
      </c>
      <c r="K243">
        <v>178433.34</v>
      </c>
      <c r="L243" t="s">
        <v>162</v>
      </c>
      <c r="M243" t="s">
        <v>36</v>
      </c>
      <c r="N243" t="s">
        <v>37</v>
      </c>
      <c r="O243" t="s">
        <v>38</v>
      </c>
      <c r="R243" t="s">
        <v>98</v>
      </c>
      <c r="S243" t="s">
        <v>39</v>
      </c>
      <c r="T243">
        <v>0</v>
      </c>
      <c r="U243">
        <v>79704503</v>
      </c>
      <c r="V243">
        <v>0</v>
      </c>
      <c r="W243">
        <v>1</v>
      </c>
      <c r="X243" t="s">
        <v>163</v>
      </c>
      <c r="Y243" s="25">
        <v>45794</v>
      </c>
      <c r="AD243" t="s">
        <v>41</v>
      </c>
      <c r="AX243" t="s">
        <v>164</v>
      </c>
      <c r="AY243" t="s">
        <v>424</v>
      </c>
    </row>
    <row r="244" spans="1:51" x14ac:dyDescent="0.25">
      <c r="A244" t="str">
        <f t="shared" si="19"/>
        <v>5000016930108019351</v>
      </c>
      <c r="B244">
        <v>2</v>
      </c>
      <c r="C244">
        <v>10801935</v>
      </c>
      <c r="D244">
        <v>1</v>
      </c>
      <c r="E244">
        <v>5000016930</v>
      </c>
      <c r="F244" t="s">
        <v>203</v>
      </c>
      <c r="G244">
        <v>1</v>
      </c>
      <c r="H244" t="s">
        <v>93</v>
      </c>
      <c r="I244" s="25">
        <v>45787</v>
      </c>
      <c r="K244">
        <v>178433.34</v>
      </c>
      <c r="L244" t="s">
        <v>162</v>
      </c>
      <c r="M244" t="s">
        <v>36</v>
      </c>
      <c r="N244" t="s">
        <v>37</v>
      </c>
      <c r="O244" t="s">
        <v>38</v>
      </c>
      <c r="R244" t="s">
        <v>98</v>
      </c>
      <c r="S244" t="s">
        <v>39</v>
      </c>
      <c r="T244">
        <v>0</v>
      </c>
      <c r="U244">
        <v>79704503</v>
      </c>
      <c r="V244">
        <v>0</v>
      </c>
      <c r="W244">
        <v>1</v>
      </c>
      <c r="X244" t="s">
        <v>163</v>
      </c>
      <c r="Y244" s="25">
        <v>45794</v>
      </c>
      <c r="AD244" t="s">
        <v>41</v>
      </c>
      <c r="AX244" t="s">
        <v>164</v>
      </c>
      <c r="AY244" t="s">
        <v>448</v>
      </c>
    </row>
    <row r="245" spans="1:51" x14ac:dyDescent="0.25">
      <c r="A245" t="str">
        <f t="shared" si="19"/>
        <v>5000016930108020461</v>
      </c>
      <c r="B245">
        <v>3</v>
      </c>
      <c r="C245">
        <v>10802046</v>
      </c>
      <c r="D245">
        <v>1</v>
      </c>
      <c r="E245">
        <v>5000016930</v>
      </c>
      <c r="F245" t="s">
        <v>203</v>
      </c>
      <c r="G245">
        <v>1</v>
      </c>
      <c r="H245" t="s">
        <v>93</v>
      </c>
      <c r="I245" s="25">
        <v>45787</v>
      </c>
      <c r="K245">
        <v>178433.34</v>
      </c>
      <c r="L245" t="s">
        <v>162</v>
      </c>
      <c r="M245" t="s">
        <v>36</v>
      </c>
      <c r="N245" t="s">
        <v>37</v>
      </c>
      <c r="O245" t="s">
        <v>38</v>
      </c>
      <c r="R245" t="s">
        <v>98</v>
      </c>
      <c r="S245" t="s">
        <v>39</v>
      </c>
      <c r="T245">
        <v>0</v>
      </c>
      <c r="U245">
        <v>79704503</v>
      </c>
      <c r="V245">
        <v>0</v>
      </c>
      <c r="W245">
        <v>1</v>
      </c>
      <c r="X245" t="s">
        <v>163</v>
      </c>
      <c r="Y245" s="25">
        <v>45794</v>
      </c>
      <c r="AD245" t="s">
        <v>41</v>
      </c>
      <c r="AX245" t="s">
        <v>164</v>
      </c>
      <c r="AY245" t="s">
        <v>457</v>
      </c>
    </row>
    <row r="246" spans="1:51" x14ac:dyDescent="0.25">
      <c r="A246" t="str">
        <f t="shared" si="19"/>
        <v>5000017801108021171</v>
      </c>
      <c r="B246">
        <v>1</v>
      </c>
      <c r="C246">
        <v>10802117</v>
      </c>
      <c r="D246">
        <v>1</v>
      </c>
      <c r="E246">
        <v>5000017801</v>
      </c>
      <c r="F246" t="s">
        <v>474</v>
      </c>
      <c r="G246">
        <v>1</v>
      </c>
      <c r="H246" t="s">
        <v>35</v>
      </c>
      <c r="I246" s="25">
        <v>45798</v>
      </c>
      <c r="K246">
        <v>5630631</v>
      </c>
      <c r="L246" t="s">
        <v>162</v>
      </c>
      <c r="M246" t="s">
        <v>36</v>
      </c>
      <c r="N246" t="s">
        <v>37</v>
      </c>
      <c r="O246" t="s">
        <v>38</v>
      </c>
      <c r="R246" t="s">
        <v>98</v>
      </c>
      <c r="S246" t="s">
        <v>39</v>
      </c>
      <c r="T246">
        <v>0</v>
      </c>
      <c r="U246">
        <v>79704506</v>
      </c>
      <c r="V246">
        <v>0</v>
      </c>
      <c r="W246">
        <v>1</v>
      </c>
      <c r="X246" t="s">
        <v>163</v>
      </c>
      <c r="Y246" s="25">
        <v>45794</v>
      </c>
      <c r="AD246" t="s">
        <v>41</v>
      </c>
      <c r="AX246" t="s">
        <v>164</v>
      </c>
      <c r="AY246" t="s">
        <v>498</v>
      </c>
    </row>
    <row r="247" spans="1:51" x14ac:dyDescent="0.25">
      <c r="A247" t="str">
        <f t="shared" si="19"/>
        <v>5000011960108021173</v>
      </c>
      <c r="B247">
        <v>2</v>
      </c>
      <c r="C247">
        <v>10802117</v>
      </c>
      <c r="D247">
        <v>3</v>
      </c>
      <c r="E247">
        <v>5000011960</v>
      </c>
      <c r="F247" t="s">
        <v>478</v>
      </c>
      <c r="G247">
        <v>1</v>
      </c>
      <c r="H247" t="s">
        <v>93</v>
      </c>
      <c r="I247" s="25">
        <v>45798</v>
      </c>
      <c r="K247">
        <v>1081081.1000000001</v>
      </c>
      <c r="L247" t="s">
        <v>162</v>
      </c>
      <c r="M247" t="s">
        <v>36</v>
      </c>
      <c r="N247" t="s">
        <v>37</v>
      </c>
      <c r="O247" t="s">
        <v>38</v>
      </c>
      <c r="R247" t="s">
        <v>98</v>
      </c>
      <c r="S247" t="s">
        <v>39</v>
      </c>
      <c r="T247">
        <v>0</v>
      </c>
      <c r="U247">
        <v>79704506</v>
      </c>
      <c r="V247">
        <v>0</v>
      </c>
      <c r="W247">
        <v>1</v>
      </c>
      <c r="X247" t="s">
        <v>163</v>
      </c>
      <c r="Y247" s="25">
        <v>45794</v>
      </c>
      <c r="AD247" t="s">
        <v>41</v>
      </c>
      <c r="AX247" t="s">
        <v>164</v>
      </c>
      <c r="AY247" t="s">
        <v>499</v>
      </c>
    </row>
    <row r="248" spans="1:51" x14ac:dyDescent="0.25">
      <c r="A248" t="str">
        <f t="shared" si="19"/>
        <v>5000017802108021172</v>
      </c>
      <c r="B248">
        <v>1</v>
      </c>
      <c r="C248">
        <v>10802117</v>
      </c>
      <c r="D248">
        <v>2</v>
      </c>
      <c r="E248">
        <v>5000017802</v>
      </c>
      <c r="F248" t="s">
        <v>476</v>
      </c>
      <c r="G248">
        <v>1</v>
      </c>
      <c r="H248" t="s">
        <v>35</v>
      </c>
      <c r="I248" s="25">
        <v>45798</v>
      </c>
      <c r="K248">
        <v>8640000</v>
      </c>
      <c r="L248" t="s">
        <v>162</v>
      </c>
      <c r="M248" t="s">
        <v>36</v>
      </c>
      <c r="N248" t="s">
        <v>37</v>
      </c>
      <c r="O248" t="s">
        <v>38</v>
      </c>
      <c r="R248" t="s">
        <v>98</v>
      </c>
      <c r="S248" t="s">
        <v>39</v>
      </c>
      <c r="T248">
        <v>0</v>
      </c>
      <c r="U248">
        <v>79704510</v>
      </c>
      <c r="V248">
        <v>1</v>
      </c>
      <c r="W248">
        <v>0</v>
      </c>
      <c r="X248" t="s">
        <v>163</v>
      </c>
      <c r="Y248" s="25">
        <v>45794</v>
      </c>
      <c r="AD248" t="s">
        <v>41</v>
      </c>
      <c r="AY248" t="s">
        <v>500</v>
      </c>
    </row>
    <row r="249" spans="1:51" x14ac:dyDescent="0.25">
      <c r="A249" t="str">
        <f t="shared" si="19"/>
        <v>5000014291108021174</v>
      </c>
      <c r="B249">
        <v>2</v>
      </c>
      <c r="C249">
        <v>10802117</v>
      </c>
      <c r="D249">
        <v>4</v>
      </c>
      <c r="E249">
        <v>5000014291</v>
      </c>
      <c r="F249" t="s">
        <v>406</v>
      </c>
      <c r="G249">
        <v>1</v>
      </c>
      <c r="H249" t="s">
        <v>296</v>
      </c>
      <c r="I249" s="25">
        <v>45798</v>
      </c>
      <c r="K249">
        <v>92500</v>
      </c>
      <c r="L249" t="s">
        <v>162</v>
      </c>
      <c r="M249" t="s">
        <v>36</v>
      </c>
      <c r="N249" t="s">
        <v>37</v>
      </c>
      <c r="O249" t="s">
        <v>38</v>
      </c>
      <c r="R249" t="s">
        <v>98</v>
      </c>
      <c r="S249" t="s">
        <v>39</v>
      </c>
      <c r="T249">
        <v>0</v>
      </c>
      <c r="U249">
        <v>79704510</v>
      </c>
      <c r="V249">
        <v>1</v>
      </c>
      <c r="W249">
        <v>0</v>
      </c>
      <c r="X249" t="s">
        <v>163</v>
      </c>
      <c r="Y249" s="25">
        <v>45794</v>
      </c>
      <c r="AD249" t="s">
        <v>41</v>
      </c>
      <c r="AY249" t="s">
        <v>480</v>
      </c>
    </row>
    <row r="250" spans="1:51" x14ac:dyDescent="0.25">
      <c r="A250" t="str">
        <f t="shared" si="19"/>
        <v>5000016308108021774</v>
      </c>
      <c r="B250">
        <v>1</v>
      </c>
      <c r="C250">
        <v>10802177</v>
      </c>
      <c r="D250">
        <v>4</v>
      </c>
      <c r="E250">
        <v>5000016308</v>
      </c>
      <c r="F250" t="s">
        <v>143</v>
      </c>
      <c r="G250">
        <v>1</v>
      </c>
      <c r="H250" t="s">
        <v>35</v>
      </c>
      <c r="I250" s="25">
        <v>45803</v>
      </c>
      <c r="K250">
        <v>2980000</v>
      </c>
      <c r="L250" t="s">
        <v>162</v>
      </c>
      <c r="M250" t="s">
        <v>36</v>
      </c>
      <c r="N250" t="s">
        <v>37</v>
      </c>
      <c r="O250" t="s">
        <v>38</v>
      </c>
      <c r="R250" t="s">
        <v>98</v>
      </c>
      <c r="S250" t="s">
        <v>39</v>
      </c>
      <c r="T250">
        <v>0</v>
      </c>
      <c r="U250">
        <v>79704689</v>
      </c>
      <c r="V250">
        <v>1</v>
      </c>
      <c r="W250">
        <v>0</v>
      </c>
      <c r="X250" t="s">
        <v>163</v>
      </c>
      <c r="Y250" s="25">
        <v>45799</v>
      </c>
      <c r="AD250" t="s">
        <v>41</v>
      </c>
      <c r="AY250" t="s">
        <v>501</v>
      </c>
    </row>
    <row r="251" spans="1:51" x14ac:dyDescent="0.25">
      <c r="A251" t="str">
        <f t="shared" si="19"/>
        <v>5000016308108021774</v>
      </c>
      <c r="B251">
        <v>1</v>
      </c>
      <c r="C251">
        <v>10802177</v>
      </c>
      <c r="D251">
        <v>4</v>
      </c>
      <c r="E251">
        <v>5000016308</v>
      </c>
      <c r="F251" t="s">
        <v>143</v>
      </c>
      <c r="G251">
        <v>1</v>
      </c>
      <c r="H251" t="s">
        <v>35</v>
      </c>
      <c r="I251" s="25">
        <v>45803</v>
      </c>
      <c r="K251">
        <v>2980000</v>
      </c>
      <c r="L251" t="s">
        <v>162</v>
      </c>
      <c r="M251" t="s">
        <v>36</v>
      </c>
      <c r="N251" t="s">
        <v>37</v>
      </c>
      <c r="O251" t="s">
        <v>38</v>
      </c>
      <c r="R251" t="s">
        <v>98</v>
      </c>
      <c r="S251" t="s">
        <v>39</v>
      </c>
      <c r="T251">
        <v>0</v>
      </c>
      <c r="U251">
        <v>79704705</v>
      </c>
      <c r="V251">
        <v>1</v>
      </c>
      <c r="W251">
        <v>0</v>
      </c>
      <c r="X251" t="s">
        <v>163</v>
      </c>
      <c r="Y251" s="25">
        <v>45799</v>
      </c>
      <c r="AD251" t="s">
        <v>41</v>
      </c>
      <c r="AY251" t="s">
        <v>502</v>
      </c>
    </row>
    <row r="252" spans="1:51" x14ac:dyDescent="0.25">
      <c r="A252" t="str">
        <f t="shared" si="19"/>
        <v>5000004248108021491</v>
      </c>
      <c r="B252">
        <v>1</v>
      </c>
      <c r="C252">
        <v>10802149</v>
      </c>
      <c r="D252">
        <v>1</v>
      </c>
      <c r="E252">
        <v>5000004248</v>
      </c>
      <c r="F252" t="s">
        <v>155</v>
      </c>
      <c r="G252">
        <v>6</v>
      </c>
      <c r="H252" t="s">
        <v>93</v>
      </c>
      <c r="I252" s="25">
        <v>45800</v>
      </c>
      <c r="K252">
        <v>65000</v>
      </c>
      <c r="L252" t="s">
        <v>162</v>
      </c>
      <c r="M252" t="s">
        <v>36</v>
      </c>
      <c r="N252" t="s">
        <v>37</v>
      </c>
      <c r="O252" t="s">
        <v>38</v>
      </c>
      <c r="R252" t="s">
        <v>98</v>
      </c>
      <c r="S252" t="s">
        <v>39</v>
      </c>
      <c r="T252">
        <v>0</v>
      </c>
      <c r="U252">
        <v>79704712</v>
      </c>
      <c r="V252">
        <v>6</v>
      </c>
      <c r="W252">
        <v>0</v>
      </c>
      <c r="X252" t="s">
        <v>163</v>
      </c>
      <c r="Y252" s="25">
        <v>45799</v>
      </c>
      <c r="AD252" t="s">
        <v>41</v>
      </c>
      <c r="AY252" t="s">
        <v>486</v>
      </c>
    </row>
    <row r="253" spans="1:51" x14ac:dyDescent="0.25">
      <c r="A253" t="str">
        <f t="shared" si="19"/>
        <v>5000005059108021492</v>
      </c>
      <c r="B253">
        <v>2</v>
      </c>
      <c r="C253">
        <v>10802149</v>
      </c>
      <c r="D253">
        <v>2</v>
      </c>
      <c r="E253">
        <v>5000005059</v>
      </c>
      <c r="F253" t="s">
        <v>153</v>
      </c>
      <c r="G253">
        <v>4</v>
      </c>
      <c r="H253" t="s">
        <v>93</v>
      </c>
      <c r="I253" s="25">
        <v>45800</v>
      </c>
      <c r="K253">
        <v>95000</v>
      </c>
      <c r="L253" t="s">
        <v>162</v>
      </c>
      <c r="M253" t="s">
        <v>36</v>
      </c>
      <c r="N253" t="s">
        <v>37</v>
      </c>
      <c r="O253" t="s">
        <v>38</v>
      </c>
      <c r="R253" t="s">
        <v>98</v>
      </c>
      <c r="S253" t="s">
        <v>39</v>
      </c>
      <c r="T253">
        <v>0</v>
      </c>
      <c r="U253">
        <v>79704712</v>
      </c>
      <c r="V253">
        <v>4</v>
      </c>
      <c r="W253">
        <v>0</v>
      </c>
      <c r="X253" t="s">
        <v>163</v>
      </c>
      <c r="Y253" s="25">
        <v>45799</v>
      </c>
      <c r="AD253" t="s">
        <v>41</v>
      </c>
      <c r="AY253" t="s">
        <v>487</v>
      </c>
    </row>
    <row r="254" spans="1:51" x14ac:dyDescent="0.25">
      <c r="A254" t="str">
        <f t="shared" si="19"/>
        <v>5000008843108021771</v>
      </c>
      <c r="B254">
        <v>3</v>
      </c>
      <c r="C254">
        <v>10802177</v>
      </c>
      <c r="D254">
        <v>1</v>
      </c>
      <c r="E254">
        <v>5000008843</v>
      </c>
      <c r="F254" t="s">
        <v>150</v>
      </c>
      <c r="G254">
        <v>1</v>
      </c>
      <c r="H254" t="s">
        <v>35</v>
      </c>
      <c r="I254" s="25">
        <v>45803</v>
      </c>
      <c r="K254">
        <v>1025000</v>
      </c>
      <c r="L254" t="s">
        <v>162</v>
      </c>
      <c r="M254" t="s">
        <v>36</v>
      </c>
      <c r="N254" t="s">
        <v>37</v>
      </c>
      <c r="O254" t="s">
        <v>38</v>
      </c>
      <c r="R254" t="s">
        <v>98</v>
      </c>
      <c r="S254" t="s">
        <v>39</v>
      </c>
      <c r="T254">
        <v>0</v>
      </c>
      <c r="U254">
        <v>79704712</v>
      </c>
      <c r="V254">
        <v>1</v>
      </c>
      <c r="W254">
        <v>0</v>
      </c>
      <c r="X254" t="s">
        <v>163</v>
      </c>
      <c r="Y254" s="25">
        <v>45799</v>
      </c>
      <c r="AD254" t="s">
        <v>41</v>
      </c>
      <c r="AY254" t="s">
        <v>503</v>
      </c>
    </row>
    <row r="255" spans="1:51" x14ac:dyDescent="0.25">
      <c r="A255" t="str">
        <f t="shared" si="19"/>
        <v>5000005059108021772</v>
      </c>
      <c r="B255">
        <v>4</v>
      </c>
      <c r="C255">
        <v>10802177</v>
      </c>
      <c r="D255">
        <v>2</v>
      </c>
      <c r="E255">
        <v>5000005059</v>
      </c>
      <c r="F255" t="s">
        <v>153</v>
      </c>
      <c r="G255">
        <v>1</v>
      </c>
      <c r="H255" t="s">
        <v>93</v>
      </c>
      <c r="I255" s="25">
        <v>45803</v>
      </c>
      <c r="K255">
        <v>95000</v>
      </c>
      <c r="L255" t="s">
        <v>162</v>
      </c>
      <c r="M255" t="s">
        <v>36</v>
      </c>
      <c r="N255" t="s">
        <v>37</v>
      </c>
      <c r="O255" t="s">
        <v>38</v>
      </c>
      <c r="R255" t="s">
        <v>98</v>
      </c>
      <c r="S255" t="s">
        <v>39</v>
      </c>
      <c r="T255">
        <v>0</v>
      </c>
      <c r="U255">
        <v>79704712</v>
      </c>
      <c r="V255">
        <v>1</v>
      </c>
      <c r="W255">
        <v>0</v>
      </c>
      <c r="X255" t="s">
        <v>163</v>
      </c>
      <c r="Y255" s="25">
        <v>45799</v>
      </c>
      <c r="AD255" t="s">
        <v>41</v>
      </c>
      <c r="AY255" t="s">
        <v>504</v>
      </c>
    </row>
    <row r="256" spans="1:51" x14ac:dyDescent="0.25">
      <c r="A256" t="str">
        <f t="shared" si="19"/>
        <v>5000004248108021773</v>
      </c>
      <c r="B256">
        <v>5</v>
      </c>
      <c r="C256">
        <v>10802177</v>
      </c>
      <c r="D256">
        <v>3</v>
      </c>
      <c r="E256">
        <v>5000004248</v>
      </c>
      <c r="F256" t="s">
        <v>155</v>
      </c>
      <c r="G256">
        <v>1</v>
      </c>
      <c r="H256" t="s">
        <v>93</v>
      </c>
      <c r="I256" s="25">
        <v>45803</v>
      </c>
      <c r="K256">
        <v>65000</v>
      </c>
      <c r="L256" t="s">
        <v>162</v>
      </c>
      <c r="M256" t="s">
        <v>36</v>
      </c>
      <c r="N256" t="s">
        <v>37</v>
      </c>
      <c r="O256" t="s">
        <v>38</v>
      </c>
      <c r="R256" t="s">
        <v>98</v>
      </c>
      <c r="S256" t="s">
        <v>39</v>
      </c>
      <c r="T256">
        <v>0</v>
      </c>
      <c r="U256">
        <v>79704712</v>
      </c>
      <c r="V256">
        <v>1</v>
      </c>
      <c r="W256">
        <v>0</v>
      </c>
      <c r="X256" t="s">
        <v>163</v>
      </c>
      <c r="Y256" s="25">
        <v>45799</v>
      </c>
      <c r="AD256" t="s">
        <v>41</v>
      </c>
      <c r="AY256" t="s">
        <v>505</v>
      </c>
    </row>
    <row r="257" spans="1:51" x14ac:dyDescent="0.25">
      <c r="A257" t="str">
        <f t="shared" si="19"/>
        <v>5000012021108021775</v>
      </c>
      <c r="B257">
        <v>6</v>
      </c>
      <c r="C257">
        <v>10802177</v>
      </c>
      <c r="D257">
        <v>5</v>
      </c>
      <c r="E257">
        <v>5000012021</v>
      </c>
      <c r="F257" t="s">
        <v>188</v>
      </c>
      <c r="G257">
        <v>1</v>
      </c>
      <c r="H257" t="s">
        <v>93</v>
      </c>
      <c r="I257" s="25">
        <v>45803</v>
      </c>
      <c r="K257">
        <v>30000</v>
      </c>
      <c r="L257" t="s">
        <v>162</v>
      </c>
      <c r="M257" t="s">
        <v>36</v>
      </c>
      <c r="N257" t="s">
        <v>37</v>
      </c>
      <c r="O257" t="s">
        <v>38</v>
      </c>
      <c r="R257" t="s">
        <v>98</v>
      </c>
      <c r="S257" t="s">
        <v>39</v>
      </c>
      <c r="T257">
        <v>0</v>
      </c>
      <c r="U257">
        <v>79704712</v>
      </c>
      <c r="V257">
        <v>1</v>
      </c>
      <c r="W257">
        <v>0</v>
      </c>
      <c r="X257" t="s">
        <v>163</v>
      </c>
      <c r="Y257" s="25">
        <v>45799</v>
      </c>
      <c r="AD257" t="s">
        <v>41</v>
      </c>
      <c r="AY257" t="s">
        <v>506</v>
      </c>
    </row>
    <row r="258" spans="1:51" x14ac:dyDescent="0.25">
      <c r="A258" t="str">
        <f t="shared" si="19"/>
        <v>5000008929108021221</v>
      </c>
      <c r="B258">
        <v>1</v>
      </c>
      <c r="C258">
        <v>10802122</v>
      </c>
      <c r="D258">
        <v>1</v>
      </c>
      <c r="E258">
        <v>5000008929</v>
      </c>
      <c r="F258" t="s">
        <v>100</v>
      </c>
      <c r="G258">
        <v>1</v>
      </c>
      <c r="H258" t="s">
        <v>93</v>
      </c>
      <c r="I258" s="25">
        <v>45799</v>
      </c>
      <c r="K258">
        <v>150000</v>
      </c>
      <c r="L258" t="s">
        <v>162</v>
      </c>
      <c r="M258" t="s">
        <v>36</v>
      </c>
      <c r="N258" t="s">
        <v>37</v>
      </c>
      <c r="O258" t="s">
        <v>38</v>
      </c>
      <c r="R258" t="s">
        <v>98</v>
      </c>
      <c r="S258" t="s">
        <v>39</v>
      </c>
      <c r="T258">
        <v>0</v>
      </c>
      <c r="U258">
        <v>79704714</v>
      </c>
      <c r="V258">
        <v>1</v>
      </c>
      <c r="W258">
        <v>0</v>
      </c>
      <c r="X258" t="s">
        <v>163</v>
      </c>
      <c r="Y258" s="25">
        <v>45799</v>
      </c>
      <c r="AD258" t="s">
        <v>41</v>
      </c>
      <c r="AY258" t="s">
        <v>485</v>
      </c>
    </row>
    <row r="259" spans="1:51" x14ac:dyDescent="0.25">
      <c r="A259" t="str">
        <f t="shared" si="19"/>
        <v>5000008843108021771</v>
      </c>
      <c r="B259">
        <v>2</v>
      </c>
      <c r="C259">
        <v>10802177</v>
      </c>
      <c r="D259">
        <v>1</v>
      </c>
      <c r="E259">
        <v>5000008843</v>
      </c>
      <c r="F259" t="s">
        <v>150</v>
      </c>
      <c r="G259">
        <v>1</v>
      </c>
      <c r="H259" t="s">
        <v>35</v>
      </c>
      <c r="I259" s="25">
        <v>45803</v>
      </c>
      <c r="K259">
        <v>1025000</v>
      </c>
      <c r="L259" t="s">
        <v>162</v>
      </c>
      <c r="M259" t="s">
        <v>36</v>
      </c>
      <c r="N259" t="s">
        <v>37</v>
      </c>
      <c r="O259" t="s">
        <v>38</v>
      </c>
      <c r="R259" t="s">
        <v>98</v>
      </c>
      <c r="S259" t="s">
        <v>39</v>
      </c>
      <c r="T259">
        <v>0</v>
      </c>
      <c r="U259">
        <v>79704714</v>
      </c>
      <c r="V259">
        <v>1</v>
      </c>
      <c r="W259">
        <v>0</v>
      </c>
      <c r="X259" t="s">
        <v>163</v>
      </c>
      <c r="Y259" s="25">
        <v>45799</v>
      </c>
      <c r="AD259" t="s">
        <v>41</v>
      </c>
      <c r="AY259" t="s">
        <v>507</v>
      </c>
    </row>
    <row r="260" spans="1:51" x14ac:dyDescent="0.25">
      <c r="A260" t="str">
        <f t="shared" si="19"/>
        <v>5000005059108021772</v>
      </c>
      <c r="B260">
        <v>3</v>
      </c>
      <c r="C260">
        <v>10802177</v>
      </c>
      <c r="D260">
        <v>2</v>
      </c>
      <c r="E260">
        <v>5000005059</v>
      </c>
      <c r="F260" t="s">
        <v>153</v>
      </c>
      <c r="G260">
        <v>1</v>
      </c>
      <c r="H260" t="s">
        <v>93</v>
      </c>
      <c r="I260" s="25">
        <v>45803</v>
      </c>
      <c r="K260">
        <v>95000</v>
      </c>
      <c r="L260" t="s">
        <v>162</v>
      </c>
      <c r="M260" t="s">
        <v>36</v>
      </c>
      <c r="N260" t="s">
        <v>37</v>
      </c>
      <c r="O260" t="s">
        <v>38</v>
      </c>
      <c r="R260" t="s">
        <v>98</v>
      </c>
      <c r="S260" t="s">
        <v>39</v>
      </c>
      <c r="T260">
        <v>0</v>
      </c>
      <c r="U260">
        <v>79704714</v>
      </c>
      <c r="V260">
        <v>1</v>
      </c>
      <c r="W260">
        <v>0</v>
      </c>
      <c r="X260" t="s">
        <v>163</v>
      </c>
      <c r="Y260" s="25">
        <v>45799</v>
      </c>
      <c r="AD260" t="s">
        <v>41</v>
      </c>
      <c r="AY260" t="s">
        <v>507</v>
      </c>
    </row>
    <row r="261" spans="1:51" x14ac:dyDescent="0.25">
      <c r="A261" t="str">
        <f t="shared" si="19"/>
        <v>5000004248108021773</v>
      </c>
      <c r="B261">
        <v>4</v>
      </c>
      <c r="C261">
        <v>10802177</v>
      </c>
      <c r="D261">
        <v>3</v>
      </c>
      <c r="E261">
        <v>5000004248</v>
      </c>
      <c r="F261" t="s">
        <v>155</v>
      </c>
      <c r="G261">
        <v>1</v>
      </c>
      <c r="H261" t="s">
        <v>93</v>
      </c>
      <c r="I261" s="25">
        <v>45803</v>
      </c>
      <c r="K261">
        <v>65000</v>
      </c>
      <c r="L261" t="s">
        <v>162</v>
      </c>
      <c r="M261" t="s">
        <v>36</v>
      </c>
      <c r="N261" t="s">
        <v>37</v>
      </c>
      <c r="O261" t="s">
        <v>38</v>
      </c>
      <c r="R261" t="s">
        <v>98</v>
      </c>
      <c r="S261" t="s">
        <v>39</v>
      </c>
      <c r="T261">
        <v>0</v>
      </c>
      <c r="U261">
        <v>79704714</v>
      </c>
      <c r="V261">
        <v>1</v>
      </c>
      <c r="W261">
        <v>0</v>
      </c>
      <c r="X261" t="s">
        <v>163</v>
      </c>
      <c r="Y261" s="25">
        <v>45799</v>
      </c>
      <c r="AD261" t="s">
        <v>41</v>
      </c>
      <c r="AY261" t="s">
        <v>507</v>
      </c>
    </row>
    <row r="262" spans="1:51" x14ac:dyDescent="0.25">
      <c r="A262" t="str">
        <f t="shared" si="19"/>
        <v>5000012021108021775</v>
      </c>
      <c r="B262">
        <v>5</v>
      </c>
      <c r="C262">
        <v>10802177</v>
      </c>
      <c r="D262">
        <v>5</v>
      </c>
      <c r="E262">
        <v>5000012021</v>
      </c>
      <c r="F262" t="s">
        <v>188</v>
      </c>
      <c r="G262">
        <v>1</v>
      </c>
      <c r="H262" t="s">
        <v>93</v>
      </c>
      <c r="I262" s="25">
        <v>45803</v>
      </c>
      <c r="K262">
        <v>30000</v>
      </c>
      <c r="L262" t="s">
        <v>162</v>
      </c>
      <c r="M262" t="s">
        <v>36</v>
      </c>
      <c r="N262" t="s">
        <v>37</v>
      </c>
      <c r="O262" t="s">
        <v>38</v>
      </c>
      <c r="R262" t="s">
        <v>98</v>
      </c>
      <c r="S262" t="s">
        <v>39</v>
      </c>
      <c r="T262">
        <v>0</v>
      </c>
      <c r="U262">
        <v>79704714</v>
      </c>
      <c r="V262">
        <v>1</v>
      </c>
      <c r="W262">
        <v>0</v>
      </c>
      <c r="X262" t="s">
        <v>163</v>
      </c>
      <c r="Y262" s="25">
        <v>45799</v>
      </c>
      <c r="AD262" t="s">
        <v>41</v>
      </c>
      <c r="AY262" t="s">
        <v>507</v>
      </c>
    </row>
    <row r="263" spans="1:51" x14ac:dyDescent="0.25">
      <c r="A263" t="str">
        <f t="shared" ref="A263:A280" si="20">E263&amp;C263&amp;D263</f>
        <v>5000017612108020471</v>
      </c>
      <c r="B263">
        <v>1</v>
      </c>
      <c r="C263">
        <v>10802047</v>
      </c>
      <c r="D263">
        <v>1</v>
      </c>
      <c r="E263">
        <v>5000017612</v>
      </c>
      <c r="F263" t="s">
        <v>458</v>
      </c>
      <c r="G263">
        <v>1</v>
      </c>
      <c r="H263" t="s">
        <v>93</v>
      </c>
      <c r="I263" s="25">
        <v>45787</v>
      </c>
      <c r="K263">
        <v>16200</v>
      </c>
      <c r="L263" t="s">
        <v>162</v>
      </c>
      <c r="M263" t="s">
        <v>36</v>
      </c>
      <c r="N263" t="s">
        <v>37</v>
      </c>
      <c r="O263" t="s">
        <v>38</v>
      </c>
      <c r="R263" t="s">
        <v>98</v>
      </c>
      <c r="S263" t="s">
        <v>39</v>
      </c>
      <c r="T263">
        <v>0</v>
      </c>
      <c r="U263">
        <v>79704819</v>
      </c>
      <c r="V263">
        <v>1</v>
      </c>
      <c r="W263">
        <v>0</v>
      </c>
      <c r="X263" t="s">
        <v>163</v>
      </c>
      <c r="Y263" s="25">
        <v>45804</v>
      </c>
      <c r="AD263" t="s">
        <v>41</v>
      </c>
      <c r="AY263" t="s">
        <v>459</v>
      </c>
    </row>
    <row r="264" spans="1:51" x14ac:dyDescent="0.25">
      <c r="A264" t="str">
        <f t="shared" si="20"/>
        <v>50000053401080208610</v>
      </c>
      <c r="B264">
        <v>1</v>
      </c>
      <c r="C264">
        <v>10802086</v>
      </c>
      <c r="D264">
        <v>10</v>
      </c>
      <c r="E264">
        <v>5000005340</v>
      </c>
      <c r="F264" t="s">
        <v>199</v>
      </c>
      <c r="G264">
        <v>5</v>
      </c>
      <c r="H264" t="s">
        <v>35</v>
      </c>
      <c r="I264" s="25">
        <v>45797</v>
      </c>
      <c r="K264">
        <v>155000</v>
      </c>
      <c r="L264" t="s">
        <v>162</v>
      </c>
      <c r="M264" t="s">
        <v>36</v>
      </c>
      <c r="N264" t="s">
        <v>37</v>
      </c>
      <c r="O264" t="s">
        <v>38</v>
      </c>
      <c r="R264" t="s">
        <v>98</v>
      </c>
      <c r="S264" t="s">
        <v>39</v>
      </c>
      <c r="T264">
        <v>0</v>
      </c>
      <c r="U264">
        <v>79704858</v>
      </c>
      <c r="V264">
        <v>5</v>
      </c>
      <c r="W264">
        <v>0</v>
      </c>
      <c r="X264" t="s">
        <v>163</v>
      </c>
      <c r="Y264" s="25">
        <v>45804</v>
      </c>
      <c r="AA264" s="25"/>
      <c r="AD264" t="s">
        <v>41</v>
      </c>
      <c r="AY264" t="s">
        <v>473</v>
      </c>
    </row>
    <row r="265" spans="1:51" x14ac:dyDescent="0.25">
      <c r="A265" t="str">
        <f t="shared" si="20"/>
        <v>5000005340108021776</v>
      </c>
      <c r="B265">
        <v>2</v>
      </c>
      <c r="C265">
        <v>10802177</v>
      </c>
      <c r="D265">
        <v>6</v>
      </c>
      <c r="E265">
        <v>5000005340</v>
      </c>
      <c r="F265" t="s">
        <v>199</v>
      </c>
      <c r="G265">
        <v>1</v>
      </c>
      <c r="H265" t="s">
        <v>35</v>
      </c>
      <c r="I265" s="25">
        <v>45803</v>
      </c>
      <c r="K265">
        <v>155000</v>
      </c>
      <c r="L265" t="s">
        <v>162</v>
      </c>
      <c r="M265" t="s">
        <v>36</v>
      </c>
      <c r="N265" t="s">
        <v>37</v>
      </c>
      <c r="O265" t="s">
        <v>38</v>
      </c>
      <c r="R265" t="s">
        <v>98</v>
      </c>
      <c r="S265" t="s">
        <v>39</v>
      </c>
      <c r="T265">
        <v>0</v>
      </c>
      <c r="U265">
        <v>79704858</v>
      </c>
      <c r="V265">
        <v>1</v>
      </c>
      <c r="W265">
        <v>0</v>
      </c>
      <c r="X265" t="s">
        <v>163</v>
      </c>
      <c r="Y265" s="25">
        <v>45804</v>
      </c>
      <c r="AD265" t="s">
        <v>41</v>
      </c>
      <c r="AY265" t="s">
        <v>493</v>
      </c>
    </row>
    <row r="266" spans="1:51" x14ac:dyDescent="0.25">
      <c r="A266" t="str">
        <f t="shared" si="20"/>
        <v>5000013640108021972</v>
      </c>
      <c r="B266">
        <v>3</v>
      </c>
      <c r="C266">
        <v>10802197</v>
      </c>
      <c r="D266">
        <v>2</v>
      </c>
      <c r="E266">
        <v>5000013640</v>
      </c>
      <c r="F266" t="s">
        <v>159</v>
      </c>
      <c r="G266">
        <v>5</v>
      </c>
      <c r="H266" t="s">
        <v>93</v>
      </c>
      <c r="I266" s="10">
        <v>45804</v>
      </c>
      <c r="K266" s="23">
        <v>15000</v>
      </c>
      <c r="L266" t="s">
        <v>162</v>
      </c>
      <c r="M266" t="s">
        <v>160</v>
      </c>
      <c r="N266" t="s">
        <v>37</v>
      </c>
      <c r="O266" t="s">
        <v>38</v>
      </c>
      <c r="R266" t="s">
        <v>98</v>
      </c>
      <c r="S266" t="s">
        <v>39</v>
      </c>
      <c r="T266">
        <v>0</v>
      </c>
      <c r="U266">
        <v>79704858</v>
      </c>
      <c r="V266">
        <v>5</v>
      </c>
      <c r="W266">
        <v>0</v>
      </c>
      <c r="X266" t="s">
        <v>163</v>
      </c>
      <c r="Y266" s="10">
        <v>45804</v>
      </c>
      <c r="AD266" t="s">
        <v>41</v>
      </c>
      <c r="AY266" t="s">
        <v>495</v>
      </c>
    </row>
    <row r="267" spans="1:51" x14ac:dyDescent="0.25">
      <c r="A267" t="str">
        <f t="shared" si="20"/>
        <v>5000016585108021973</v>
      </c>
      <c r="B267">
        <v>4</v>
      </c>
      <c r="C267">
        <v>10802197</v>
      </c>
      <c r="D267">
        <v>3</v>
      </c>
      <c r="E267">
        <v>5000016585</v>
      </c>
      <c r="F267" t="s">
        <v>306</v>
      </c>
      <c r="G267">
        <v>1</v>
      </c>
      <c r="H267" t="s">
        <v>35</v>
      </c>
      <c r="I267" s="10">
        <v>45804</v>
      </c>
      <c r="K267" s="23">
        <v>25000</v>
      </c>
      <c r="L267" t="s">
        <v>162</v>
      </c>
      <c r="M267" t="s">
        <v>36</v>
      </c>
      <c r="N267" t="s">
        <v>37</v>
      </c>
      <c r="O267" t="s">
        <v>38</v>
      </c>
      <c r="R267" t="s">
        <v>98</v>
      </c>
      <c r="S267" t="s">
        <v>39</v>
      </c>
      <c r="T267">
        <v>0</v>
      </c>
      <c r="U267">
        <v>79704858</v>
      </c>
      <c r="V267">
        <v>1</v>
      </c>
      <c r="W267">
        <v>0</v>
      </c>
      <c r="X267" t="s">
        <v>163</v>
      </c>
      <c r="Y267" s="10">
        <v>45804</v>
      </c>
      <c r="AD267" t="s">
        <v>41</v>
      </c>
      <c r="AY267" t="s">
        <v>496</v>
      </c>
    </row>
    <row r="268" spans="1:51" x14ac:dyDescent="0.25">
      <c r="A268" t="str">
        <f t="shared" si="20"/>
        <v>5000014668108022261</v>
      </c>
      <c r="B268">
        <v>1</v>
      </c>
      <c r="C268">
        <v>10802226</v>
      </c>
      <c r="D268">
        <v>1</v>
      </c>
      <c r="E268">
        <v>5000014668</v>
      </c>
      <c r="F268" t="s">
        <v>368</v>
      </c>
      <c r="G268">
        <v>1</v>
      </c>
      <c r="H268" t="s">
        <v>35</v>
      </c>
      <c r="I268" s="10">
        <v>45805</v>
      </c>
      <c r="K268" s="23">
        <v>2550000</v>
      </c>
      <c r="L268" t="s">
        <v>162</v>
      </c>
      <c r="M268" t="s">
        <v>36</v>
      </c>
      <c r="N268" t="s">
        <v>37</v>
      </c>
      <c r="O268" t="s">
        <v>38</v>
      </c>
      <c r="R268" t="s">
        <v>98</v>
      </c>
      <c r="S268" t="s">
        <v>39</v>
      </c>
      <c r="T268">
        <v>0</v>
      </c>
      <c r="U268">
        <v>79704853</v>
      </c>
      <c r="V268">
        <v>1</v>
      </c>
      <c r="W268">
        <v>0</v>
      </c>
      <c r="X268" t="s">
        <v>163</v>
      </c>
      <c r="Y268" s="10">
        <v>45804</v>
      </c>
      <c r="AD268" t="s">
        <v>41</v>
      </c>
      <c r="AY268" t="s">
        <v>497</v>
      </c>
    </row>
    <row r="269" spans="1:51" x14ac:dyDescent="0.25">
      <c r="A269" t="str">
        <f t="shared" si="20"/>
        <v>5000004248108023062</v>
      </c>
      <c r="B269">
        <v>1</v>
      </c>
      <c r="C269">
        <v>10802306</v>
      </c>
      <c r="D269">
        <v>2</v>
      </c>
      <c r="E269">
        <v>5000004248</v>
      </c>
      <c r="F269" t="s">
        <v>155</v>
      </c>
      <c r="G269">
        <v>13</v>
      </c>
      <c r="H269" t="s">
        <v>93</v>
      </c>
      <c r="I269" s="10">
        <v>45810</v>
      </c>
      <c r="K269" s="23">
        <v>65000</v>
      </c>
      <c r="L269" t="s">
        <v>162</v>
      </c>
      <c r="M269" t="s">
        <v>36</v>
      </c>
      <c r="N269" t="s">
        <v>37</v>
      </c>
      <c r="O269" t="s">
        <v>38</v>
      </c>
      <c r="R269" t="s">
        <v>98</v>
      </c>
      <c r="S269" t="s">
        <v>39</v>
      </c>
      <c r="T269">
        <v>0</v>
      </c>
      <c r="U269">
        <v>79704893</v>
      </c>
      <c r="V269">
        <v>0</v>
      </c>
      <c r="W269">
        <v>13</v>
      </c>
      <c r="X269" t="s">
        <v>163</v>
      </c>
      <c r="Y269" s="10">
        <v>45805</v>
      </c>
      <c r="AD269" t="s">
        <v>41</v>
      </c>
      <c r="AX269" t="s">
        <v>164</v>
      </c>
      <c r="AY269" t="s">
        <v>511</v>
      </c>
    </row>
    <row r="270" spans="1:51" x14ac:dyDescent="0.25">
      <c r="A270" t="str">
        <f t="shared" si="20"/>
        <v>5000008843108023063</v>
      </c>
      <c r="B270">
        <v>2</v>
      </c>
      <c r="C270">
        <v>10802306</v>
      </c>
      <c r="D270">
        <v>3</v>
      </c>
      <c r="E270">
        <v>5000008843</v>
      </c>
      <c r="F270" t="s">
        <v>150</v>
      </c>
      <c r="G270">
        <v>1</v>
      </c>
      <c r="H270" t="s">
        <v>35</v>
      </c>
      <c r="I270" s="10">
        <v>45810</v>
      </c>
      <c r="K270" s="23">
        <v>1025000</v>
      </c>
      <c r="L270" t="s">
        <v>162</v>
      </c>
      <c r="M270" t="s">
        <v>36</v>
      </c>
      <c r="N270" t="s">
        <v>37</v>
      </c>
      <c r="O270" t="s">
        <v>38</v>
      </c>
      <c r="R270" t="s">
        <v>98</v>
      </c>
      <c r="S270" t="s">
        <v>39</v>
      </c>
      <c r="T270">
        <v>0</v>
      </c>
      <c r="U270">
        <v>79704893</v>
      </c>
      <c r="V270">
        <v>0</v>
      </c>
      <c r="W270">
        <v>1</v>
      </c>
      <c r="X270" t="s">
        <v>163</v>
      </c>
      <c r="Y270" s="10">
        <v>45805</v>
      </c>
      <c r="AD270" t="s">
        <v>41</v>
      </c>
      <c r="AX270" t="s">
        <v>164</v>
      </c>
      <c r="AY270" t="s">
        <v>512</v>
      </c>
    </row>
    <row r="271" spans="1:51" x14ac:dyDescent="0.25">
      <c r="A271" t="str">
        <f t="shared" si="20"/>
        <v>5000005059108023065</v>
      </c>
      <c r="B271">
        <v>3</v>
      </c>
      <c r="C271">
        <v>10802306</v>
      </c>
      <c r="D271">
        <v>5</v>
      </c>
      <c r="E271">
        <v>5000005059</v>
      </c>
      <c r="F271" t="s">
        <v>153</v>
      </c>
      <c r="G271">
        <v>1</v>
      </c>
      <c r="H271" t="s">
        <v>93</v>
      </c>
      <c r="I271" s="10">
        <v>45810</v>
      </c>
      <c r="K271" s="23">
        <v>95000</v>
      </c>
      <c r="L271" t="s">
        <v>162</v>
      </c>
      <c r="M271" t="s">
        <v>36</v>
      </c>
      <c r="N271" t="s">
        <v>37</v>
      </c>
      <c r="O271" t="s">
        <v>38</v>
      </c>
      <c r="R271" t="s">
        <v>98</v>
      </c>
      <c r="S271" t="s">
        <v>39</v>
      </c>
      <c r="T271">
        <v>0</v>
      </c>
      <c r="U271">
        <v>79704893</v>
      </c>
      <c r="V271">
        <v>0</v>
      </c>
      <c r="W271">
        <v>1</v>
      </c>
      <c r="X271" t="s">
        <v>163</v>
      </c>
      <c r="Y271" s="10">
        <v>45805</v>
      </c>
      <c r="AD271" t="s">
        <v>41</v>
      </c>
      <c r="AX271" t="s">
        <v>164</v>
      </c>
      <c r="AY271" t="s">
        <v>514</v>
      </c>
    </row>
    <row r="272" spans="1:51" x14ac:dyDescent="0.25">
      <c r="A272" t="str">
        <f t="shared" si="20"/>
        <v>5000011754108023066</v>
      </c>
      <c r="B272">
        <v>4</v>
      </c>
      <c r="C272">
        <v>10802306</v>
      </c>
      <c r="D272">
        <v>6</v>
      </c>
      <c r="E272">
        <v>5000011754</v>
      </c>
      <c r="F272" t="s">
        <v>99</v>
      </c>
      <c r="G272">
        <v>1</v>
      </c>
      <c r="H272" t="s">
        <v>93</v>
      </c>
      <c r="I272" s="10">
        <v>45810</v>
      </c>
      <c r="K272" s="23">
        <v>20000</v>
      </c>
      <c r="L272" t="s">
        <v>162</v>
      </c>
      <c r="M272" t="s">
        <v>36</v>
      </c>
      <c r="N272" t="s">
        <v>37</v>
      </c>
      <c r="O272" t="s">
        <v>38</v>
      </c>
      <c r="R272" t="s">
        <v>98</v>
      </c>
      <c r="S272" t="s">
        <v>39</v>
      </c>
      <c r="T272">
        <v>0</v>
      </c>
      <c r="U272">
        <v>79704893</v>
      </c>
      <c r="V272">
        <v>0</v>
      </c>
      <c r="W272">
        <v>1</v>
      </c>
      <c r="X272" t="s">
        <v>163</v>
      </c>
      <c r="Y272" s="10">
        <v>45805</v>
      </c>
      <c r="AD272" t="s">
        <v>41</v>
      </c>
      <c r="AX272" t="s">
        <v>164</v>
      </c>
      <c r="AY272" t="s">
        <v>515</v>
      </c>
    </row>
    <row r="273" spans="1:51" x14ac:dyDescent="0.25">
      <c r="A273" t="str">
        <f t="shared" si="20"/>
        <v>5000012021108023067</v>
      </c>
      <c r="B273">
        <v>5</v>
      </c>
      <c r="C273">
        <v>10802306</v>
      </c>
      <c r="D273">
        <v>7</v>
      </c>
      <c r="E273">
        <v>5000012021</v>
      </c>
      <c r="F273" t="s">
        <v>188</v>
      </c>
      <c r="G273">
        <v>1</v>
      </c>
      <c r="H273" t="s">
        <v>93</v>
      </c>
      <c r="I273" s="10">
        <v>45810</v>
      </c>
      <c r="K273" s="23">
        <v>30000</v>
      </c>
      <c r="L273" t="s">
        <v>162</v>
      </c>
      <c r="M273" t="s">
        <v>36</v>
      </c>
      <c r="N273" t="s">
        <v>37</v>
      </c>
      <c r="O273" t="s">
        <v>38</v>
      </c>
      <c r="R273" t="s">
        <v>98</v>
      </c>
      <c r="S273" t="s">
        <v>39</v>
      </c>
      <c r="T273">
        <v>0</v>
      </c>
      <c r="U273">
        <v>79704893</v>
      </c>
      <c r="V273">
        <v>0</v>
      </c>
      <c r="W273">
        <v>1</v>
      </c>
      <c r="X273" t="s">
        <v>163</v>
      </c>
      <c r="Y273" s="10">
        <v>45805</v>
      </c>
      <c r="AD273" t="s">
        <v>41</v>
      </c>
      <c r="AX273" t="s">
        <v>164</v>
      </c>
      <c r="AY273" t="s">
        <v>516</v>
      </c>
    </row>
    <row r="274" spans="1:51" x14ac:dyDescent="0.25">
      <c r="A274" t="str">
        <f t="shared" si="20"/>
        <v>5000016308108023064</v>
      </c>
      <c r="B274">
        <v>1</v>
      </c>
      <c r="C274">
        <v>10802306</v>
      </c>
      <c r="D274">
        <v>4</v>
      </c>
      <c r="E274">
        <v>5000016308</v>
      </c>
      <c r="F274" t="s">
        <v>143</v>
      </c>
      <c r="G274">
        <v>1</v>
      </c>
      <c r="H274" t="s">
        <v>35</v>
      </c>
      <c r="I274" s="10">
        <v>45810</v>
      </c>
      <c r="K274" s="23">
        <v>2980000</v>
      </c>
      <c r="L274" t="s">
        <v>162</v>
      </c>
      <c r="M274" t="s">
        <v>36</v>
      </c>
      <c r="N274" t="s">
        <v>37</v>
      </c>
      <c r="O274" t="s">
        <v>38</v>
      </c>
      <c r="R274" t="s">
        <v>98</v>
      </c>
      <c r="S274" t="s">
        <v>39</v>
      </c>
      <c r="T274">
        <v>0</v>
      </c>
      <c r="U274">
        <v>79704894</v>
      </c>
      <c r="V274">
        <v>0</v>
      </c>
      <c r="W274">
        <v>1</v>
      </c>
      <c r="X274" t="s">
        <v>163</v>
      </c>
      <c r="Y274" s="10">
        <v>45805</v>
      </c>
      <c r="AD274" t="s">
        <v>41</v>
      </c>
      <c r="AX274" t="s">
        <v>164</v>
      </c>
      <c r="AY274" t="s">
        <v>522</v>
      </c>
    </row>
    <row r="275" spans="1:51" x14ac:dyDescent="0.25">
      <c r="A275" t="str">
        <f t="shared" si="20"/>
        <v>5000016728108023061</v>
      </c>
      <c r="B275">
        <v>1</v>
      </c>
      <c r="C275">
        <v>10802306</v>
      </c>
      <c r="D275">
        <v>1</v>
      </c>
      <c r="E275">
        <v>5000016728</v>
      </c>
      <c r="F275" t="s">
        <v>146</v>
      </c>
      <c r="G275">
        <v>1</v>
      </c>
      <c r="H275" t="s">
        <v>35</v>
      </c>
      <c r="I275" s="10">
        <v>45810</v>
      </c>
      <c r="K275" s="23">
        <v>346847</v>
      </c>
      <c r="L275" t="s">
        <v>162</v>
      </c>
      <c r="M275" t="s">
        <v>36</v>
      </c>
      <c r="N275" t="s">
        <v>37</v>
      </c>
      <c r="O275" t="s">
        <v>38</v>
      </c>
      <c r="R275" t="s">
        <v>98</v>
      </c>
      <c r="S275" t="s">
        <v>39</v>
      </c>
      <c r="T275">
        <v>0</v>
      </c>
      <c r="U275">
        <v>79704950</v>
      </c>
      <c r="V275">
        <v>1</v>
      </c>
      <c r="W275">
        <v>0</v>
      </c>
      <c r="X275" t="s">
        <v>163</v>
      </c>
      <c r="Y275" s="10">
        <v>45808</v>
      </c>
      <c r="AD275" t="s">
        <v>41</v>
      </c>
      <c r="AY275" t="s">
        <v>523</v>
      </c>
    </row>
    <row r="276" spans="1:51" x14ac:dyDescent="0.25">
      <c r="A276" t="str">
        <f t="shared" si="20"/>
        <v>5000017828108024873</v>
      </c>
      <c r="B276">
        <v>1</v>
      </c>
      <c r="C276">
        <v>10802487</v>
      </c>
      <c r="D276">
        <v>3</v>
      </c>
      <c r="E276">
        <v>5000017828</v>
      </c>
      <c r="F276" t="s">
        <v>532</v>
      </c>
      <c r="G276">
        <v>1</v>
      </c>
      <c r="H276" t="s">
        <v>35</v>
      </c>
      <c r="I276" s="10">
        <v>45822</v>
      </c>
      <c r="K276" s="23">
        <v>29729729.800000001</v>
      </c>
      <c r="L276" t="s">
        <v>162</v>
      </c>
      <c r="M276" t="s">
        <v>36</v>
      </c>
      <c r="N276" t="s">
        <v>37</v>
      </c>
      <c r="O276" t="s">
        <v>38</v>
      </c>
      <c r="R276" t="s">
        <v>98</v>
      </c>
      <c r="S276" t="s">
        <v>39</v>
      </c>
      <c r="T276">
        <v>0</v>
      </c>
      <c r="U276">
        <v>79705208</v>
      </c>
      <c r="V276">
        <v>1</v>
      </c>
      <c r="W276">
        <v>0</v>
      </c>
      <c r="X276" t="s">
        <v>163</v>
      </c>
      <c r="Y276" s="10">
        <v>45817</v>
      </c>
      <c r="AD276" t="s">
        <v>41</v>
      </c>
      <c r="AY276" t="s">
        <v>537</v>
      </c>
    </row>
    <row r="277" spans="1:51" x14ac:dyDescent="0.25">
      <c r="A277" t="str">
        <f t="shared" si="20"/>
        <v>5000014291108018421</v>
      </c>
      <c r="B277">
        <v>4</v>
      </c>
      <c r="C277">
        <v>10801842</v>
      </c>
      <c r="D277">
        <v>1</v>
      </c>
      <c r="E277">
        <v>5000014291</v>
      </c>
      <c r="F277" t="s">
        <v>406</v>
      </c>
      <c r="G277">
        <v>1</v>
      </c>
      <c r="H277" t="s">
        <v>296</v>
      </c>
      <c r="I277" s="10">
        <v>45782</v>
      </c>
      <c r="K277" s="23">
        <v>92500</v>
      </c>
      <c r="L277" t="s">
        <v>162</v>
      </c>
      <c r="M277" t="s">
        <v>36</v>
      </c>
      <c r="N277" t="s">
        <v>37</v>
      </c>
      <c r="O277" t="s">
        <v>38</v>
      </c>
      <c r="R277" t="s">
        <v>98</v>
      </c>
      <c r="S277" t="s">
        <v>39</v>
      </c>
      <c r="T277">
        <v>0</v>
      </c>
      <c r="U277">
        <v>79704089</v>
      </c>
      <c r="V277">
        <v>0</v>
      </c>
      <c r="W277">
        <v>1</v>
      </c>
      <c r="X277" t="s">
        <v>163</v>
      </c>
      <c r="Y277" s="10">
        <v>45782</v>
      </c>
      <c r="AD277" t="s">
        <v>41</v>
      </c>
      <c r="AX277" t="s">
        <v>164</v>
      </c>
      <c r="AY277" t="s">
        <v>466</v>
      </c>
    </row>
    <row r="278" spans="1:51" x14ac:dyDescent="0.25">
      <c r="A278" t="str">
        <f t="shared" si="20"/>
        <v>5000017786108018422</v>
      </c>
      <c r="B278">
        <v>5</v>
      </c>
      <c r="C278">
        <v>10801842</v>
      </c>
      <c r="D278">
        <v>2</v>
      </c>
      <c r="E278">
        <v>5000017786</v>
      </c>
      <c r="F278" t="s">
        <v>433</v>
      </c>
      <c r="G278">
        <v>1</v>
      </c>
      <c r="H278" t="s">
        <v>93</v>
      </c>
      <c r="I278" s="10">
        <v>45782</v>
      </c>
      <c r="K278" s="23">
        <v>59500</v>
      </c>
      <c r="L278" t="s">
        <v>162</v>
      </c>
      <c r="M278" t="s">
        <v>36</v>
      </c>
      <c r="N278" t="s">
        <v>37</v>
      </c>
      <c r="O278" t="s">
        <v>38</v>
      </c>
      <c r="R278" t="s">
        <v>98</v>
      </c>
      <c r="S278" t="s">
        <v>39</v>
      </c>
      <c r="T278">
        <v>0</v>
      </c>
      <c r="U278">
        <v>79704089</v>
      </c>
      <c r="V278">
        <v>0</v>
      </c>
      <c r="W278">
        <v>1</v>
      </c>
      <c r="X278" t="s">
        <v>163</v>
      </c>
      <c r="Y278" s="10">
        <v>45782</v>
      </c>
      <c r="AD278" t="s">
        <v>41</v>
      </c>
      <c r="AX278" t="s">
        <v>164</v>
      </c>
      <c r="AY278" t="s">
        <v>434</v>
      </c>
    </row>
    <row r="279" spans="1:51" x14ac:dyDescent="0.25">
      <c r="A279" t="str">
        <f t="shared" si="20"/>
        <v>5000016255108018425</v>
      </c>
      <c r="B279">
        <v>6</v>
      </c>
      <c r="C279">
        <v>10801842</v>
      </c>
      <c r="D279">
        <v>5</v>
      </c>
      <c r="E279">
        <v>5000016255</v>
      </c>
      <c r="F279" t="s">
        <v>110</v>
      </c>
      <c r="G279">
        <v>1</v>
      </c>
      <c r="H279" t="s">
        <v>93</v>
      </c>
      <c r="I279" s="10">
        <v>45783</v>
      </c>
      <c r="K279" s="23">
        <v>343000</v>
      </c>
      <c r="L279" t="s">
        <v>162</v>
      </c>
      <c r="M279" t="s">
        <v>36</v>
      </c>
      <c r="N279" t="s">
        <v>37</v>
      </c>
      <c r="O279" t="s">
        <v>38</v>
      </c>
      <c r="R279" t="s">
        <v>98</v>
      </c>
      <c r="S279" t="s">
        <v>39</v>
      </c>
      <c r="T279">
        <v>0</v>
      </c>
      <c r="U279">
        <v>79704089</v>
      </c>
      <c r="V279">
        <v>0</v>
      </c>
      <c r="W279">
        <v>1</v>
      </c>
      <c r="X279" t="s">
        <v>163</v>
      </c>
      <c r="Y279" s="10">
        <v>45782</v>
      </c>
      <c r="AD279" t="s">
        <v>41</v>
      </c>
      <c r="AX279" t="s">
        <v>164</v>
      </c>
      <c r="AY279" t="s">
        <v>443</v>
      </c>
    </row>
    <row r="280" spans="1:51" x14ac:dyDescent="0.25">
      <c r="A280" t="str">
        <f t="shared" si="20"/>
        <v>5000008843108018423</v>
      </c>
      <c r="B280">
        <v>2</v>
      </c>
      <c r="C280">
        <v>10801842</v>
      </c>
      <c r="D280">
        <v>3</v>
      </c>
      <c r="E280">
        <v>5000008843</v>
      </c>
      <c r="F280" t="s">
        <v>150</v>
      </c>
      <c r="G280">
        <v>1</v>
      </c>
      <c r="H280" t="s">
        <v>35</v>
      </c>
      <c r="I280" s="10">
        <v>45782</v>
      </c>
      <c r="K280" s="23">
        <v>1025000</v>
      </c>
      <c r="L280" t="s">
        <v>162</v>
      </c>
      <c r="M280" t="s">
        <v>36</v>
      </c>
      <c r="N280" t="s">
        <v>37</v>
      </c>
      <c r="O280" t="s">
        <v>38</v>
      </c>
      <c r="R280" t="s">
        <v>98</v>
      </c>
      <c r="S280" t="s">
        <v>39</v>
      </c>
      <c r="T280">
        <v>0</v>
      </c>
      <c r="U280">
        <v>79704092</v>
      </c>
      <c r="V280">
        <v>0</v>
      </c>
      <c r="W280">
        <v>1</v>
      </c>
      <c r="X280" t="s">
        <v>163</v>
      </c>
      <c r="Y280" s="10">
        <v>45782</v>
      </c>
      <c r="AD280" t="s">
        <v>41</v>
      </c>
      <c r="AX280" t="s">
        <v>164</v>
      </c>
      <c r="AY280" t="s">
        <v>440</v>
      </c>
    </row>
    <row r="281" spans="1:51" x14ac:dyDescent="0.25">
      <c r="A281" t="str">
        <f t="shared" ref="A281:A322" si="21">E281&amp;C281&amp;D281</f>
        <v>5000013640108021972</v>
      </c>
      <c r="B281">
        <v>3</v>
      </c>
      <c r="C281">
        <v>10802197</v>
      </c>
      <c r="D281">
        <v>2</v>
      </c>
      <c r="E281">
        <v>5000013640</v>
      </c>
      <c r="F281" t="s">
        <v>159</v>
      </c>
      <c r="G281">
        <v>5</v>
      </c>
      <c r="H281" t="s">
        <v>93</v>
      </c>
      <c r="I281" s="10">
        <v>45804</v>
      </c>
      <c r="K281" s="23">
        <v>15000</v>
      </c>
      <c r="L281" t="s">
        <v>162</v>
      </c>
      <c r="M281" t="s">
        <v>160</v>
      </c>
      <c r="N281" t="s">
        <v>37</v>
      </c>
      <c r="O281" t="s">
        <v>38</v>
      </c>
      <c r="R281" t="s">
        <v>98</v>
      </c>
      <c r="S281" t="s">
        <v>39</v>
      </c>
      <c r="T281">
        <v>0</v>
      </c>
      <c r="U281">
        <v>79704858</v>
      </c>
      <c r="V281">
        <v>0</v>
      </c>
      <c r="W281">
        <v>5</v>
      </c>
      <c r="X281" t="s">
        <v>163</v>
      </c>
      <c r="Y281" s="10">
        <v>45804</v>
      </c>
      <c r="AD281" t="s">
        <v>41</v>
      </c>
      <c r="AX281" t="s">
        <v>164</v>
      </c>
      <c r="AY281" t="s">
        <v>495</v>
      </c>
    </row>
    <row r="282" spans="1:51" x14ac:dyDescent="0.25">
      <c r="A282" t="str">
        <f t="shared" si="21"/>
        <v>5000016585108021973</v>
      </c>
      <c r="B282">
        <v>4</v>
      </c>
      <c r="C282">
        <v>10802197</v>
      </c>
      <c r="D282">
        <v>3</v>
      </c>
      <c r="E282">
        <v>5000016585</v>
      </c>
      <c r="F282" t="s">
        <v>306</v>
      </c>
      <c r="G282">
        <v>1</v>
      </c>
      <c r="H282" t="s">
        <v>35</v>
      </c>
      <c r="I282" s="10">
        <v>45804</v>
      </c>
      <c r="K282" s="23">
        <v>25000</v>
      </c>
      <c r="L282" t="s">
        <v>162</v>
      </c>
      <c r="M282" t="s">
        <v>36</v>
      </c>
      <c r="N282" t="s">
        <v>37</v>
      </c>
      <c r="O282" t="s">
        <v>38</v>
      </c>
      <c r="R282" t="s">
        <v>98</v>
      </c>
      <c r="S282" t="s">
        <v>39</v>
      </c>
      <c r="T282">
        <v>0</v>
      </c>
      <c r="U282">
        <v>79704858</v>
      </c>
      <c r="V282">
        <v>0</v>
      </c>
      <c r="W282">
        <v>1</v>
      </c>
      <c r="X282" t="s">
        <v>163</v>
      </c>
      <c r="Y282" s="10">
        <v>45804</v>
      </c>
      <c r="AD282" t="s">
        <v>41</v>
      </c>
      <c r="AX282" t="s">
        <v>164</v>
      </c>
      <c r="AY282" t="s">
        <v>496</v>
      </c>
    </row>
    <row r="283" spans="1:51" x14ac:dyDescent="0.25">
      <c r="A283" t="str">
        <f t="shared" si="21"/>
        <v>5000017828108024873</v>
      </c>
      <c r="B283">
        <v>1</v>
      </c>
      <c r="C283">
        <v>10802487</v>
      </c>
      <c r="D283">
        <v>3</v>
      </c>
      <c r="E283">
        <v>5000017828</v>
      </c>
      <c r="F283" t="s">
        <v>532</v>
      </c>
      <c r="G283">
        <v>1</v>
      </c>
      <c r="H283" t="s">
        <v>35</v>
      </c>
      <c r="I283" s="10">
        <v>45822</v>
      </c>
      <c r="K283" s="23">
        <v>29729729.800000001</v>
      </c>
      <c r="L283" t="s">
        <v>162</v>
      </c>
      <c r="M283" t="s">
        <v>36</v>
      </c>
      <c r="N283" t="s">
        <v>37</v>
      </c>
      <c r="O283" t="s">
        <v>38</v>
      </c>
      <c r="R283" t="s">
        <v>98</v>
      </c>
      <c r="S283" t="s">
        <v>39</v>
      </c>
      <c r="T283">
        <v>0</v>
      </c>
      <c r="U283">
        <v>79705208</v>
      </c>
      <c r="V283">
        <v>0</v>
      </c>
      <c r="W283">
        <v>1</v>
      </c>
      <c r="X283" t="s">
        <v>163</v>
      </c>
      <c r="Y283" s="10">
        <v>45817</v>
      </c>
      <c r="AD283" t="s">
        <v>41</v>
      </c>
      <c r="AX283" t="s">
        <v>164</v>
      </c>
      <c r="AY283" t="s">
        <v>537</v>
      </c>
    </row>
    <row r="284" spans="1:51" x14ac:dyDescent="0.25">
      <c r="A284" t="str">
        <f t="shared" si="21"/>
        <v>5000013008108024647</v>
      </c>
      <c r="B284">
        <v>1</v>
      </c>
      <c r="C284">
        <v>10802464</v>
      </c>
      <c r="D284">
        <v>7</v>
      </c>
      <c r="E284">
        <v>5000013008</v>
      </c>
      <c r="F284" t="s">
        <v>529</v>
      </c>
      <c r="G284">
        <v>1</v>
      </c>
      <c r="H284" t="s">
        <v>35</v>
      </c>
      <c r="I284" s="10">
        <v>45819</v>
      </c>
      <c r="K284" s="23">
        <v>3288288.3</v>
      </c>
      <c r="L284" t="s">
        <v>162</v>
      </c>
      <c r="M284" t="s">
        <v>36</v>
      </c>
      <c r="N284" t="s">
        <v>37</v>
      </c>
      <c r="O284" t="s">
        <v>38</v>
      </c>
      <c r="R284" t="s">
        <v>98</v>
      </c>
      <c r="S284" t="s">
        <v>39</v>
      </c>
      <c r="T284">
        <v>0</v>
      </c>
      <c r="U284">
        <v>79705275</v>
      </c>
      <c r="V284">
        <v>1</v>
      </c>
      <c r="W284">
        <v>0</v>
      </c>
      <c r="X284" t="s">
        <v>163</v>
      </c>
      <c r="Y284" s="10">
        <v>45818</v>
      </c>
      <c r="AA284" s="25"/>
      <c r="AD284" t="s">
        <v>41</v>
      </c>
      <c r="AY284" t="s">
        <v>541</v>
      </c>
    </row>
    <row r="285" spans="1:51" x14ac:dyDescent="0.25">
      <c r="A285" t="str">
        <f t="shared" si="21"/>
        <v>5000016728108024871</v>
      </c>
      <c r="B285">
        <v>2</v>
      </c>
      <c r="C285">
        <v>10802487</v>
      </c>
      <c r="D285">
        <v>1</v>
      </c>
      <c r="E285">
        <v>5000016728</v>
      </c>
      <c r="F285" t="s">
        <v>146</v>
      </c>
      <c r="G285">
        <v>1</v>
      </c>
      <c r="H285" t="s">
        <v>35</v>
      </c>
      <c r="I285" s="10">
        <v>45822</v>
      </c>
      <c r="K285" s="23">
        <v>346847</v>
      </c>
      <c r="L285" t="s">
        <v>162</v>
      </c>
      <c r="M285" t="s">
        <v>36</v>
      </c>
      <c r="N285" t="s">
        <v>37</v>
      </c>
      <c r="O285" t="s">
        <v>38</v>
      </c>
      <c r="R285" t="s">
        <v>98</v>
      </c>
      <c r="S285" t="s">
        <v>39</v>
      </c>
      <c r="T285">
        <v>0</v>
      </c>
      <c r="U285">
        <v>79705275</v>
      </c>
      <c r="V285">
        <v>1</v>
      </c>
      <c r="W285">
        <v>0</v>
      </c>
      <c r="X285" t="s">
        <v>163</v>
      </c>
      <c r="Y285" s="10">
        <v>45818</v>
      </c>
      <c r="AD285" t="s">
        <v>41</v>
      </c>
      <c r="AY285" t="s">
        <v>542</v>
      </c>
    </row>
    <row r="286" spans="1:51" x14ac:dyDescent="0.25">
      <c r="A286" t="str">
        <f t="shared" si="21"/>
        <v>5000000739108024872</v>
      </c>
      <c r="B286">
        <v>3</v>
      </c>
      <c r="C286">
        <v>10802487</v>
      </c>
      <c r="D286">
        <v>2</v>
      </c>
      <c r="E286">
        <v>5000000739</v>
      </c>
      <c r="F286" t="s">
        <v>261</v>
      </c>
      <c r="G286">
        <v>1</v>
      </c>
      <c r="H286" t="s">
        <v>262</v>
      </c>
      <c r="I286" s="10">
        <v>45822</v>
      </c>
      <c r="K286" s="23">
        <v>2072072.1</v>
      </c>
      <c r="L286" t="s">
        <v>162</v>
      </c>
      <c r="M286" t="s">
        <v>36</v>
      </c>
      <c r="N286" t="s">
        <v>37</v>
      </c>
      <c r="O286" t="s">
        <v>38</v>
      </c>
      <c r="R286" t="s">
        <v>98</v>
      </c>
      <c r="S286" t="s">
        <v>39</v>
      </c>
      <c r="T286">
        <v>0</v>
      </c>
      <c r="U286">
        <v>79705275</v>
      </c>
      <c r="V286">
        <v>1</v>
      </c>
      <c r="W286">
        <v>0</v>
      </c>
      <c r="X286" t="s">
        <v>163</v>
      </c>
      <c r="Y286" s="10">
        <v>45818</v>
      </c>
      <c r="AD286" t="s">
        <v>41</v>
      </c>
      <c r="AY286" t="s">
        <v>543</v>
      </c>
    </row>
    <row r="287" spans="1:51" x14ac:dyDescent="0.25">
      <c r="A287" t="str">
        <f t="shared" si="21"/>
        <v>5000013499108024123</v>
      </c>
      <c r="B287">
        <v>1</v>
      </c>
      <c r="C287">
        <v>10802412</v>
      </c>
      <c r="D287">
        <v>3</v>
      </c>
      <c r="E287">
        <v>5000013499</v>
      </c>
      <c r="F287" t="s">
        <v>244</v>
      </c>
      <c r="G287">
        <v>1</v>
      </c>
      <c r="H287" t="s">
        <v>35</v>
      </c>
      <c r="I287" s="10">
        <v>45817</v>
      </c>
      <c r="K287" s="23">
        <v>290000</v>
      </c>
      <c r="L287" t="s">
        <v>162</v>
      </c>
      <c r="M287" t="s">
        <v>160</v>
      </c>
      <c r="N287" t="s">
        <v>37</v>
      </c>
      <c r="O287" t="s">
        <v>38</v>
      </c>
      <c r="R287" t="s">
        <v>98</v>
      </c>
      <c r="S287" t="s">
        <v>39</v>
      </c>
      <c r="T287">
        <v>0</v>
      </c>
      <c r="U287">
        <v>79705283</v>
      </c>
      <c r="V287">
        <v>1</v>
      </c>
      <c r="W287">
        <v>0</v>
      </c>
      <c r="X287" t="s">
        <v>163</v>
      </c>
      <c r="Y287" s="10">
        <v>45818</v>
      </c>
      <c r="AD287" t="s">
        <v>41</v>
      </c>
      <c r="AY287" t="s">
        <v>519</v>
      </c>
    </row>
    <row r="288" spans="1:51" x14ac:dyDescent="0.25">
      <c r="A288" t="str">
        <f t="shared" si="21"/>
        <v>5000017289108024642</v>
      </c>
      <c r="B288">
        <v>2</v>
      </c>
      <c r="C288">
        <v>10802464</v>
      </c>
      <c r="D288">
        <v>2</v>
      </c>
      <c r="E288">
        <v>5000017289</v>
      </c>
      <c r="F288" t="s">
        <v>525</v>
      </c>
      <c r="G288">
        <v>3</v>
      </c>
      <c r="H288" t="s">
        <v>93</v>
      </c>
      <c r="I288" s="10">
        <v>45819</v>
      </c>
      <c r="K288" s="23">
        <v>36000</v>
      </c>
      <c r="L288" t="s">
        <v>162</v>
      </c>
      <c r="M288" t="s">
        <v>36</v>
      </c>
      <c r="N288" t="s">
        <v>37</v>
      </c>
      <c r="O288" t="s">
        <v>38</v>
      </c>
      <c r="R288" t="s">
        <v>98</v>
      </c>
      <c r="S288" t="s">
        <v>39</v>
      </c>
      <c r="T288">
        <v>0</v>
      </c>
      <c r="U288">
        <v>79705283</v>
      </c>
      <c r="V288">
        <v>3</v>
      </c>
      <c r="W288">
        <v>0</v>
      </c>
      <c r="X288" t="s">
        <v>163</v>
      </c>
      <c r="Y288" s="10">
        <v>45818</v>
      </c>
      <c r="AD288" t="s">
        <v>41</v>
      </c>
      <c r="AY288" t="s">
        <v>544</v>
      </c>
    </row>
    <row r="289" spans="1:51" x14ac:dyDescent="0.25">
      <c r="A289" t="str">
        <f t="shared" si="21"/>
        <v>5000016308108024643</v>
      </c>
      <c r="B289">
        <v>3</v>
      </c>
      <c r="C289">
        <v>10802464</v>
      </c>
      <c r="D289">
        <v>3</v>
      </c>
      <c r="E289">
        <v>5000016308</v>
      </c>
      <c r="F289" t="s">
        <v>143</v>
      </c>
      <c r="G289">
        <v>1</v>
      </c>
      <c r="H289" t="s">
        <v>35</v>
      </c>
      <c r="I289" s="10">
        <v>45819</v>
      </c>
      <c r="K289" s="23">
        <v>2980000</v>
      </c>
      <c r="L289" t="s">
        <v>162</v>
      </c>
      <c r="M289" t="s">
        <v>36</v>
      </c>
      <c r="N289" t="s">
        <v>37</v>
      </c>
      <c r="O289" t="s">
        <v>38</v>
      </c>
      <c r="R289" t="s">
        <v>98</v>
      </c>
      <c r="S289" t="s">
        <v>39</v>
      </c>
      <c r="T289">
        <v>0</v>
      </c>
      <c r="U289">
        <v>79705283</v>
      </c>
      <c r="V289">
        <v>1</v>
      </c>
      <c r="W289">
        <v>0</v>
      </c>
      <c r="X289" t="s">
        <v>163</v>
      </c>
      <c r="Y289" s="10">
        <v>45818</v>
      </c>
      <c r="AD289" t="s">
        <v>41</v>
      </c>
      <c r="AY289" t="s">
        <v>545</v>
      </c>
    </row>
    <row r="290" spans="1:51" x14ac:dyDescent="0.25">
      <c r="A290" t="str">
        <f t="shared" si="21"/>
        <v>5000005059108024121</v>
      </c>
      <c r="B290">
        <v>1</v>
      </c>
      <c r="C290">
        <v>10802412</v>
      </c>
      <c r="D290">
        <v>1</v>
      </c>
      <c r="E290">
        <v>5000005059</v>
      </c>
      <c r="F290" t="s">
        <v>153</v>
      </c>
      <c r="G290">
        <v>10</v>
      </c>
      <c r="H290" t="s">
        <v>93</v>
      </c>
      <c r="I290" s="10">
        <v>45815</v>
      </c>
      <c r="K290" s="23">
        <v>95000</v>
      </c>
      <c r="L290" t="s">
        <v>162</v>
      </c>
      <c r="M290" t="s">
        <v>36</v>
      </c>
      <c r="N290" t="s">
        <v>37</v>
      </c>
      <c r="O290" t="s">
        <v>38</v>
      </c>
      <c r="R290" t="s">
        <v>98</v>
      </c>
      <c r="S290" t="s">
        <v>39</v>
      </c>
      <c r="T290">
        <v>0</v>
      </c>
      <c r="U290">
        <v>79705285</v>
      </c>
      <c r="V290">
        <v>10</v>
      </c>
      <c r="W290">
        <v>0</v>
      </c>
      <c r="X290" t="s">
        <v>163</v>
      </c>
      <c r="Y290" s="10">
        <v>45818</v>
      </c>
      <c r="AD290" t="s">
        <v>41</v>
      </c>
      <c r="AY290" t="s">
        <v>517</v>
      </c>
    </row>
    <row r="291" spans="1:51" x14ac:dyDescent="0.25">
      <c r="A291" t="str">
        <f t="shared" si="21"/>
        <v>5000005340108024122</v>
      </c>
      <c r="B291">
        <v>2</v>
      </c>
      <c r="C291">
        <v>10802412</v>
      </c>
      <c r="D291">
        <v>2</v>
      </c>
      <c r="E291">
        <v>5000005340</v>
      </c>
      <c r="F291" t="s">
        <v>199</v>
      </c>
      <c r="G291">
        <v>1</v>
      </c>
      <c r="H291" t="s">
        <v>35</v>
      </c>
      <c r="I291" s="10">
        <v>45815</v>
      </c>
      <c r="K291" s="23">
        <v>155000</v>
      </c>
      <c r="L291" t="s">
        <v>162</v>
      </c>
      <c r="M291" t="s">
        <v>36</v>
      </c>
      <c r="N291" t="s">
        <v>37</v>
      </c>
      <c r="O291" t="s">
        <v>38</v>
      </c>
      <c r="R291" t="s">
        <v>98</v>
      </c>
      <c r="S291" t="s">
        <v>39</v>
      </c>
      <c r="T291">
        <v>0</v>
      </c>
      <c r="U291">
        <v>79705285</v>
      </c>
      <c r="V291">
        <v>1</v>
      </c>
      <c r="W291">
        <v>0</v>
      </c>
      <c r="X291" t="s">
        <v>163</v>
      </c>
      <c r="Y291" s="10">
        <v>45818</v>
      </c>
      <c r="AD291" t="s">
        <v>41</v>
      </c>
      <c r="AY291" t="s">
        <v>518</v>
      </c>
    </row>
    <row r="292" spans="1:51" x14ac:dyDescent="0.25">
      <c r="A292" t="str">
        <f t="shared" si="21"/>
        <v>5000008843108024641</v>
      </c>
      <c r="B292">
        <v>3</v>
      </c>
      <c r="C292">
        <v>10802464</v>
      </c>
      <c r="D292">
        <v>1</v>
      </c>
      <c r="E292">
        <v>5000008843</v>
      </c>
      <c r="F292" t="s">
        <v>150</v>
      </c>
      <c r="G292">
        <v>2</v>
      </c>
      <c r="H292" t="s">
        <v>35</v>
      </c>
      <c r="I292" s="10">
        <v>45819</v>
      </c>
      <c r="K292" s="23">
        <v>1025000</v>
      </c>
      <c r="L292" t="s">
        <v>162</v>
      </c>
      <c r="M292" t="s">
        <v>36</v>
      </c>
      <c r="N292" t="s">
        <v>37</v>
      </c>
      <c r="O292" t="s">
        <v>38</v>
      </c>
      <c r="R292" t="s">
        <v>98</v>
      </c>
      <c r="S292" t="s">
        <v>39</v>
      </c>
      <c r="T292">
        <v>0</v>
      </c>
      <c r="U292">
        <v>79705285</v>
      </c>
      <c r="V292">
        <v>2</v>
      </c>
      <c r="W292">
        <v>0</v>
      </c>
      <c r="X292" t="s">
        <v>163</v>
      </c>
      <c r="Y292" s="10">
        <v>45818</v>
      </c>
      <c r="AD292" t="s">
        <v>41</v>
      </c>
      <c r="AY292" t="s">
        <v>524</v>
      </c>
    </row>
    <row r="293" spans="1:51" x14ac:dyDescent="0.25">
      <c r="A293" t="str">
        <f t="shared" si="21"/>
        <v>5000005059108024644</v>
      </c>
      <c r="B293">
        <v>4</v>
      </c>
      <c r="C293">
        <v>10802464</v>
      </c>
      <c r="D293">
        <v>4</v>
      </c>
      <c r="E293">
        <v>5000005059</v>
      </c>
      <c r="F293" t="s">
        <v>153</v>
      </c>
      <c r="G293">
        <v>1</v>
      </c>
      <c r="H293" t="s">
        <v>93</v>
      </c>
      <c r="I293" s="10">
        <v>45819</v>
      </c>
      <c r="K293" s="23">
        <v>95000</v>
      </c>
      <c r="L293" t="s">
        <v>162</v>
      </c>
      <c r="M293" t="s">
        <v>36</v>
      </c>
      <c r="N293" t="s">
        <v>37</v>
      </c>
      <c r="O293" t="s">
        <v>38</v>
      </c>
      <c r="R293" t="s">
        <v>98</v>
      </c>
      <c r="S293" t="s">
        <v>39</v>
      </c>
      <c r="T293">
        <v>0</v>
      </c>
      <c r="U293">
        <v>79705285</v>
      </c>
      <c r="V293">
        <v>1</v>
      </c>
      <c r="W293">
        <v>0</v>
      </c>
      <c r="X293" t="s">
        <v>163</v>
      </c>
      <c r="Y293" s="10">
        <v>45818</v>
      </c>
      <c r="AD293" t="s">
        <v>41</v>
      </c>
      <c r="AY293" t="s">
        <v>528</v>
      </c>
    </row>
    <row r="294" spans="1:51" x14ac:dyDescent="0.25">
      <c r="A294" t="str">
        <f t="shared" si="21"/>
        <v>5000004248108024645</v>
      </c>
      <c r="B294">
        <v>5</v>
      </c>
      <c r="C294">
        <v>10802464</v>
      </c>
      <c r="D294">
        <v>5</v>
      </c>
      <c r="E294">
        <v>5000004248</v>
      </c>
      <c r="F294" t="s">
        <v>155</v>
      </c>
      <c r="G294">
        <v>1</v>
      </c>
      <c r="H294" t="s">
        <v>93</v>
      </c>
      <c r="I294" s="10">
        <v>45819</v>
      </c>
      <c r="K294" s="23">
        <v>65000</v>
      </c>
      <c r="L294" t="s">
        <v>162</v>
      </c>
      <c r="M294" t="s">
        <v>36</v>
      </c>
      <c r="N294" t="s">
        <v>37</v>
      </c>
      <c r="O294" t="s">
        <v>38</v>
      </c>
      <c r="R294" t="s">
        <v>98</v>
      </c>
      <c r="S294" t="s">
        <v>39</v>
      </c>
      <c r="T294">
        <v>0</v>
      </c>
      <c r="U294">
        <v>79705285</v>
      </c>
      <c r="V294">
        <v>1</v>
      </c>
      <c r="W294">
        <v>0</v>
      </c>
      <c r="X294" t="s">
        <v>163</v>
      </c>
      <c r="Y294" s="10">
        <v>45818</v>
      </c>
      <c r="AD294" t="s">
        <v>41</v>
      </c>
      <c r="AY294" t="s">
        <v>527</v>
      </c>
    </row>
    <row r="295" spans="1:51" x14ac:dyDescent="0.25">
      <c r="A295" t="str">
        <f t="shared" si="21"/>
        <v>5000012021108024646</v>
      </c>
      <c r="B295">
        <v>6</v>
      </c>
      <c r="C295">
        <v>10802464</v>
      </c>
      <c r="D295">
        <v>6</v>
      </c>
      <c r="E295">
        <v>5000012021</v>
      </c>
      <c r="F295" t="s">
        <v>188</v>
      </c>
      <c r="G295">
        <v>1</v>
      </c>
      <c r="H295" t="s">
        <v>93</v>
      </c>
      <c r="I295" s="10">
        <v>45819</v>
      </c>
      <c r="K295" s="23">
        <v>30000</v>
      </c>
      <c r="L295" t="s">
        <v>162</v>
      </c>
      <c r="M295" t="s">
        <v>36</v>
      </c>
      <c r="N295" t="s">
        <v>37</v>
      </c>
      <c r="O295" t="s">
        <v>38</v>
      </c>
      <c r="R295" t="s">
        <v>98</v>
      </c>
      <c r="S295" t="s">
        <v>39</v>
      </c>
      <c r="T295">
        <v>0</v>
      </c>
      <c r="U295">
        <v>79705285</v>
      </c>
      <c r="V295">
        <v>1</v>
      </c>
      <c r="W295">
        <v>0</v>
      </c>
      <c r="X295" t="s">
        <v>163</v>
      </c>
      <c r="Y295" s="10">
        <v>45818</v>
      </c>
      <c r="AD295" t="s">
        <v>41</v>
      </c>
      <c r="AY295" t="s">
        <v>527</v>
      </c>
    </row>
    <row r="296" spans="1:51" x14ac:dyDescent="0.25">
      <c r="A296" t="str">
        <f t="shared" si="21"/>
        <v>5000015091108024291</v>
      </c>
      <c r="B296">
        <v>1</v>
      </c>
      <c r="C296">
        <v>10802429</v>
      </c>
      <c r="D296">
        <v>1</v>
      </c>
      <c r="E296">
        <v>5000015091</v>
      </c>
      <c r="F296" t="s">
        <v>520</v>
      </c>
      <c r="G296">
        <v>1</v>
      </c>
      <c r="H296" t="s">
        <v>296</v>
      </c>
      <c r="I296" s="10">
        <v>45817</v>
      </c>
      <c r="K296" s="23">
        <v>90000</v>
      </c>
      <c r="L296" t="s">
        <v>162</v>
      </c>
      <c r="M296" t="s">
        <v>36</v>
      </c>
      <c r="N296" t="s">
        <v>37</v>
      </c>
      <c r="O296" t="s">
        <v>38</v>
      </c>
      <c r="R296" t="s">
        <v>98</v>
      </c>
      <c r="S296" t="s">
        <v>39</v>
      </c>
      <c r="T296">
        <v>0</v>
      </c>
      <c r="U296">
        <v>79705286</v>
      </c>
      <c r="V296">
        <v>1</v>
      </c>
      <c r="W296">
        <v>0</v>
      </c>
      <c r="X296" t="s">
        <v>163</v>
      </c>
      <c r="Y296" s="10">
        <v>45818</v>
      </c>
      <c r="AD296" t="s">
        <v>41</v>
      </c>
      <c r="AY296" t="s">
        <v>521</v>
      </c>
    </row>
    <row r="297" spans="1:51" x14ac:dyDescent="0.25">
      <c r="A297" t="str">
        <f t="shared" si="21"/>
        <v>5000009123108024962</v>
      </c>
      <c r="B297">
        <v>1</v>
      </c>
      <c r="C297">
        <v>10802496</v>
      </c>
      <c r="D297">
        <v>2</v>
      </c>
      <c r="E297">
        <v>5000009123</v>
      </c>
      <c r="F297" t="s">
        <v>535</v>
      </c>
      <c r="G297">
        <v>1</v>
      </c>
      <c r="H297" t="s">
        <v>35</v>
      </c>
      <c r="I297" s="10">
        <v>45824</v>
      </c>
      <c r="K297" s="23">
        <v>315315.40000000002</v>
      </c>
      <c r="L297" t="s">
        <v>162</v>
      </c>
      <c r="M297" t="s">
        <v>36</v>
      </c>
      <c r="N297" t="s">
        <v>37</v>
      </c>
      <c r="O297" t="s">
        <v>38</v>
      </c>
      <c r="R297" t="s">
        <v>98</v>
      </c>
      <c r="S297" t="s">
        <v>39</v>
      </c>
      <c r="T297">
        <v>0</v>
      </c>
      <c r="U297">
        <v>79705367</v>
      </c>
      <c r="V297">
        <v>1</v>
      </c>
      <c r="W297">
        <v>0</v>
      </c>
      <c r="X297" t="s">
        <v>163</v>
      </c>
      <c r="Y297" s="10">
        <v>45820</v>
      </c>
      <c r="Z297" t="s">
        <v>163</v>
      </c>
      <c r="AA297" s="25">
        <v>45820</v>
      </c>
      <c r="AD297" t="s">
        <v>41</v>
      </c>
      <c r="AY297" t="s">
        <v>546</v>
      </c>
    </row>
    <row r="298" spans="1:51" x14ac:dyDescent="0.25">
      <c r="A298" t="str">
        <f t="shared" si="21"/>
        <v>5000014291108018421</v>
      </c>
      <c r="B298">
        <v>4</v>
      </c>
      <c r="C298">
        <v>10801842</v>
      </c>
      <c r="D298">
        <v>1</v>
      </c>
      <c r="E298">
        <v>5000014291</v>
      </c>
      <c r="F298" t="s">
        <v>406</v>
      </c>
      <c r="G298">
        <v>1</v>
      </c>
      <c r="H298" t="s">
        <v>296</v>
      </c>
      <c r="I298" s="10">
        <v>45782</v>
      </c>
      <c r="K298" s="23">
        <v>92500</v>
      </c>
      <c r="L298" t="s">
        <v>162</v>
      </c>
      <c r="M298" t="s">
        <v>36</v>
      </c>
      <c r="N298" t="s">
        <v>37</v>
      </c>
      <c r="O298" t="s">
        <v>38</v>
      </c>
      <c r="R298" t="s">
        <v>98</v>
      </c>
      <c r="S298" t="s">
        <v>39</v>
      </c>
      <c r="T298">
        <v>0</v>
      </c>
      <c r="U298">
        <v>79704089</v>
      </c>
      <c r="V298">
        <v>0</v>
      </c>
      <c r="W298">
        <v>1</v>
      </c>
      <c r="X298" t="s">
        <v>163</v>
      </c>
      <c r="Y298" s="10">
        <v>45782</v>
      </c>
      <c r="AD298" t="s">
        <v>41</v>
      </c>
      <c r="AX298" t="s">
        <v>164</v>
      </c>
      <c r="AY298" t="s">
        <v>466</v>
      </c>
    </row>
    <row r="299" spans="1:51" x14ac:dyDescent="0.25">
      <c r="A299" t="str">
        <f t="shared" si="21"/>
        <v>5000017786108018422</v>
      </c>
      <c r="B299">
        <v>5</v>
      </c>
      <c r="C299">
        <v>10801842</v>
      </c>
      <c r="D299">
        <v>2</v>
      </c>
      <c r="E299">
        <v>5000017786</v>
      </c>
      <c r="F299" t="s">
        <v>433</v>
      </c>
      <c r="G299">
        <v>1</v>
      </c>
      <c r="H299" t="s">
        <v>93</v>
      </c>
      <c r="I299" s="10">
        <v>45782</v>
      </c>
      <c r="K299" s="23">
        <v>59500</v>
      </c>
      <c r="L299" t="s">
        <v>162</v>
      </c>
      <c r="M299" t="s">
        <v>36</v>
      </c>
      <c r="N299" t="s">
        <v>37</v>
      </c>
      <c r="O299" t="s">
        <v>38</v>
      </c>
      <c r="R299" t="s">
        <v>98</v>
      </c>
      <c r="S299" t="s">
        <v>39</v>
      </c>
      <c r="T299">
        <v>0</v>
      </c>
      <c r="U299">
        <v>79704089</v>
      </c>
      <c r="V299">
        <v>0</v>
      </c>
      <c r="W299">
        <v>1</v>
      </c>
      <c r="X299" t="s">
        <v>163</v>
      </c>
      <c r="Y299" s="10">
        <v>45782</v>
      </c>
      <c r="AD299" t="s">
        <v>41</v>
      </c>
      <c r="AX299" t="s">
        <v>164</v>
      </c>
      <c r="AY299" t="s">
        <v>434</v>
      </c>
    </row>
    <row r="300" spans="1:51" x14ac:dyDescent="0.25">
      <c r="A300" t="str">
        <f t="shared" si="21"/>
        <v>5000016255108018425</v>
      </c>
      <c r="B300">
        <v>6</v>
      </c>
      <c r="C300">
        <v>10801842</v>
      </c>
      <c r="D300">
        <v>5</v>
      </c>
      <c r="E300">
        <v>5000016255</v>
      </c>
      <c r="F300" t="s">
        <v>110</v>
      </c>
      <c r="G300">
        <v>1</v>
      </c>
      <c r="H300" t="s">
        <v>93</v>
      </c>
      <c r="I300" s="10">
        <v>45783</v>
      </c>
      <c r="K300" s="23">
        <v>343000</v>
      </c>
      <c r="L300" t="s">
        <v>162</v>
      </c>
      <c r="M300" t="s">
        <v>36</v>
      </c>
      <c r="N300" t="s">
        <v>37</v>
      </c>
      <c r="O300" t="s">
        <v>38</v>
      </c>
      <c r="R300" t="s">
        <v>98</v>
      </c>
      <c r="S300" t="s">
        <v>39</v>
      </c>
      <c r="T300">
        <v>0</v>
      </c>
      <c r="U300">
        <v>79704089</v>
      </c>
      <c r="V300">
        <v>0</v>
      </c>
      <c r="W300">
        <v>1</v>
      </c>
      <c r="X300" t="s">
        <v>163</v>
      </c>
      <c r="Y300" s="10">
        <v>45782</v>
      </c>
      <c r="AD300" t="s">
        <v>41</v>
      </c>
      <c r="AX300" t="s">
        <v>164</v>
      </c>
      <c r="AY300" t="s">
        <v>443</v>
      </c>
    </row>
    <row r="301" spans="1:51" x14ac:dyDescent="0.25">
      <c r="A301" t="str">
        <f t="shared" si="21"/>
        <v>5000008843108018423</v>
      </c>
      <c r="B301">
        <v>2</v>
      </c>
      <c r="C301">
        <v>10801842</v>
      </c>
      <c r="D301">
        <v>3</v>
      </c>
      <c r="E301">
        <v>5000008843</v>
      </c>
      <c r="F301" t="s">
        <v>150</v>
      </c>
      <c r="G301">
        <v>1</v>
      </c>
      <c r="H301" t="s">
        <v>35</v>
      </c>
      <c r="I301" s="10">
        <v>45782</v>
      </c>
      <c r="K301" s="23">
        <v>1025000</v>
      </c>
      <c r="L301" t="s">
        <v>162</v>
      </c>
      <c r="M301" t="s">
        <v>36</v>
      </c>
      <c r="N301" t="s">
        <v>37</v>
      </c>
      <c r="O301" t="s">
        <v>38</v>
      </c>
      <c r="R301" t="s">
        <v>98</v>
      </c>
      <c r="S301" t="s">
        <v>39</v>
      </c>
      <c r="T301">
        <v>0</v>
      </c>
      <c r="U301">
        <v>79704092</v>
      </c>
      <c r="V301">
        <v>0</v>
      </c>
      <c r="W301">
        <v>1</v>
      </c>
      <c r="X301" t="s">
        <v>163</v>
      </c>
      <c r="Y301" s="10">
        <v>45782</v>
      </c>
      <c r="AD301" t="s">
        <v>41</v>
      </c>
      <c r="AX301" t="s">
        <v>164</v>
      </c>
      <c r="AY301" t="s">
        <v>440</v>
      </c>
    </row>
    <row r="302" spans="1:51" x14ac:dyDescent="0.25">
      <c r="A302" t="str">
        <f t="shared" si="21"/>
        <v>5000013640108021972</v>
      </c>
      <c r="B302">
        <v>3</v>
      </c>
      <c r="C302">
        <v>10802197</v>
      </c>
      <c r="D302">
        <v>2</v>
      </c>
      <c r="E302">
        <v>5000013640</v>
      </c>
      <c r="F302" t="s">
        <v>159</v>
      </c>
      <c r="G302">
        <v>5</v>
      </c>
      <c r="H302" t="s">
        <v>93</v>
      </c>
      <c r="I302" s="10">
        <v>45804</v>
      </c>
      <c r="K302" s="23">
        <v>15000</v>
      </c>
      <c r="L302" t="s">
        <v>162</v>
      </c>
      <c r="M302" t="s">
        <v>160</v>
      </c>
      <c r="N302" t="s">
        <v>37</v>
      </c>
      <c r="O302" t="s">
        <v>38</v>
      </c>
      <c r="R302" t="s">
        <v>98</v>
      </c>
      <c r="S302" t="s">
        <v>39</v>
      </c>
      <c r="T302">
        <v>0</v>
      </c>
      <c r="U302">
        <v>79704858</v>
      </c>
      <c r="V302">
        <v>0</v>
      </c>
      <c r="W302">
        <v>5</v>
      </c>
      <c r="X302" t="s">
        <v>163</v>
      </c>
      <c r="Y302" s="10">
        <v>45804</v>
      </c>
      <c r="AD302" t="s">
        <v>41</v>
      </c>
      <c r="AX302" t="s">
        <v>164</v>
      </c>
      <c r="AY302" t="s">
        <v>495</v>
      </c>
    </row>
    <row r="303" spans="1:51" x14ac:dyDescent="0.25">
      <c r="A303" t="str">
        <f t="shared" si="21"/>
        <v>5000016585108021973</v>
      </c>
      <c r="B303">
        <v>4</v>
      </c>
      <c r="C303">
        <v>10802197</v>
      </c>
      <c r="D303">
        <v>3</v>
      </c>
      <c r="E303">
        <v>5000016585</v>
      </c>
      <c r="F303" t="s">
        <v>306</v>
      </c>
      <c r="G303">
        <v>1</v>
      </c>
      <c r="H303" t="s">
        <v>35</v>
      </c>
      <c r="I303" s="10">
        <v>45804</v>
      </c>
      <c r="K303" s="23">
        <v>25000</v>
      </c>
      <c r="L303" t="s">
        <v>162</v>
      </c>
      <c r="M303" t="s">
        <v>36</v>
      </c>
      <c r="N303" t="s">
        <v>37</v>
      </c>
      <c r="O303" t="s">
        <v>38</v>
      </c>
      <c r="R303" t="s">
        <v>98</v>
      </c>
      <c r="S303" t="s">
        <v>39</v>
      </c>
      <c r="T303">
        <v>0</v>
      </c>
      <c r="U303">
        <v>79704858</v>
      </c>
      <c r="V303">
        <v>0</v>
      </c>
      <c r="W303">
        <v>1</v>
      </c>
      <c r="X303" t="s">
        <v>163</v>
      </c>
      <c r="Y303" s="10">
        <v>45804</v>
      </c>
      <c r="AD303" t="s">
        <v>41</v>
      </c>
      <c r="AX303" t="s">
        <v>164</v>
      </c>
      <c r="AY303" t="s">
        <v>496</v>
      </c>
    </row>
    <row r="304" spans="1:51" x14ac:dyDescent="0.25">
      <c r="A304" t="str">
        <f t="shared" si="21"/>
        <v>5000009123108024962</v>
      </c>
      <c r="B304">
        <v>1</v>
      </c>
      <c r="C304">
        <v>10802496</v>
      </c>
      <c r="D304">
        <v>2</v>
      </c>
      <c r="E304">
        <v>5000009123</v>
      </c>
      <c r="F304" t="s">
        <v>535</v>
      </c>
      <c r="G304">
        <v>1</v>
      </c>
      <c r="H304" t="s">
        <v>35</v>
      </c>
      <c r="I304" s="10">
        <v>45824</v>
      </c>
      <c r="K304" s="23">
        <v>315315.40000000002</v>
      </c>
      <c r="L304" t="s">
        <v>162</v>
      </c>
      <c r="M304" t="s">
        <v>36</v>
      </c>
      <c r="N304" t="s">
        <v>37</v>
      </c>
      <c r="O304" t="s">
        <v>38</v>
      </c>
      <c r="R304" t="s">
        <v>98</v>
      </c>
      <c r="S304" t="s">
        <v>39</v>
      </c>
      <c r="T304">
        <v>0</v>
      </c>
      <c r="U304">
        <v>79705367</v>
      </c>
      <c r="V304">
        <v>0</v>
      </c>
      <c r="W304">
        <v>1</v>
      </c>
      <c r="X304" t="s">
        <v>163</v>
      </c>
      <c r="Y304" s="10">
        <v>45820</v>
      </c>
      <c r="Z304" t="s">
        <v>163</v>
      </c>
      <c r="AA304" s="25">
        <v>45820</v>
      </c>
      <c r="AD304" t="s">
        <v>41</v>
      </c>
      <c r="AX304" t="s">
        <v>164</v>
      </c>
      <c r="AY304" t="s">
        <v>546</v>
      </c>
    </row>
    <row r="305" spans="1:51" x14ac:dyDescent="0.25">
      <c r="A305" t="str">
        <f t="shared" si="21"/>
        <v>5000011960108026208</v>
      </c>
      <c r="B305">
        <v>1</v>
      </c>
      <c r="C305">
        <v>10802620</v>
      </c>
      <c r="D305">
        <v>8</v>
      </c>
      <c r="E305">
        <v>5000011960</v>
      </c>
      <c r="F305" t="s">
        <v>478</v>
      </c>
      <c r="G305">
        <v>1</v>
      </c>
      <c r="H305" t="s">
        <v>93</v>
      </c>
      <c r="I305" s="10">
        <v>45828</v>
      </c>
      <c r="K305" s="23">
        <v>1891892</v>
      </c>
      <c r="L305" t="s">
        <v>162</v>
      </c>
      <c r="M305" t="s">
        <v>36</v>
      </c>
      <c r="N305" t="s">
        <v>37</v>
      </c>
      <c r="O305" t="s">
        <v>38</v>
      </c>
      <c r="R305" t="s">
        <v>98</v>
      </c>
      <c r="S305" t="s">
        <v>39</v>
      </c>
      <c r="T305">
        <v>0</v>
      </c>
      <c r="U305">
        <v>79705572</v>
      </c>
      <c r="V305">
        <v>0</v>
      </c>
      <c r="W305">
        <v>1</v>
      </c>
      <c r="X305" t="s">
        <v>163</v>
      </c>
      <c r="Y305" s="10">
        <v>45826</v>
      </c>
      <c r="AD305" t="s">
        <v>41</v>
      </c>
      <c r="AX305" t="s">
        <v>164</v>
      </c>
      <c r="AY305" t="s">
        <v>554</v>
      </c>
    </row>
    <row r="306" spans="1:51" x14ac:dyDescent="0.25">
      <c r="A306" t="str">
        <f t="shared" si="21"/>
        <v>5000000740108025461</v>
      </c>
      <c r="B306">
        <v>1</v>
      </c>
      <c r="C306">
        <v>10802546</v>
      </c>
      <c r="D306">
        <v>1</v>
      </c>
      <c r="E306">
        <v>5000000740</v>
      </c>
      <c r="F306" t="s">
        <v>360</v>
      </c>
      <c r="G306">
        <v>2</v>
      </c>
      <c r="H306" t="s">
        <v>383</v>
      </c>
      <c r="I306" s="10">
        <v>45826</v>
      </c>
      <c r="K306" s="23">
        <v>300000</v>
      </c>
      <c r="L306" t="s">
        <v>162</v>
      </c>
      <c r="M306" t="s">
        <v>36</v>
      </c>
      <c r="N306" t="s">
        <v>37</v>
      </c>
      <c r="O306" t="s">
        <v>38</v>
      </c>
      <c r="R306" t="s">
        <v>98</v>
      </c>
      <c r="S306" t="s">
        <v>39</v>
      </c>
      <c r="T306">
        <v>0</v>
      </c>
      <c r="U306">
        <v>79705642</v>
      </c>
      <c r="V306">
        <v>2</v>
      </c>
      <c r="W306">
        <v>0</v>
      </c>
      <c r="X306" t="s">
        <v>163</v>
      </c>
      <c r="Y306" s="10">
        <v>45827</v>
      </c>
      <c r="AD306" t="s">
        <v>41</v>
      </c>
      <c r="AY306" t="s">
        <v>538</v>
      </c>
    </row>
    <row r="307" spans="1:51" x14ac:dyDescent="0.25">
      <c r="A307" t="str">
        <f t="shared" si="21"/>
        <v>5000008843108026202</v>
      </c>
      <c r="B307">
        <v>2</v>
      </c>
      <c r="C307">
        <v>10802620</v>
      </c>
      <c r="D307">
        <v>2</v>
      </c>
      <c r="E307">
        <v>5000008843</v>
      </c>
      <c r="F307" t="s">
        <v>150</v>
      </c>
      <c r="G307">
        <v>1</v>
      </c>
      <c r="H307" t="s">
        <v>35</v>
      </c>
      <c r="I307" s="10">
        <v>45828</v>
      </c>
      <c r="K307" s="23">
        <v>1025000</v>
      </c>
      <c r="L307" t="s">
        <v>162</v>
      </c>
      <c r="M307" t="s">
        <v>36</v>
      </c>
      <c r="N307" t="s">
        <v>37</v>
      </c>
      <c r="O307" t="s">
        <v>38</v>
      </c>
      <c r="R307" t="s">
        <v>98</v>
      </c>
      <c r="S307" t="s">
        <v>39</v>
      </c>
      <c r="T307">
        <v>0</v>
      </c>
      <c r="U307">
        <v>79705642</v>
      </c>
      <c r="V307">
        <v>1</v>
      </c>
      <c r="W307">
        <v>0</v>
      </c>
      <c r="X307" t="s">
        <v>163</v>
      </c>
      <c r="Y307" s="10">
        <v>45827</v>
      </c>
      <c r="AA307" s="25"/>
      <c r="AD307" t="s">
        <v>41</v>
      </c>
      <c r="AY307" t="s">
        <v>549</v>
      </c>
    </row>
    <row r="308" spans="1:51" x14ac:dyDescent="0.25">
      <c r="A308" t="str">
        <f t="shared" si="21"/>
        <v>5000005059108026204</v>
      </c>
      <c r="B308">
        <v>3</v>
      </c>
      <c r="C308">
        <v>10802620</v>
      </c>
      <c r="D308">
        <v>4</v>
      </c>
      <c r="E308">
        <v>5000005059</v>
      </c>
      <c r="F308" t="s">
        <v>153</v>
      </c>
      <c r="G308">
        <v>1</v>
      </c>
      <c r="H308" t="s">
        <v>93</v>
      </c>
      <c r="I308" s="10">
        <v>45828</v>
      </c>
      <c r="K308" s="23">
        <v>95000</v>
      </c>
      <c r="L308" t="s">
        <v>162</v>
      </c>
      <c r="M308" t="s">
        <v>36</v>
      </c>
      <c r="N308" t="s">
        <v>37</v>
      </c>
      <c r="O308" t="s">
        <v>38</v>
      </c>
      <c r="R308" t="s">
        <v>98</v>
      </c>
      <c r="S308" t="s">
        <v>39</v>
      </c>
      <c r="T308">
        <v>0</v>
      </c>
      <c r="U308">
        <v>79705642</v>
      </c>
      <c r="V308">
        <v>1</v>
      </c>
      <c r="W308">
        <v>0</v>
      </c>
      <c r="X308" t="s">
        <v>163</v>
      </c>
      <c r="Y308" s="10">
        <v>45827</v>
      </c>
      <c r="AD308" t="s">
        <v>41</v>
      </c>
      <c r="AY308" t="s">
        <v>551</v>
      </c>
    </row>
    <row r="309" spans="1:51" x14ac:dyDescent="0.25">
      <c r="A309" t="str">
        <f t="shared" si="21"/>
        <v>5000004248108026205</v>
      </c>
      <c r="B309">
        <v>4</v>
      </c>
      <c r="C309">
        <v>10802620</v>
      </c>
      <c r="D309">
        <v>5</v>
      </c>
      <c r="E309">
        <v>5000004248</v>
      </c>
      <c r="F309" t="s">
        <v>155</v>
      </c>
      <c r="G309">
        <v>1</v>
      </c>
      <c r="H309" t="s">
        <v>93</v>
      </c>
      <c r="I309" s="10">
        <v>45828</v>
      </c>
      <c r="K309" s="23">
        <v>65000</v>
      </c>
      <c r="L309" t="s">
        <v>162</v>
      </c>
      <c r="M309" t="s">
        <v>36</v>
      </c>
      <c r="N309" t="s">
        <v>37</v>
      </c>
      <c r="O309" t="s">
        <v>38</v>
      </c>
      <c r="R309" t="s">
        <v>98</v>
      </c>
      <c r="S309" t="s">
        <v>39</v>
      </c>
      <c r="T309">
        <v>0</v>
      </c>
      <c r="U309">
        <v>79705642</v>
      </c>
      <c r="V309">
        <v>1</v>
      </c>
      <c r="W309">
        <v>0</v>
      </c>
      <c r="X309" t="s">
        <v>163</v>
      </c>
      <c r="Y309" s="10">
        <v>45827</v>
      </c>
      <c r="AD309" t="s">
        <v>41</v>
      </c>
      <c r="AY309" t="s">
        <v>552</v>
      </c>
    </row>
    <row r="310" spans="1:51" x14ac:dyDescent="0.25">
      <c r="A310" t="str">
        <f t="shared" si="21"/>
        <v>5000012021108026206</v>
      </c>
      <c r="B310">
        <v>5</v>
      </c>
      <c r="C310">
        <v>10802620</v>
      </c>
      <c r="D310">
        <v>6</v>
      </c>
      <c r="E310">
        <v>5000012021</v>
      </c>
      <c r="F310" t="s">
        <v>188</v>
      </c>
      <c r="G310">
        <v>1</v>
      </c>
      <c r="H310" t="s">
        <v>93</v>
      </c>
      <c r="I310" s="10">
        <v>45828</v>
      </c>
      <c r="K310" s="23">
        <v>30000</v>
      </c>
      <c r="L310" t="s">
        <v>162</v>
      </c>
      <c r="M310" t="s">
        <v>36</v>
      </c>
      <c r="N310" t="s">
        <v>37</v>
      </c>
      <c r="O310" t="s">
        <v>38</v>
      </c>
      <c r="R310" t="s">
        <v>98</v>
      </c>
      <c r="S310" t="s">
        <v>39</v>
      </c>
      <c r="T310">
        <v>0</v>
      </c>
      <c r="U310">
        <v>79705642</v>
      </c>
      <c r="V310">
        <v>1</v>
      </c>
      <c r="W310">
        <v>0</v>
      </c>
      <c r="X310" t="s">
        <v>163</v>
      </c>
      <c r="Y310" s="10">
        <v>45827</v>
      </c>
      <c r="AD310" t="s">
        <v>41</v>
      </c>
      <c r="AY310" t="s">
        <v>553</v>
      </c>
    </row>
    <row r="311" spans="1:51" x14ac:dyDescent="0.25">
      <c r="A311" t="str">
        <f t="shared" si="21"/>
        <v>5000011754108026207</v>
      </c>
      <c r="B311">
        <v>6</v>
      </c>
      <c r="C311">
        <v>10802620</v>
      </c>
      <c r="D311">
        <v>7</v>
      </c>
      <c r="E311">
        <v>5000011754</v>
      </c>
      <c r="F311" t="s">
        <v>99</v>
      </c>
      <c r="G311">
        <v>1</v>
      </c>
      <c r="H311" t="s">
        <v>93</v>
      </c>
      <c r="I311" s="10">
        <v>45828</v>
      </c>
      <c r="K311" s="23">
        <v>20000</v>
      </c>
      <c r="L311" t="s">
        <v>162</v>
      </c>
      <c r="M311" t="s">
        <v>36</v>
      </c>
      <c r="N311" t="s">
        <v>37</v>
      </c>
      <c r="O311" t="s">
        <v>38</v>
      </c>
      <c r="R311" t="s">
        <v>98</v>
      </c>
      <c r="S311" t="s">
        <v>39</v>
      </c>
      <c r="T311">
        <v>0</v>
      </c>
      <c r="U311">
        <v>79705642</v>
      </c>
      <c r="V311">
        <v>1</v>
      </c>
      <c r="W311">
        <v>0</v>
      </c>
      <c r="X311" t="s">
        <v>163</v>
      </c>
      <c r="Y311" s="10">
        <v>45827</v>
      </c>
      <c r="AD311" t="s">
        <v>41</v>
      </c>
      <c r="AY311" t="s">
        <v>552</v>
      </c>
    </row>
    <row r="312" spans="1:51" x14ac:dyDescent="0.25">
      <c r="A312" t="str">
        <f t="shared" si="21"/>
        <v>5000002171108026201</v>
      </c>
      <c r="B312">
        <v>1</v>
      </c>
      <c r="C312">
        <v>10802620</v>
      </c>
      <c r="D312">
        <v>1</v>
      </c>
      <c r="E312">
        <v>5000002171</v>
      </c>
      <c r="F312" t="s">
        <v>547</v>
      </c>
      <c r="G312">
        <v>1</v>
      </c>
      <c r="H312" t="s">
        <v>93</v>
      </c>
      <c r="I312" s="10">
        <v>45828</v>
      </c>
      <c r="K312" s="23">
        <v>16000</v>
      </c>
      <c r="L312" t="s">
        <v>162</v>
      </c>
      <c r="M312" t="s">
        <v>160</v>
      </c>
      <c r="N312" t="s">
        <v>37</v>
      </c>
      <c r="O312" t="s">
        <v>38</v>
      </c>
      <c r="R312" t="s">
        <v>98</v>
      </c>
      <c r="S312" t="s">
        <v>39</v>
      </c>
      <c r="T312">
        <v>0</v>
      </c>
      <c r="U312">
        <v>79705643</v>
      </c>
      <c r="V312">
        <v>1</v>
      </c>
      <c r="W312">
        <v>0</v>
      </c>
      <c r="X312" t="s">
        <v>163</v>
      </c>
      <c r="Y312" s="10">
        <v>45827</v>
      </c>
      <c r="AD312" t="s">
        <v>41</v>
      </c>
      <c r="AY312" t="s">
        <v>548</v>
      </c>
    </row>
    <row r="313" spans="1:51" x14ac:dyDescent="0.25">
      <c r="A313" t="str">
        <f t="shared" si="21"/>
        <v>5000016308108026203</v>
      </c>
      <c r="B313">
        <v>2</v>
      </c>
      <c r="C313">
        <v>10802620</v>
      </c>
      <c r="D313">
        <v>3</v>
      </c>
      <c r="E313">
        <v>5000016308</v>
      </c>
      <c r="F313" t="s">
        <v>143</v>
      </c>
      <c r="G313">
        <v>1</v>
      </c>
      <c r="H313" t="s">
        <v>35</v>
      </c>
      <c r="I313" s="10">
        <v>45828</v>
      </c>
      <c r="K313" s="23">
        <v>2980000</v>
      </c>
      <c r="L313" t="s">
        <v>162</v>
      </c>
      <c r="M313" t="s">
        <v>36</v>
      </c>
      <c r="N313" t="s">
        <v>37</v>
      </c>
      <c r="O313" t="s">
        <v>38</v>
      </c>
      <c r="R313" t="s">
        <v>98</v>
      </c>
      <c r="S313" t="s">
        <v>39</v>
      </c>
      <c r="T313">
        <v>0</v>
      </c>
      <c r="U313">
        <v>79705643</v>
      </c>
      <c r="V313">
        <v>1</v>
      </c>
      <c r="W313">
        <v>0</v>
      </c>
      <c r="X313" t="s">
        <v>163</v>
      </c>
      <c r="Y313" s="10">
        <v>45827</v>
      </c>
      <c r="AD313" t="s">
        <v>41</v>
      </c>
      <c r="AY313" t="s">
        <v>563</v>
      </c>
    </row>
    <row r="314" spans="1:51" x14ac:dyDescent="0.25">
      <c r="A314" t="str">
        <f t="shared" si="21"/>
        <v>5000017346108025462</v>
      </c>
      <c r="B314">
        <v>3</v>
      </c>
      <c r="C314">
        <v>10802546</v>
      </c>
      <c r="D314">
        <v>2</v>
      </c>
      <c r="E314">
        <v>5000017346</v>
      </c>
      <c r="F314" t="s">
        <v>539</v>
      </c>
      <c r="G314">
        <v>1</v>
      </c>
      <c r="H314" t="s">
        <v>35</v>
      </c>
      <c r="I314" s="10">
        <v>45826</v>
      </c>
      <c r="K314" s="23">
        <v>875000</v>
      </c>
      <c r="L314" t="s">
        <v>162</v>
      </c>
      <c r="M314" t="s">
        <v>36</v>
      </c>
      <c r="N314" t="s">
        <v>37</v>
      </c>
      <c r="O314" t="s">
        <v>38</v>
      </c>
      <c r="R314" t="s">
        <v>98</v>
      </c>
      <c r="S314" t="s">
        <v>39</v>
      </c>
      <c r="T314">
        <v>0</v>
      </c>
      <c r="U314">
        <v>79705643</v>
      </c>
      <c r="V314">
        <v>1</v>
      </c>
      <c r="W314">
        <v>0</v>
      </c>
      <c r="X314" t="s">
        <v>163</v>
      </c>
      <c r="Y314" s="10">
        <v>45827</v>
      </c>
      <c r="AD314" t="s">
        <v>41</v>
      </c>
      <c r="AY314" t="s">
        <v>540</v>
      </c>
    </row>
    <row r="315" spans="1:51" x14ac:dyDescent="0.25">
      <c r="A315" t="str">
        <f t="shared" si="21"/>
        <v>5000014291108018421</v>
      </c>
      <c r="B315">
        <v>4</v>
      </c>
      <c r="C315">
        <v>10801842</v>
      </c>
      <c r="D315">
        <v>1</v>
      </c>
      <c r="E315">
        <v>5000014291</v>
      </c>
      <c r="F315" t="s">
        <v>406</v>
      </c>
      <c r="G315">
        <v>1</v>
      </c>
      <c r="H315" t="s">
        <v>296</v>
      </c>
      <c r="I315" s="10">
        <v>45782</v>
      </c>
      <c r="K315" s="23">
        <v>92500</v>
      </c>
      <c r="L315" t="s">
        <v>162</v>
      </c>
      <c r="M315" t="s">
        <v>36</v>
      </c>
      <c r="N315" t="s">
        <v>37</v>
      </c>
      <c r="O315" t="s">
        <v>38</v>
      </c>
      <c r="R315" t="s">
        <v>98</v>
      </c>
      <c r="S315" t="s">
        <v>39</v>
      </c>
      <c r="T315">
        <v>0</v>
      </c>
      <c r="U315">
        <v>79704089</v>
      </c>
      <c r="V315">
        <v>0</v>
      </c>
      <c r="W315">
        <v>1</v>
      </c>
      <c r="X315" t="s">
        <v>163</v>
      </c>
      <c r="Y315" s="10">
        <v>45782</v>
      </c>
      <c r="AD315" t="s">
        <v>41</v>
      </c>
      <c r="AX315" t="s">
        <v>164</v>
      </c>
      <c r="AY315" t="s">
        <v>466</v>
      </c>
    </row>
    <row r="316" spans="1:51" x14ac:dyDescent="0.25">
      <c r="A316" t="str">
        <f t="shared" si="21"/>
        <v>5000017786108018422</v>
      </c>
      <c r="B316">
        <v>5</v>
      </c>
      <c r="C316">
        <v>10801842</v>
      </c>
      <c r="D316">
        <v>2</v>
      </c>
      <c r="E316">
        <v>5000017786</v>
      </c>
      <c r="F316" t="s">
        <v>433</v>
      </c>
      <c r="G316">
        <v>1</v>
      </c>
      <c r="H316" t="s">
        <v>93</v>
      </c>
      <c r="I316" s="10">
        <v>45782</v>
      </c>
      <c r="K316" s="23">
        <v>59500</v>
      </c>
      <c r="L316" t="s">
        <v>162</v>
      </c>
      <c r="M316" t="s">
        <v>36</v>
      </c>
      <c r="N316" t="s">
        <v>37</v>
      </c>
      <c r="O316" t="s">
        <v>38</v>
      </c>
      <c r="R316" t="s">
        <v>98</v>
      </c>
      <c r="S316" t="s">
        <v>39</v>
      </c>
      <c r="T316">
        <v>0</v>
      </c>
      <c r="U316">
        <v>79704089</v>
      </c>
      <c r="V316">
        <v>0</v>
      </c>
      <c r="W316">
        <v>1</v>
      </c>
      <c r="X316" t="s">
        <v>163</v>
      </c>
      <c r="Y316" s="10">
        <v>45782</v>
      </c>
      <c r="AD316" t="s">
        <v>41</v>
      </c>
      <c r="AX316" t="s">
        <v>164</v>
      </c>
      <c r="AY316" t="s">
        <v>434</v>
      </c>
    </row>
    <row r="317" spans="1:51" x14ac:dyDescent="0.25">
      <c r="A317" t="str">
        <f t="shared" si="21"/>
        <v>5000016255108018425</v>
      </c>
      <c r="B317">
        <v>6</v>
      </c>
      <c r="C317">
        <v>10801842</v>
      </c>
      <c r="D317">
        <v>5</v>
      </c>
      <c r="E317">
        <v>5000016255</v>
      </c>
      <c r="F317" t="s">
        <v>110</v>
      </c>
      <c r="G317">
        <v>1</v>
      </c>
      <c r="H317" t="s">
        <v>93</v>
      </c>
      <c r="I317" s="10">
        <v>45783</v>
      </c>
      <c r="K317" s="23">
        <v>343000</v>
      </c>
      <c r="L317" t="s">
        <v>162</v>
      </c>
      <c r="M317" t="s">
        <v>36</v>
      </c>
      <c r="N317" t="s">
        <v>37</v>
      </c>
      <c r="O317" t="s">
        <v>38</v>
      </c>
      <c r="R317" t="s">
        <v>98</v>
      </c>
      <c r="S317" t="s">
        <v>39</v>
      </c>
      <c r="T317">
        <v>0</v>
      </c>
      <c r="U317">
        <v>79704089</v>
      </c>
      <c r="V317">
        <v>0</v>
      </c>
      <c r="W317">
        <v>1</v>
      </c>
      <c r="X317" t="s">
        <v>163</v>
      </c>
      <c r="Y317" s="10">
        <v>45782</v>
      </c>
      <c r="AD317" t="s">
        <v>41</v>
      </c>
      <c r="AX317" t="s">
        <v>164</v>
      </c>
      <c r="AY317" t="s">
        <v>443</v>
      </c>
    </row>
    <row r="318" spans="1:51" x14ac:dyDescent="0.25">
      <c r="A318" t="str">
        <f t="shared" si="21"/>
        <v>5000008843108018423</v>
      </c>
      <c r="B318">
        <v>2</v>
      </c>
      <c r="C318">
        <v>10801842</v>
      </c>
      <c r="D318">
        <v>3</v>
      </c>
      <c r="E318">
        <v>5000008843</v>
      </c>
      <c r="F318" t="s">
        <v>150</v>
      </c>
      <c r="G318">
        <v>1</v>
      </c>
      <c r="H318" t="s">
        <v>35</v>
      </c>
      <c r="I318" s="10">
        <v>45782</v>
      </c>
      <c r="K318" s="23">
        <v>1025000</v>
      </c>
      <c r="L318" t="s">
        <v>162</v>
      </c>
      <c r="M318" t="s">
        <v>36</v>
      </c>
      <c r="N318" t="s">
        <v>37</v>
      </c>
      <c r="O318" t="s">
        <v>38</v>
      </c>
      <c r="R318" t="s">
        <v>98</v>
      </c>
      <c r="S318" t="s">
        <v>39</v>
      </c>
      <c r="T318">
        <v>0</v>
      </c>
      <c r="U318">
        <v>79704092</v>
      </c>
      <c r="V318">
        <v>0</v>
      </c>
      <c r="W318">
        <v>1</v>
      </c>
      <c r="X318" t="s">
        <v>163</v>
      </c>
      <c r="Y318" s="10">
        <v>45782</v>
      </c>
      <c r="AD318" t="s">
        <v>41</v>
      </c>
      <c r="AX318" t="s">
        <v>164</v>
      </c>
      <c r="AY318" t="s">
        <v>440</v>
      </c>
    </row>
    <row r="319" spans="1:51" x14ac:dyDescent="0.25">
      <c r="A319" t="str">
        <f t="shared" si="21"/>
        <v>5000013640108021972</v>
      </c>
      <c r="B319">
        <v>3</v>
      </c>
      <c r="C319">
        <v>10802197</v>
      </c>
      <c r="D319">
        <v>2</v>
      </c>
      <c r="E319">
        <v>5000013640</v>
      </c>
      <c r="F319" t="s">
        <v>159</v>
      </c>
      <c r="G319">
        <v>5</v>
      </c>
      <c r="H319" t="s">
        <v>93</v>
      </c>
      <c r="I319" s="10">
        <v>45804</v>
      </c>
      <c r="K319" s="23">
        <v>15000</v>
      </c>
      <c r="L319" t="s">
        <v>162</v>
      </c>
      <c r="M319" t="s">
        <v>160</v>
      </c>
      <c r="N319" t="s">
        <v>37</v>
      </c>
      <c r="O319" t="s">
        <v>38</v>
      </c>
      <c r="R319" t="s">
        <v>98</v>
      </c>
      <c r="S319" t="s">
        <v>39</v>
      </c>
      <c r="T319">
        <v>0</v>
      </c>
      <c r="U319">
        <v>79704858</v>
      </c>
      <c r="V319">
        <v>0</v>
      </c>
      <c r="W319">
        <v>5</v>
      </c>
      <c r="X319" t="s">
        <v>163</v>
      </c>
      <c r="Y319" s="10">
        <v>45804</v>
      </c>
      <c r="AD319" t="s">
        <v>41</v>
      </c>
      <c r="AX319" t="s">
        <v>164</v>
      </c>
      <c r="AY319" t="s">
        <v>495</v>
      </c>
    </row>
    <row r="320" spans="1:51" x14ac:dyDescent="0.25">
      <c r="A320" t="str">
        <f t="shared" si="21"/>
        <v>5000016585108021973</v>
      </c>
      <c r="B320">
        <v>4</v>
      </c>
      <c r="C320">
        <v>10802197</v>
      </c>
      <c r="D320">
        <v>3</v>
      </c>
      <c r="E320">
        <v>5000016585</v>
      </c>
      <c r="F320" t="s">
        <v>306</v>
      </c>
      <c r="G320">
        <v>1</v>
      </c>
      <c r="H320" t="s">
        <v>35</v>
      </c>
      <c r="I320" s="10">
        <v>45804</v>
      </c>
      <c r="K320" s="23">
        <v>25000</v>
      </c>
      <c r="L320" t="s">
        <v>162</v>
      </c>
      <c r="M320" t="s">
        <v>36</v>
      </c>
      <c r="N320" t="s">
        <v>37</v>
      </c>
      <c r="O320" t="s">
        <v>38</v>
      </c>
      <c r="R320" t="s">
        <v>98</v>
      </c>
      <c r="S320" t="s">
        <v>39</v>
      </c>
      <c r="T320">
        <v>0</v>
      </c>
      <c r="U320">
        <v>79704858</v>
      </c>
      <c r="V320">
        <v>0</v>
      </c>
      <c r="W320">
        <v>1</v>
      </c>
      <c r="X320" t="s">
        <v>163</v>
      </c>
      <c r="Y320" s="10">
        <v>45804</v>
      </c>
      <c r="AD320" t="s">
        <v>41</v>
      </c>
      <c r="AX320" t="s">
        <v>164</v>
      </c>
      <c r="AY320" t="s">
        <v>496</v>
      </c>
    </row>
    <row r="321" spans="1:51" x14ac:dyDescent="0.25">
      <c r="A321" t="str">
        <f t="shared" si="21"/>
        <v>5000009123108024962</v>
      </c>
      <c r="B321">
        <v>1</v>
      </c>
      <c r="C321">
        <v>10802496</v>
      </c>
      <c r="D321">
        <v>2</v>
      </c>
      <c r="E321">
        <v>5000009123</v>
      </c>
      <c r="F321" t="s">
        <v>535</v>
      </c>
      <c r="G321">
        <v>1</v>
      </c>
      <c r="H321" t="s">
        <v>35</v>
      </c>
      <c r="I321" s="10">
        <v>45824</v>
      </c>
      <c r="K321" s="23">
        <v>315315.40000000002</v>
      </c>
      <c r="L321" t="s">
        <v>162</v>
      </c>
      <c r="M321" t="s">
        <v>36</v>
      </c>
      <c r="N321" t="s">
        <v>37</v>
      </c>
      <c r="O321" t="s">
        <v>38</v>
      </c>
      <c r="R321" t="s">
        <v>98</v>
      </c>
      <c r="S321" t="s">
        <v>39</v>
      </c>
      <c r="T321">
        <v>0</v>
      </c>
      <c r="U321">
        <v>79705367</v>
      </c>
      <c r="V321">
        <v>0</v>
      </c>
      <c r="W321">
        <v>1</v>
      </c>
      <c r="X321" t="s">
        <v>163</v>
      </c>
      <c r="Y321" s="10">
        <v>45820</v>
      </c>
      <c r="Z321" t="s">
        <v>163</v>
      </c>
      <c r="AA321" s="25">
        <v>45820</v>
      </c>
      <c r="AD321" t="s">
        <v>41</v>
      </c>
      <c r="AX321" t="s">
        <v>164</v>
      </c>
      <c r="AY321" t="s">
        <v>546</v>
      </c>
    </row>
    <row r="322" spans="1:51" x14ac:dyDescent="0.25">
      <c r="A322" t="str">
        <f t="shared" si="21"/>
        <v>5000008843108026771</v>
      </c>
      <c r="B322">
        <v>1</v>
      </c>
      <c r="C322">
        <v>10802677</v>
      </c>
      <c r="D322">
        <v>1</v>
      </c>
      <c r="E322">
        <v>5000008843</v>
      </c>
      <c r="F322" t="s">
        <v>150</v>
      </c>
      <c r="G322">
        <v>1</v>
      </c>
      <c r="H322" t="s">
        <v>35</v>
      </c>
      <c r="I322" s="10">
        <v>45832</v>
      </c>
      <c r="K322" s="23">
        <v>1025000</v>
      </c>
      <c r="L322" t="s">
        <v>162</v>
      </c>
      <c r="M322" t="s">
        <v>36</v>
      </c>
      <c r="N322" t="s">
        <v>37</v>
      </c>
      <c r="O322" t="s">
        <v>38</v>
      </c>
      <c r="R322" t="s">
        <v>98</v>
      </c>
      <c r="S322" t="s">
        <v>39</v>
      </c>
      <c r="T322">
        <v>0</v>
      </c>
      <c r="U322">
        <v>79705701</v>
      </c>
      <c r="V322">
        <v>1</v>
      </c>
      <c r="W322">
        <v>0</v>
      </c>
      <c r="X322" t="s">
        <v>163</v>
      </c>
      <c r="Y322" s="10">
        <v>45829</v>
      </c>
      <c r="AD322" t="s">
        <v>41</v>
      </c>
      <c r="AY322" t="s">
        <v>555</v>
      </c>
    </row>
    <row r="323" spans="1:51" x14ac:dyDescent="0.25">
      <c r="A323" t="str">
        <f t="shared" ref="A323:A350" si="22">E323&amp;C323&amp;D323</f>
        <v>5000005059108026773</v>
      </c>
      <c r="B323">
        <v>2</v>
      </c>
      <c r="C323">
        <v>10802677</v>
      </c>
      <c r="D323">
        <v>3</v>
      </c>
      <c r="E323">
        <v>5000005059</v>
      </c>
      <c r="F323" t="s">
        <v>153</v>
      </c>
      <c r="G323">
        <v>1</v>
      </c>
      <c r="H323" t="s">
        <v>93</v>
      </c>
      <c r="I323" s="10">
        <v>45832</v>
      </c>
      <c r="K323" s="23">
        <v>95000</v>
      </c>
      <c r="L323" t="s">
        <v>162</v>
      </c>
      <c r="M323" t="s">
        <v>36</v>
      </c>
      <c r="N323" t="s">
        <v>37</v>
      </c>
      <c r="O323" t="s">
        <v>38</v>
      </c>
      <c r="R323" t="s">
        <v>98</v>
      </c>
      <c r="S323" t="s">
        <v>39</v>
      </c>
      <c r="T323">
        <v>0</v>
      </c>
      <c r="U323">
        <v>79705701</v>
      </c>
      <c r="V323">
        <v>1</v>
      </c>
      <c r="W323">
        <v>0</v>
      </c>
      <c r="X323" t="s">
        <v>163</v>
      </c>
      <c r="Y323" s="10">
        <v>45829</v>
      </c>
      <c r="AD323" t="s">
        <v>41</v>
      </c>
      <c r="AY323" t="s">
        <v>557</v>
      </c>
    </row>
    <row r="324" spans="1:51" x14ac:dyDescent="0.25">
      <c r="A324" t="str">
        <f t="shared" si="22"/>
        <v>5000004248108026774</v>
      </c>
      <c r="B324">
        <v>3</v>
      </c>
      <c r="C324">
        <v>10802677</v>
      </c>
      <c r="D324">
        <v>4</v>
      </c>
      <c r="E324">
        <v>5000004248</v>
      </c>
      <c r="F324" t="s">
        <v>155</v>
      </c>
      <c r="G324">
        <v>1</v>
      </c>
      <c r="H324" t="s">
        <v>93</v>
      </c>
      <c r="I324" s="10">
        <v>45832</v>
      </c>
      <c r="K324" s="23">
        <v>65000</v>
      </c>
      <c r="L324" t="s">
        <v>162</v>
      </c>
      <c r="M324" t="s">
        <v>36</v>
      </c>
      <c r="N324" t="s">
        <v>37</v>
      </c>
      <c r="O324" t="s">
        <v>38</v>
      </c>
      <c r="R324" t="s">
        <v>98</v>
      </c>
      <c r="S324" t="s">
        <v>39</v>
      </c>
      <c r="T324">
        <v>0</v>
      </c>
      <c r="U324">
        <v>79705701</v>
      </c>
      <c r="V324">
        <v>1</v>
      </c>
      <c r="W324">
        <v>0</v>
      </c>
      <c r="X324" t="s">
        <v>163</v>
      </c>
      <c r="Y324" s="10">
        <v>45829</v>
      </c>
      <c r="AD324" t="s">
        <v>41</v>
      </c>
      <c r="AY324" t="s">
        <v>558</v>
      </c>
    </row>
    <row r="325" spans="1:51" x14ac:dyDescent="0.25">
      <c r="A325" t="str">
        <f t="shared" si="22"/>
        <v>5000012021108026775</v>
      </c>
      <c r="B325">
        <v>4</v>
      </c>
      <c r="C325">
        <v>10802677</v>
      </c>
      <c r="D325">
        <v>5</v>
      </c>
      <c r="E325">
        <v>5000012021</v>
      </c>
      <c r="F325" t="s">
        <v>188</v>
      </c>
      <c r="G325">
        <v>1</v>
      </c>
      <c r="H325" t="s">
        <v>93</v>
      </c>
      <c r="I325" s="10">
        <v>45832</v>
      </c>
      <c r="K325" s="23">
        <v>30000</v>
      </c>
      <c r="L325" t="s">
        <v>162</v>
      </c>
      <c r="M325" t="s">
        <v>36</v>
      </c>
      <c r="N325" t="s">
        <v>37</v>
      </c>
      <c r="O325" t="s">
        <v>38</v>
      </c>
      <c r="R325" t="s">
        <v>98</v>
      </c>
      <c r="S325" t="s">
        <v>39</v>
      </c>
      <c r="T325">
        <v>0</v>
      </c>
      <c r="U325">
        <v>79705701</v>
      </c>
      <c r="V325">
        <v>1</v>
      </c>
      <c r="W325">
        <v>0</v>
      </c>
      <c r="X325" t="s">
        <v>163</v>
      </c>
      <c r="Y325" s="10">
        <v>45829</v>
      </c>
      <c r="AD325" t="s">
        <v>41</v>
      </c>
      <c r="AY325" t="s">
        <v>559</v>
      </c>
    </row>
    <row r="326" spans="1:51" x14ac:dyDescent="0.25">
      <c r="A326" t="str">
        <f t="shared" si="22"/>
        <v>5000016308108026772</v>
      </c>
      <c r="B326">
        <v>1</v>
      </c>
      <c r="C326">
        <v>10802677</v>
      </c>
      <c r="D326">
        <v>2</v>
      </c>
      <c r="E326">
        <v>5000016308</v>
      </c>
      <c r="F326" t="s">
        <v>143</v>
      </c>
      <c r="G326">
        <v>1</v>
      </c>
      <c r="H326" t="s">
        <v>35</v>
      </c>
      <c r="I326" s="10">
        <v>45832</v>
      </c>
      <c r="K326" s="23">
        <v>2980000</v>
      </c>
      <c r="L326" t="s">
        <v>162</v>
      </c>
      <c r="M326" t="s">
        <v>36</v>
      </c>
      <c r="N326" t="s">
        <v>37</v>
      </c>
      <c r="O326" t="s">
        <v>38</v>
      </c>
      <c r="R326" t="s">
        <v>98</v>
      </c>
      <c r="S326" t="s">
        <v>39</v>
      </c>
      <c r="T326">
        <v>0</v>
      </c>
      <c r="U326">
        <v>79705702</v>
      </c>
      <c r="V326">
        <v>1</v>
      </c>
      <c r="W326">
        <v>0</v>
      </c>
      <c r="X326" t="s">
        <v>163</v>
      </c>
      <c r="Y326" s="10">
        <v>45829</v>
      </c>
      <c r="AD326" t="s">
        <v>41</v>
      </c>
      <c r="AY326" t="s">
        <v>572</v>
      </c>
    </row>
    <row r="327" spans="1:51" x14ac:dyDescent="0.25">
      <c r="A327" t="str">
        <f t="shared" si="22"/>
        <v>5000011960108027821</v>
      </c>
      <c r="B327">
        <v>1</v>
      </c>
      <c r="C327">
        <v>10802782</v>
      </c>
      <c r="D327">
        <v>1</v>
      </c>
      <c r="E327">
        <v>5000011960</v>
      </c>
      <c r="F327" t="s">
        <v>478</v>
      </c>
      <c r="G327">
        <v>1</v>
      </c>
      <c r="H327" t="s">
        <v>93</v>
      </c>
      <c r="I327" s="10">
        <v>45838</v>
      </c>
      <c r="K327" s="23">
        <v>1621621.7</v>
      </c>
      <c r="L327" t="s">
        <v>162</v>
      </c>
      <c r="M327" t="s">
        <v>36</v>
      </c>
      <c r="N327" t="s">
        <v>37</v>
      </c>
      <c r="O327" t="s">
        <v>38</v>
      </c>
      <c r="R327" t="s">
        <v>98</v>
      </c>
      <c r="S327" t="s">
        <v>39</v>
      </c>
      <c r="T327">
        <v>0</v>
      </c>
      <c r="U327">
        <v>79705857</v>
      </c>
      <c r="V327">
        <v>1</v>
      </c>
      <c r="W327">
        <v>0</v>
      </c>
      <c r="X327" t="s">
        <v>163</v>
      </c>
      <c r="Y327" s="10">
        <v>45833</v>
      </c>
      <c r="AD327" t="s">
        <v>41</v>
      </c>
      <c r="AY327" t="s">
        <v>573</v>
      </c>
    </row>
    <row r="328" spans="1:51" x14ac:dyDescent="0.25">
      <c r="A328" t="str">
        <f t="shared" si="22"/>
        <v>5000011960108027821</v>
      </c>
      <c r="B328">
        <v>2</v>
      </c>
      <c r="C328">
        <v>10802782</v>
      </c>
      <c r="D328">
        <v>1</v>
      </c>
      <c r="E328">
        <v>5000011960</v>
      </c>
      <c r="F328" t="s">
        <v>478</v>
      </c>
      <c r="G328">
        <v>1</v>
      </c>
      <c r="H328" t="s">
        <v>93</v>
      </c>
      <c r="I328" s="10">
        <v>45838</v>
      </c>
      <c r="K328" s="23">
        <v>2117117.2000000002</v>
      </c>
      <c r="L328" t="s">
        <v>162</v>
      </c>
      <c r="M328" t="s">
        <v>36</v>
      </c>
      <c r="N328" t="s">
        <v>37</v>
      </c>
      <c r="O328" t="s">
        <v>38</v>
      </c>
      <c r="R328" t="s">
        <v>98</v>
      </c>
      <c r="S328" t="s">
        <v>39</v>
      </c>
      <c r="T328">
        <v>0</v>
      </c>
      <c r="U328">
        <v>79705857</v>
      </c>
      <c r="V328">
        <v>1</v>
      </c>
      <c r="W328">
        <v>0</v>
      </c>
      <c r="X328" t="s">
        <v>163</v>
      </c>
      <c r="Y328" s="10">
        <v>45833</v>
      </c>
      <c r="AD328" t="s">
        <v>41</v>
      </c>
      <c r="AY328" t="s">
        <v>574</v>
      </c>
    </row>
    <row r="329" spans="1:51" x14ac:dyDescent="0.25">
      <c r="A329" t="str">
        <f t="shared" si="22"/>
        <v>5000017856108027823</v>
      </c>
      <c r="B329">
        <v>3</v>
      </c>
      <c r="C329">
        <v>10802782</v>
      </c>
      <c r="D329">
        <v>3</v>
      </c>
      <c r="E329">
        <v>5000017856</v>
      </c>
      <c r="F329" t="s">
        <v>566</v>
      </c>
      <c r="G329">
        <v>1</v>
      </c>
      <c r="H329" t="s">
        <v>35</v>
      </c>
      <c r="I329" s="10">
        <v>45838</v>
      </c>
      <c r="K329" s="23">
        <v>11351351.4</v>
      </c>
      <c r="L329" t="s">
        <v>162</v>
      </c>
      <c r="M329" t="s">
        <v>36</v>
      </c>
      <c r="N329" t="s">
        <v>37</v>
      </c>
      <c r="O329" t="s">
        <v>38</v>
      </c>
      <c r="R329" t="s">
        <v>98</v>
      </c>
      <c r="S329" t="s">
        <v>39</v>
      </c>
      <c r="T329">
        <v>0</v>
      </c>
      <c r="U329">
        <v>79705857</v>
      </c>
      <c r="V329">
        <v>1</v>
      </c>
      <c r="W329">
        <v>0</v>
      </c>
      <c r="X329" t="s">
        <v>163</v>
      </c>
      <c r="Y329" s="10">
        <v>45833</v>
      </c>
      <c r="AD329" t="s">
        <v>41</v>
      </c>
      <c r="AY329" t="s">
        <v>575</v>
      </c>
    </row>
    <row r="330" spans="1:51" x14ac:dyDescent="0.25">
      <c r="A330" t="str">
        <f t="shared" si="22"/>
        <v>5000017857108027824</v>
      </c>
      <c r="B330">
        <v>4</v>
      </c>
      <c r="C330">
        <v>10802782</v>
      </c>
      <c r="D330">
        <v>4</v>
      </c>
      <c r="E330">
        <v>5000017857</v>
      </c>
      <c r="F330" t="s">
        <v>568</v>
      </c>
      <c r="G330">
        <v>1</v>
      </c>
      <c r="H330" t="s">
        <v>35</v>
      </c>
      <c r="I330" s="10">
        <v>45838</v>
      </c>
      <c r="K330" s="23">
        <v>18693693.699999999</v>
      </c>
      <c r="L330" t="s">
        <v>162</v>
      </c>
      <c r="M330" t="s">
        <v>36</v>
      </c>
      <c r="N330" t="s">
        <v>37</v>
      </c>
      <c r="O330" t="s">
        <v>38</v>
      </c>
      <c r="R330" t="s">
        <v>98</v>
      </c>
      <c r="S330" t="s">
        <v>39</v>
      </c>
      <c r="T330">
        <v>0</v>
      </c>
      <c r="U330">
        <v>79705857</v>
      </c>
      <c r="V330">
        <v>1</v>
      </c>
      <c r="W330">
        <v>0</v>
      </c>
      <c r="X330" t="s">
        <v>163</v>
      </c>
      <c r="Y330" s="10">
        <v>45833</v>
      </c>
      <c r="AD330" t="s">
        <v>41</v>
      </c>
      <c r="AY330" t="s">
        <v>576</v>
      </c>
    </row>
    <row r="331" spans="1:51" x14ac:dyDescent="0.25">
      <c r="A331" t="str">
        <f t="shared" si="22"/>
        <v>5000014291108018421</v>
      </c>
      <c r="B331">
        <v>4</v>
      </c>
      <c r="C331">
        <v>10801842</v>
      </c>
      <c r="D331">
        <v>1</v>
      </c>
      <c r="E331">
        <v>5000014291</v>
      </c>
      <c r="F331" t="s">
        <v>406</v>
      </c>
      <c r="G331">
        <v>1</v>
      </c>
      <c r="H331" t="s">
        <v>296</v>
      </c>
      <c r="I331" s="10">
        <v>45782</v>
      </c>
      <c r="K331" s="23">
        <v>92500</v>
      </c>
      <c r="L331" t="s">
        <v>162</v>
      </c>
      <c r="M331" t="s">
        <v>36</v>
      </c>
      <c r="N331" t="s">
        <v>37</v>
      </c>
      <c r="O331" t="s">
        <v>38</v>
      </c>
      <c r="R331" t="s">
        <v>98</v>
      </c>
      <c r="S331" t="s">
        <v>39</v>
      </c>
      <c r="T331">
        <v>0</v>
      </c>
      <c r="U331">
        <v>79704089</v>
      </c>
      <c r="V331">
        <v>0</v>
      </c>
      <c r="W331">
        <v>1</v>
      </c>
      <c r="X331" t="s">
        <v>163</v>
      </c>
      <c r="Y331" s="10">
        <v>45782</v>
      </c>
      <c r="AD331" t="s">
        <v>41</v>
      </c>
      <c r="AX331" t="s">
        <v>164</v>
      </c>
      <c r="AY331" t="s">
        <v>466</v>
      </c>
    </row>
    <row r="332" spans="1:51" x14ac:dyDescent="0.25">
      <c r="A332" t="str">
        <f t="shared" si="22"/>
        <v>5000017786108018422</v>
      </c>
      <c r="B332">
        <v>5</v>
      </c>
      <c r="C332">
        <v>10801842</v>
      </c>
      <c r="D332">
        <v>2</v>
      </c>
      <c r="E332">
        <v>5000017786</v>
      </c>
      <c r="F332" t="s">
        <v>433</v>
      </c>
      <c r="G332">
        <v>1</v>
      </c>
      <c r="H332" t="s">
        <v>93</v>
      </c>
      <c r="I332" s="10">
        <v>45782</v>
      </c>
      <c r="K332" s="23">
        <v>59500</v>
      </c>
      <c r="L332" t="s">
        <v>162</v>
      </c>
      <c r="M332" t="s">
        <v>36</v>
      </c>
      <c r="N332" t="s">
        <v>37</v>
      </c>
      <c r="O332" t="s">
        <v>38</v>
      </c>
      <c r="R332" t="s">
        <v>98</v>
      </c>
      <c r="S332" t="s">
        <v>39</v>
      </c>
      <c r="T332">
        <v>0</v>
      </c>
      <c r="U332">
        <v>79704089</v>
      </c>
      <c r="V332">
        <v>0</v>
      </c>
      <c r="W332">
        <v>1</v>
      </c>
      <c r="X332" t="s">
        <v>163</v>
      </c>
      <c r="Y332" s="10">
        <v>45782</v>
      </c>
      <c r="AD332" t="s">
        <v>41</v>
      </c>
      <c r="AX332" t="s">
        <v>164</v>
      </c>
      <c r="AY332" t="s">
        <v>434</v>
      </c>
    </row>
    <row r="333" spans="1:51" x14ac:dyDescent="0.25">
      <c r="A333" t="str">
        <f t="shared" si="22"/>
        <v>5000016255108018425</v>
      </c>
      <c r="B333">
        <v>6</v>
      </c>
      <c r="C333">
        <v>10801842</v>
      </c>
      <c r="D333">
        <v>5</v>
      </c>
      <c r="E333">
        <v>5000016255</v>
      </c>
      <c r="F333" t="s">
        <v>110</v>
      </c>
      <c r="G333">
        <v>1</v>
      </c>
      <c r="H333" t="s">
        <v>93</v>
      </c>
      <c r="I333" s="10">
        <v>45783</v>
      </c>
      <c r="K333" s="23">
        <v>343000</v>
      </c>
      <c r="L333" t="s">
        <v>162</v>
      </c>
      <c r="M333" t="s">
        <v>36</v>
      </c>
      <c r="N333" t="s">
        <v>37</v>
      </c>
      <c r="O333" t="s">
        <v>38</v>
      </c>
      <c r="R333" t="s">
        <v>98</v>
      </c>
      <c r="S333" t="s">
        <v>39</v>
      </c>
      <c r="T333">
        <v>0</v>
      </c>
      <c r="U333">
        <v>79704089</v>
      </c>
      <c r="V333">
        <v>0</v>
      </c>
      <c r="W333">
        <v>1</v>
      </c>
      <c r="X333" t="s">
        <v>163</v>
      </c>
      <c r="Y333" s="10">
        <v>45782</v>
      </c>
      <c r="AD333" t="s">
        <v>41</v>
      </c>
      <c r="AX333" t="s">
        <v>164</v>
      </c>
      <c r="AY333" t="s">
        <v>443</v>
      </c>
    </row>
    <row r="334" spans="1:51" x14ac:dyDescent="0.25">
      <c r="A334" t="str">
        <f t="shared" si="22"/>
        <v>5000008843108018423</v>
      </c>
      <c r="B334">
        <v>2</v>
      </c>
      <c r="C334">
        <v>10801842</v>
      </c>
      <c r="D334">
        <v>3</v>
      </c>
      <c r="E334">
        <v>5000008843</v>
      </c>
      <c r="F334" t="s">
        <v>150</v>
      </c>
      <c r="G334">
        <v>1</v>
      </c>
      <c r="H334" t="s">
        <v>35</v>
      </c>
      <c r="I334" s="10">
        <v>45782</v>
      </c>
      <c r="K334" s="23">
        <v>1025000</v>
      </c>
      <c r="L334" t="s">
        <v>162</v>
      </c>
      <c r="M334" t="s">
        <v>36</v>
      </c>
      <c r="N334" t="s">
        <v>37</v>
      </c>
      <c r="O334" t="s">
        <v>38</v>
      </c>
      <c r="R334" t="s">
        <v>98</v>
      </c>
      <c r="S334" t="s">
        <v>39</v>
      </c>
      <c r="T334">
        <v>0</v>
      </c>
      <c r="U334">
        <v>79704092</v>
      </c>
      <c r="V334">
        <v>0</v>
      </c>
      <c r="W334">
        <v>1</v>
      </c>
      <c r="X334" t="s">
        <v>163</v>
      </c>
      <c r="Y334" s="10">
        <v>45782</v>
      </c>
      <c r="AD334" t="s">
        <v>41</v>
      </c>
      <c r="AX334" t="s">
        <v>164</v>
      </c>
      <c r="AY334" t="s">
        <v>440</v>
      </c>
    </row>
    <row r="335" spans="1:51" x14ac:dyDescent="0.25">
      <c r="A335" t="str">
        <f t="shared" si="22"/>
        <v>5000013640108021972</v>
      </c>
      <c r="B335">
        <v>3</v>
      </c>
      <c r="C335">
        <v>10802197</v>
      </c>
      <c r="D335">
        <v>2</v>
      </c>
      <c r="E335">
        <v>5000013640</v>
      </c>
      <c r="F335" t="s">
        <v>159</v>
      </c>
      <c r="G335">
        <v>5</v>
      </c>
      <c r="H335" t="s">
        <v>93</v>
      </c>
      <c r="I335" s="10">
        <v>45804</v>
      </c>
      <c r="K335" s="23">
        <v>15000</v>
      </c>
      <c r="L335" t="s">
        <v>162</v>
      </c>
      <c r="M335" t="s">
        <v>160</v>
      </c>
      <c r="N335" t="s">
        <v>37</v>
      </c>
      <c r="O335" t="s">
        <v>38</v>
      </c>
      <c r="R335" t="s">
        <v>98</v>
      </c>
      <c r="S335" t="s">
        <v>39</v>
      </c>
      <c r="T335">
        <v>0</v>
      </c>
      <c r="U335">
        <v>79704858</v>
      </c>
      <c r="V335">
        <v>0</v>
      </c>
      <c r="W335">
        <v>5</v>
      </c>
      <c r="X335" t="s">
        <v>163</v>
      </c>
      <c r="Y335" s="10">
        <v>45804</v>
      </c>
      <c r="AD335" t="s">
        <v>41</v>
      </c>
      <c r="AX335" t="s">
        <v>164</v>
      </c>
      <c r="AY335" t="s">
        <v>495</v>
      </c>
    </row>
    <row r="336" spans="1:51" x14ac:dyDescent="0.25">
      <c r="A336" t="str">
        <f t="shared" si="22"/>
        <v>5000016585108021973</v>
      </c>
      <c r="B336">
        <v>4</v>
      </c>
      <c r="C336">
        <v>10802197</v>
      </c>
      <c r="D336">
        <v>3</v>
      </c>
      <c r="E336">
        <v>5000016585</v>
      </c>
      <c r="F336" t="s">
        <v>306</v>
      </c>
      <c r="G336">
        <v>1</v>
      </c>
      <c r="H336" t="s">
        <v>35</v>
      </c>
      <c r="I336" s="10">
        <v>45804</v>
      </c>
      <c r="K336" s="23">
        <v>25000</v>
      </c>
      <c r="L336" t="s">
        <v>162</v>
      </c>
      <c r="M336" t="s">
        <v>36</v>
      </c>
      <c r="N336" t="s">
        <v>37</v>
      </c>
      <c r="O336" t="s">
        <v>38</v>
      </c>
      <c r="R336" t="s">
        <v>98</v>
      </c>
      <c r="S336" t="s">
        <v>39</v>
      </c>
      <c r="T336">
        <v>0</v>
      </c>
      <c r="U336">
        <v>79704858</v>
      </c>
      <c r="V336">
        <v>0</v>
      </c>
      <c r="W336">
        <v>1</v>
      </c>
      <c r="X336" t="s">
        <v>163</v>
      </c>
      <c r="Y336" s="10">
        <v>45804</v>
      </c>
      <c r="AD336" t="s">
        <v>41</v>
      </c>
      <c r="AX336" t="s">
        <v>164</v>
      </c>
      <c r="AY336" t="s">
        <v>496</v>
      </c>
    </row>
    <row r="337" spans="1:51" x14ac:dyDescent="0.25">
      <c r="A337" t="str">
        <f t="shared" si="22"/>
        <v>5000009123108024962</v>
      </c>
      <c r="B337">
        <v>1</v>
      </c>
      <c r="C337">
        <v>10802496</v>
      </c>
      <c r="D337">
        <v>2</v>
      </c>
      <c r="E337">
        <v>5000009123</v>
      </c>
      <c r="F337" t="s">
        <v>535</v>
      </c>
      <c r="G337">
        <v>1</v>
      </c>
      <c r="H337" t="s">
        <v>35</v>
      </c>
      <c r="I337" s="10">
        <v>45824</v>
      </c>
      <c r="K337" s="23">
        <v>315315.40000000002</v>
      </c>
      <c r="L337" t="s">
        <v>162</v>
      </c>
      <c r="M337" t="s">
        <v>36</v>
      </c>
      <c r="N337" t="s">
        <v>37</v>
      </c>
      <c r="O337" t="s">
        <v>38</v>
      </c>
      <c r="R337" t="s">
        <v>98</v>
      </c>
      <c r="S337" t="s">
        <v>39</v>
      </c>
      <c r="T337">
        <v>0</v>
      </c>
      <c r="U337">
        <v>79705367</v>
      </c>
      <c r="V337">
        <v>0</v>
      </c>
      <c r="W337">
        <v>1</v>
      </c>
      <c r="X337" t="s">
        <v>163</v>
      </c>
      <c r="Y337" s="10">
        <v>45820</v>
      </c>
      <c r="Z337" t="s">
        <v>163</v>
      </c>
      <c r="AA337" s="25">
        <v>45820</v>
      </c>
      <c r="AD337" t="s">
        <v>41</v>
      </c>
      <c r="AX337" t="s">
        <v>164</v>
      </c>
      <c r="AY337" t="s">
        <v>546</v>
      </c>
    </row>
    <row r="338" spans="1:51" x14ac:dyDescent="0.25">
      <c r="A338" t="str">
        <f t="shared" si="22"/>
        <v>5000011960108027821</v>
      </c>
      <c r="B338">
        <v>1</v>
      </c>
      <c r="C338">
        <v>10802782</v>
      </c>
      <c r="D338">
        <v>1</v>
      </c>
      <c r="E338">
        <v>5000011960</v>
      </c>
      <c r="F338" t="s">
        <v>478</v>
      </c>
      <c r="G338">
        <v>1</v>
      </c>
      <c r="H338" t="s">
        <v>93</v>
      </c>
      <c r="I338" s="10">
        <v>45838</v>
      </c>
      <c r="K338" s="23">
        <v>1621621.7</v>
      </c>
      <c r="L338" t="s">
        <v>162</v>
      </c>
      <c r="M338" t="s">
        <v>36</v>
      </c>
      <c r="N338" t="s">
        <v>37</v>
      </c>
      <c r="O338" t="s">
        <v>38</v>
      </c>
      <c r="R338" t="s">
        <v>98</v>
      </c>
      <c r="S338" t="s">
        <v>39</v>
      </c>
      <c r="T338">
        <v>0</v>
      </c>
      <c r="U338">
        <v>79705857</v>
      </c>
      <c r="V338">
        <v>0</v>
      </c>
      <c r="W338">
        <v>1</v>
      </c>
      <c r="X338" t="s">
        <v>163</v>
      </c>
      <c r="Y338" s="10">
        <v>45833</v>
      </c>
      <c r="AD338" t="s">
        <v>41</v>
      </c>
      <c r="AX338" t="s">
        <v>164</v>
      </c>
      <c r="AY338" t="s">
        <v>573</v>
      </c>
    </row>
    <row r="339" spans="1:51" x14ac:dyDescent="0.25">
      <c r="A339" t="str">
        <f t="shared" si="22"/>
        <v>5000011960108027821</v>
      </c>
      <c r="B339">
        <v>2</v>
      </c>
      <c r="C339">
        <v>10802782</v>
      </c>
      <c r="D339">
        <v>1</v>
      </c>
      <c r="E339">
        <v>5000011960</v>
      </c>
      <c r="F339" t="s">
        <v>478</v>
      </c>
      <c r="G339">
        <v>1</v>
      </c>
      <c r="H339" t="s">
        <v>93</v>
      </c>
      <c r="I339" s="10">
        <v>45838</v>
      </c>
      <c r="K339" s="23">
        <v>2117117.2000000002</v>
      </c>
      <c r="L339" t="s">
        <v>162</v>
      </c>
      <c r="M339" t="s">
        <v>36</v>
      </c>
      <c r="N339" t="s">
        <v>37</v>
      </c>
      <c r="O339" t="s">
        <v>38</v>
      </c>
      <c r="R339" t="s">
        <v>98</v>
      </c>
      <c r="S339" t="s">
        <v>39</v>
      </c>
      <c r="T339">
        <v>0</v>
      </c>
      <c r="U339">
        <v>79705857</v>
      </c>
      <c r="V339">
        <v>0</v>
      </c>
      <c r="W339">
        <v>1</v>
      </c>
      <c r="X339" t="s">
        <v>163</v>
      </c>
      <c r="Y339" s="10">
        <v>45833</v>
      </c>
      <c r="AD339" t="s">
        <v>41</v>
      </c>
      <c r="AX339" t="s">
        <v>164</v>
      </c>
      <c r="AY339" t="s">
        <v>574</v>
      </c>
    </row>
    <row r="340" spans="1:51" x14ac:dyDescent="0.25">
      <c r="A340" t="str">
        <f t="shared" si="22"/>
        <v>5000017856108027823</v>
      </c>
      <c r="B340">
        <v>3</v>
      </c>
      <c r="C340">
        <v>10802782</v>
      </c>
      <c r="D340">
        <v>3</v>
      </c>
      <c r="E340">
        <v>5000017856</v>
      </c>
      <c r="F340" t="s">
        <v>566</v>
      </c>
      <c r="G340">
        <v>1</v>
      </c>
      <c r="H340" t="s">
        <v>35</v>
      </c>
      <c r="I340" s="10">
        <v>45838</v>
      </c>
      <c r="K340" s="23">
        <v>11351351.4</v>
      </c>
      <c r="L340" t="s">
        <v>162</v>
      </c>
      <c r="M340" t="s">
        <v>36</v>
      </c>
      <c r="N340" t="s">
        <v>37</v>
      </c>
      <c r="O340" t="s">
        <v>38</v>
      </c>
      <c r="R340" t="s">
        <v>98</v>
      </c>
      <c r="S340" t="s">
        <v>39</v>
      </c>
      <c r="T340">
        <v>0</v>
      </c>
      <c r="U340">
        <v>79705857</v>
      </c>
      <c r="V340">
        <v>0</v>
      </c>
      <c r="W340">
        <v>1</v>
      </c>
      <c r="X340" t="s">
        <v>163</v>
      </c>
      <c r="Y340" s="10">
        <v>45833</v>
      </c>
      <c r="AD340" t="s">
        <v>41</v>
      </c>
      <c r="AX340" t="s">
        <v>164</v>
      </c>
      <c r="AY340" t="s">
        <v>575</v>
      </c>
    </row>
    <row r="341" spans="1:51" x14ac:dyDescent="0.25">
      <c r="A341" t="str">
        <f t="shared" si="22"/>
        <v>5000017857108027824</v>
      </c>
      <c r="B341">
        <v>4</v>
      </c>
      <c r="C341">
        <v>10802782</v>
      </c>
      <c r="D341">
        <v>4</v>
      </c>
      <c r="E341">
        <v>5000017857</v>
      </c>
      <c r="F341" t="s">
        <v>568</v>
      </c>
      <c r="G341">
        <v>1</v>
      </c>
      <c r="H341" t="s">
        <v>35</v>
      </c>
      <c r="I341" s="10">
        <v>45838</v>
      </c>
      <c r="K341" s="23">
        <v>18693693.699999999</v>
      </c>
      <c r="L341" t="s">
        <v>162</v>
      </c>
      <c r="M341" t="s">
        <v>36</v>
      </c>
      <c r="N341" t="s">
        <v>37</v>
      </c>
      <c r="O341" t="s">
        <v>38</v>
      </c>
      <c r="R341" t="s">
        <v>98</v>
      </c>
      <c r="S341" t="s">
        <v>39</v>
      </c>
      <c r="T341">
        <v>0</v>
      </c>
      <c r="U341">
        <v>79705857</v>
      </c>
      <c r="V341">
        <v>0</v>
      </c>
      <c r="W341">
        <v>1</v>
      </c>
      <c r="X341" t="s">
        <v>163</v>
      </c>
      <c r="Y341" s="10">
        <v>45833</v>
      </c>
      <c r="AD341" t="s">
        <v>41</v>
      </c>
      <c r="AX341" t="s">
        <v>164</v>
      </c>
      <c r="AY341" t="s">
        <v>576</v>
      </c>
    </row>
    <row r="342" spans="1:51" x14ac:dyDescent="0.25">
      <c r="A342" t="str">
        <f t="shared" si="22"/>
        <v>5000013499108027342</v>
      </c>
      <c r="B342">
        <v>1</v>
      </c>
      <c r="C342">
        <v>10802734</v>
      </c>
      <c r="D342">
        <v>2</v>
      </c>
      <c r="E342">
        <v>5000013499</v>
      </c>
      <c r="F342" t="s">
        <v>244</v>
      </c>
      <c r="G342">
        <v>1</v>
      </c>
      <c r="H342" t="s">
        <v>35</v>
      </c>
      <c r="I342" s="10">
        <v>45835</v>
      </c>
      <c r="K342" s="23">
        <v>290000</v>
      </c>
      <c r="L342" t="s">
        <v>162</v>
      </c>
      <c r="M342" t="s">
        <v>160</v>
      </c>
      <c r="N342" t="s">
        <v>37</v>
      </c>
      <c r="O342" t="s">
        <v>38</v>
      </c>
      <c r="R342" t="s">
        <v>98</v>
      </c>
      <c r="S342" t="s">
        <v>39</v>
      </c>
      <c r="T342">
        <v>0</v>
      </c>
      <c r="U342">
        <v>79705945</v>
      </c>
      <c r="V342">
        <v>1</v>
      </c>
      <c r="W342">
        <v>0</v>
      </c>
      <c r="X342" t="s">
        <v>163</v>
      </c>
      <c r="Y342" s="10">
        <v>45834</v>
      </c>
      <c r="AD342" t="s">
        <v>41</v>
      </c>
      <c r="AY342" t="s">
        <v>561</v>
      </c>
    </row>
    <row r="343" spans="1:51" x14ac:dyDescent="0.25">
      <c r="A343" t="str">
        <f t="shared" si="22"/>
        <v>5000016255108027343</v>
      </c>
      <c r="B343">
        <v>2</v>
      </c>
      <c r="C343">
        <v>10802734</v>
      </c>
      <c r="D343">
        <v>3</v>
      </c>
      <c r="E343">
        <v>5000016255</v>
      </c>
      <c r="F343" t="s">
        <v>110</v>
      </c>
      <c r="G343">
        <v>1</v>
      </c>
      <c r="H343" t="s">
        <v>93</v>
      </c>
      <c r="I343" s="10">
        <v>45835</v>
      </c>
      <c r="K343" s="23">
        <v>343000</v>
      </c>
      <c r="L343" t="s">
        <v>162</v>
      </c>
      <c r="M343" t="s">
        <v>36</v>
      </c>
      <c r="N343" t="s">
        <v>37</v>
      </c>
      <c r="O343" t="s">
        <v>38</v>
      </c>
      <c r="R343" t="s">
        <v>98</v>
      </c>
      <c r="S343" t="s">
        <v>39</v>
      </c>
      <c r="T343">
        <v>0</v>
      </c>
      <c r="U343">
        <v>79705945</v>
      </c>
      <c r="V343">
        <v>1</v>
      </c>
      <c r="W343">
        <v>0</v>
      </c>
      <c r="X343" t="s">
        <v>163</v>
      </c>
      <c r="Y343" s="10">
        <v>45834</v>
      </c>
      <c r="AD343" t="s">
        <v>41</v>
      </c>
      <c r="AY343" t="s">
        <v>562</v>
      </c>
    </row>
    <row r="344" spans="1:51" x14ac:dyDescent="0.25">
      <c r="A344" t="str">
        <f t="shared" si="22"/>
        <v>5000011754108027341</v>
      </c>
      <c r="B344">
        <v>1</v>
      </c>
      <c r="C344">
        <v>10802734</v>
      </c>
      <c r="D344">
        <v>1</v>
      </c>
      <c r="E344">
        <v>5000011754</v>
      </c>
      <c r="F344" t="s">
        <v>99</v>
      </c>
      <c r="G344">
        <v>6</v>
      </c>
      <c r="H344" t="s">
        <v>93</v>
      </c>
      <c r="I344" s="10">
        <v>45835</v>
      </c>
      <c r="K344" s="23">
        <v>20000</v>
      </c>
      <c r="L344" t="s">
        <v>162</v>
      </c>
      <c r="M344" t="s">
        <v>36</v>
      </c>
      <c r="N344" t="s">
        <v>37</v>
      </c>
      <c r="O344" t="s">
        <v>38</v>
      </c>
      <c r="R344" t="s">
        <v>98</v>
      </c>
      <c r="S344" t="s">
        <v>39</v>
      </c>
      <c r="T344">
        <v>0</v>
      </c>
      <c r="U344">
        <v>79705946</v>
      </c>
      <c r="V344">
        <v>0</v>
      </c>
      <c r="W344">
        <v>6</v>
      </c>
      <c r="X344" t="s">
        <v>163</v>
      </c>
      <c r="Y344" s="10">
        <v>45834</v>
      </c>
      <c r="AD344" t="s">
        <v>41</v>
      </c>
      <c r="AX344" t="s">
        <v>164</v>
      </c>
      <c r="AY344" t="s">
        <v>560</v>
      </c>
    </row>
    <row r="345" spans="1:51" x14ac:dyDescent="0.25">
      <c r="A345" t="str">
        <f t="shared" si="22"/>
        <v>5000008929108027825</v>
      </c>
      <c r="B345">
        <v>2</v>
      </c>
      <c r="C345">
        <v>10802782</v>
      </c>
      <c r="D345">
        <v>5</v>
      </c>
      <c r="E345">
        <v>5000008929</v>
      </c>
      <c r="F345" t="s">
        <v>100</v>
      </c>
      <c r="G345">
        <v>1</v>
      </c>
      <c r="H345" t="s">
        <v>93</v>
      </c>
      <c r="I345" s="10">
        <v>45838</v>
      </c>
      <c r="K345" s="23">
        <v>150000</v>
      </c>
      <c r="L345" t="s">
        <v>162</v>
      </c>
      <c r="M345" t="s">
        <v>36</v>
      </c>
      <c r="N345" t="s">
        <v>37</v>
      </c>
      <c r="O345" t="s">
        <v>38</v>
      </c>
      <c r="R345" t="s">
        <v>98</v>
      </c>
      <c r="S345" t="s">
        <v>39</v>
      </c>
      <c r="T345">
        <v>0</v>
      </c>
      <c r="U345">
        <v>79705946</v>
      </c>
      <c r="V345">
        <v>0</v>
      </c>
      <c r="W345">
        <v>1</v>
      </c>
      <c r="X345" t="s">
        <v>163</v>
      </c>
      <c r="Y345" s="10">
        <v>45834</v>
      </c>
      <c r="AD345" t="s">
        <v>41</v>
      </c>
      <c r="AX345" t="s">
        <v>164</v>
      </c>
      <c r="AY345" t="s">
        <v>570</v>
      </c>
    </row>
    <row r="346" spans="1:51" x14ac:dyDescent="0.25">
      <c r="A346" t="str">
        <f t="shared" si="22"/>
        <v>5000008843108027826</v>
      </c>
      <c r="B346">
        <v>3</v>
      </c>
      <c r="C346">
        <v>10802782</v>
      </c>
      <c r="D346">
        <v>6</v>
      </c>
      <c r="E346">
        <v>5000008843</v>
      </c>
      <c r="F346" t="s">
        <v>150</v>
      </c>
      <c r="G346">
        <v>2</v>
      </c>
      <c r="H346" t="s">
        <v>35</v>
      </c>
      <c r="I346" s="10">
        <v>45839</v>
      </c>
      <c r="K346" s="23">
        <v>1025000</v>
      </c>
      <c r="L346" t="s">
        <v>162</v>
      </c>
      <c r="M346" t="s">
        <v>36</v>
      </c>
      <c r="N346" t="s">
        <v>37</v>
      </c>
      <c r="O346" t="s">
        <v>38</v>
      </c>
      <c r="R346" t="s">
        <v>98</v>
      </c>
      <c r="S346" t="s">
        <v>39</v>
      </c>
      <c r="T346">
        <v>0</v>
      </c>
      <c r="U346">
        <v>79705946</v>
      </c>
      <c r="V346">
        <v>0</v>
      </c>
      <c r="W346">
        <v>2</v>
      </c>
      <c r="X346" t="s">
        <v>163</v>
      </c>
      <c r="Y346" s="10">
        <v>45834</v>
      </c>
      <c r="AD346" t="s">
        <v>41</v>
      </c>
      <c r="AX346" t="s">
        <v>164</v>
      </c>
      <c r="AY346" t="s">
        <v>571</v>
      </c>
    </row>
    <row r="347" spans="1:51" x14ac:dyDescent="0.25">
      <c r="A347" t="str">
        <f t="shared" si="22"/>
        <v>5000016255108028671</v>
      </c>
      <c r="B347">
        <v>1</v>
      </c>
      <c r="C347">
        <v>10802867</v>
      </c>
      <c r="D347">
        <v>1</v>
      </c>
      <c r="E347">
        <v>5000016255</v>
      </c>
      <c r="F347" t="s">
        <v>110</v>
      </c>
      <c r="G347">
        <v>1</v>
      </c>
      <c r="H347" t="s">
        <v>93</v>
      </c>
      <c r="I347" s="10">
        <v>45841</v>
      </c>
      <c r="K347" s="23">
        <v>343000</v>
      </c>
      <c r="L347" t="s">
        <v>162</v>
      </c>
      <c r="M347" t="s">
        <v>36</v>
      </c>
      <c r="N347" t="s">
        <v>37</v>
      </c>
      <c r="O347" t="s">
        <v>38</v>
      </c>
      <c r="R347" t="s">
        <v>98</v>
      </c>
      <c r="S347" t="s">
        <v>39</v>
      </c>
      <c r="T347">
        <v>0</v>
      </c>
      <c r="U347">
        <v>79706210</v>
      </c>
      <c r="V347">
        <v>1</v>
      </c>
      <c r="W347">
        <v>0</v>
      </c>
      <c r="X347" t="s">
        <v>163</v>
      </c>
      <c r="Y347" s="10">
        <v>45842</v>
      </c>
      <c r="AD347" t="s">
        <v>41</v>
      </c>
      <c r="AY347" t="s">
        <v>585</v>
      </c>
    </row>
    <row r="348" spans="1:51" x14ac:dyDescent="0.25">
      <c r="A348" t="str">
        <f t="shared" si="22"/>
        <v>5000014291108029652</v>
      </c>
      <c r="B348">
        <v>2</v>
      </c>
      <c r="C348">
        <v>10802965</v>
      </c>
      <c r="D348">
        <v>2</v>
      </c>
      <c r="E348">
        <v>5000014291</v>
      </c>
      <c r="F348" t="s">
        <v>406</v>
      </c>
      <c r="G348">
        <v>3</v>
      </c>
      <c r="H348" t="s">
        <v>296</v>
      </c>
      <c r="I348" s="10">
        <v>45847</v>
      </c>
      <c r="K348" s="23">
        <v>92500</v>
      </c>
      <c r="L348" t="s">
        <v>162</v>
      </c>
      <c r="M348" t="s">
        <v>36</v>
      </c>
      <c r="N348" t="s">
        <v>37</v>
      </c>
      <c r="O348" t="s">
        <v>38</v>
      </c>
      <c r="R348" t="s">
        <v>98</v>
      </c>
      <c r="S348" t="s">
        <v>39</v>
      </c>
      <c r="T348">
        <v>0</v>
      </c>
      <c r="U348">
        <v>79706210</v>
      </c>
      <c r="V348">
        <v>3</v>
      </c>
      <c r="W348">
        <v>0</v>
      </c>
      <c r="X348" t="s">
        <v>163</v>
      </c>
      <c r="Y348" s="10">
        <v>45842</v>
      </c>
      <c r="AD348" t="s">
        <v>41</v>
      </c>
      <c r="AY348" t="s">
        <v>586</v>
      </c>
    </row>
    <row r="349" spans="1:51" x14ac:dyDescent="0.25">
      <c r="A349" t="str">
        <f t="shared" si="22"/>
        <v>5000013499108029653</v>
      </c>
      <c r="B349">
        <v>3</v>
      </c>
      <c r="C349">
        <v>10802965</v>
      </c>
      <c r="D349">
        <v>3</v>
      </c>
      <c r="E349">
        <v>5000013499</v>
      </c>
      <c r="F349" t="s">
        <v>244</v>
      </c>
      <c r="G349">
        <v>1</v>
      </c>
      <c r="H349" t="s">
        <v>35</v>
      </c>
      <c r="I349" s="10">
        <v>45847</v>
      </c>
      <c r="K349" s="23">
        <v>290000</v>
      </c>
      <c r="L349" t="s">
        <v>162</v>
      </c>
      <c r="M349" t="s">
        <v>160</v>
      </c>
      <c r="N349" t="s">
        <v>37</v>
      </c>
      <c r="O349" t="s">
        <v>38</v>
      </c>
      <c r="R349" t="s">
        <v>98</v>
      </c>
      <c r="S349" t="s">
        <v>39</v>
      </c>
      <c r="T349">
        <v>0</v>
      </c>
      <c r="U349">
        <v>79706210</v>
      </c>
      <c r="V349">
        <v>1</v>
      </c>
      <c r="W349">
        <v>0</v>
      </c>
      <c r="X349" t="s">
        <v>163</v>
      </c>
      <c r="Y349" s="10">
        <v>45842</v>
      </c>
      <c r="AD349" t="s">
        <v>41</v>
      </c>
      <c r="AY349" t="s">
        <v>587</v>
      </c>
    </row>
    <row r="350" spans="1:51" x14ac:dyDescent="0.25">
      <c r="A350" t="str">
        <f t="shared" si="22"/>
        <v>5000000739108029651</v>
      </c>
      <c r="B350">
        <v>1</v>
      </c>
      <c r="C350">
        <v>10802965</v>
      </c>
      <c r="D350">
        <v>1</v>
      </c>
      <c r="E350">
        <v>5000000739</v>
      </c>
      <c r="F350" t="s">
        <v>261</v>
      </c>
      <c r="G350">
        <v>1</v>
      </c>
      <c r="H350" t="s">
        <v>262</v>
      </c>
      <c r="I350" s="10">
        <v>45847</v>
      </c>
      <c r="K350" s="23">
        <v>2072072.1</v>
      </c>
      <c r="L350" t="s">
        <v>162</v>
      </c>
      <c r="M350" t="s">
        <v>36</v>
      </c>
      <c r="N350" t="s">
        <v>37</v>
      </c>
      <c r="O350" t="s">
        <v>38</v>
      </c>
      <c r="R350" t="s">
        <v>98</v>
      </c>
      <c r="S350" t="s">
        <v>39</v>
      </c>
      <c r="T350">
        <v>0</v>
      </c>
      <c r="U350">
        <v>79706305</v>
      </c>
      <c r="V350">
        <v>0</v>
      </c>
      <c r="W350">
        <v>1</v>
      </c>
      <c r="X350" t="s">
        <v>163</v>
      </c>
      <c r="Y350" s="10">
        <v>45845</v>
      </c>
      <c r="AD350" t="s">
        <v>41</v>
      </c>
      <c r="AX350" t="s">
        <v>164</v>
      </c>
      <c r="AY350" t="s">
        <v>591</v>
      </c>
    </row>
    <row r="351" spans="1:51" x14ac:dyDescent="0.25">
      <c r="A351" t="str">
        <f t="shared" ref="A351:A365" si="23">E351&amp;C351&amp;D351</f>
        <v>5000016779108030792</v>
      </c>
      <c r="B351">
        <v>1</v>
      </c>
      <c r="C351">
        <v>10803079</v>
      </c>
      <c r="D351">
        <v>2</v>
      </c>
      <c r="E351">
        <v>5000016779</v>
      </c>
      <c r="F351" t="s">
        <v>267</v>
      </c>
      <c r="G351">
        <v>1</v>
      </c>
      <c r="H351" t="s">
        <v>35</v>
      </c>
      <c r="I351" s="10">
        <v>45854</v>
      </c>
      <c r="K351" s="23">
        <v>743243.3</v>
      </c>
      <c r="L351" t="s">
        <v>162</v>
      </c>
      <c r="M351" t="s">
        <v>36</v>
      </c>
      <c r="N351" t="s">
        <v>37</v>
      </c>
      <c r="O351" t="s">
        <v>38</v>
      </c>
      <c r="R351" t="s">
        <v>98</v>
      </c>
      <c r="S351" t="s">
        <v>39</v>
      </c>
      <c r="T351">
        <v>0</v>
      </c>
      <c r="U351">
        <v>79706433</v>
      </c>
      <c r="V351">
        <v>0</v>
      </c>
      <c r="W351">
        <v>1</v>
      </c>
      <c r="X351" t="s">
        <v>163</v>
      </c>
      <c r="Y351" s="10">
        <v>45848</v>
      </c>
      <c r="AD351" t="s">
        <v>41</v>
      </c>
      <c r="AX351" t="s">
        <v>164</v>
      </c>
      <c r="AY351" t="s">
        <v>592</v>
      </c>
    </row>
    <row r="352" spans="1:51" x14ac:dyDescent="0.25">
      <c r="A352" t="str">
        <f t="shared" si="23"/>
        <v>5000008242108030793</v>
      </c>
      <c r="B352">
        <v>1</v>
      </c>
      <c r="C352">
        <v>10803079</v>
      </c>
      <c r="D352">
        <v>3</v>
      </c>
      <c r="E352">
        <v>5000008242</v>
      </c>
      <c r="F352" t="s">
        <v>593</v>
      </c>
      <c r="G352">
        <v>1</v>
      </c>
      <c r="H352" t="s">
        <v>296</v>
      </c>
      <c r="I352" s="10">
        <v>45854</v>
      </c>
      <c r="K352" s="23">
        <v>225000</v>
      </c>
      <c r="L352" t="s">
        <v>162</v>
      </c>
      <c r="M352" t="s">
        <v>36</v>
      </c>
      <c r="N352" t="s">
        <v>37</v>
      </c>
      <c r="O352" t="s">
        <v>38</v>
      </c>
      <c r="R352" t="s">
        <v>98</v>
      </c>
      <c r="S352" t="s">
        <v>39</v>
      </c>
      <c r="T352">
        <v>0</v>
      </c>
      <c r="U352">
        <v>79706572</v>
      </c>
      <c r="V352">
        <v>1</v>
      </c>
      <c r="W352">
        <v>0</v>
      </c>
      <c r="X352" t="s">
        <v>163</v>
      </c>
      <c r="Y352" s="10">
        <v>45853</v>
      </c>
      <c r="AD352" t="s">
        <v>41</v>
      </c>
      <c r="AY352" t="s">
        <v>594</v>
      </c>
    </row>
    <row r="353" spans="1:51" x14ac:dyDescent="0.25">
      <c r="A353" t="str">
        <f t="shared" si="23"/>
        <v>5000004248108031281</v>
      </c>
      <c r="B353">
        <v>2</v>
      </c>
      <c r="C353">
        <v>10803128</v>
      </c>
      <c r="D353">
        <v>1</v>
      </c>
      <c r="E353">
        <v>5000004248</v>
      </c>
      <c r="F353" t="s">
        <v>155</v>
      </c>
      <c r="G353">
        <v>12</v>
      </c>
      <c r="H353" t="s">
        <v>93</v>
      </c>
      <c r="I353" s="10">
        <v>45855</v>
      </c>
      <c r="K353" s="23">
        <v>65000</v>
      </c>
      <c r="L353" t="s">
        <v>162</v>
      </c>
      <c r="M353" t="s">
        <v>36</v>
      </c>
      <c r="N353" t="s">
        <v>37</v>
      </c>
      <c r="O353" t="s">
        <v>38</v>
      </c>
      <c r="R353" t="s">
        <v>98</v>
      </c>
      <c r="S353" t="s">
        <v>39</v>
      </c>
      <c r="T353">
        <v>0</v>
      </c>
      <c r="U353">
        <v>79706572</v>
      </c>
      <c r="V353">
        <v>12</v>
      </c>
      <c r="W353">
        <v>0</v>
      </c>
      <c r="X353" t="s">
        <v>163</v>
      </c>
      <c r="Y353" s="10">
        <v>45853</v>
      </c>
      <c r="AA353" s="25"/>
      <c r="AD353" t="s">
        <v>41</v>
      </c>
      <c r="AY353" t="s">
        <v>595</v>
      </c>
    </row>
    <row r="354" spans="1:51" x14ac:dyDescent="0.25">
      <c r="A354" t="str">
        <f t="shared" si="23"/>
        <v>5000009530108029861</v>
      </c>
      <c r="B354">
        <v>1</v>
      </c>
      <c r="C354">
        <v>10802986</v>
      </c>
      <c r="D354">
        <v>1</v>
      </c>
      <c r="E354">
        <v>5000009530</v>
      </c>
      <c r="F354" t="s">
        <v>581</v>
      </c>
      <c r="G354">
        <v>1</v>
      </c>
      <c r="H354" t="s">
        <v>35</v>
      </c>
      <c r="I354" s="10">
        <v>45848</v>
      </c>
      <c r="K354" s="23">
        <v>220000</v>
      </c>
      <c r="L354" t="s">
        <v>162</v>
      </c>
      <c r="M354" t="s">
        <v>36</v>
      </c>
      <c r="N354" t="s">
        <v>37</v>
      </c>
      <c r="O354" t="s">
        <v>38</v>
      </c>
      <c r="R354" t="s">
        <v>98</v>
      </c>
      <c r="S354" t="s">
        <v>39</v>
      </c>
      <c r="T354">
        <v>0</v>
      </c>
      <c r="U354">
        <v>79706583</v>
      </c>
      <c r="V354">
        <v>1</v>
      </c>
      <c r="W354">
        <v>0</v>
      </c>
      <c r="X354" t="s">
        <v>163</v>
      </c>
      <c r="Y354" s="10">
        <v>45853</v>
      </c>
      <c r="AA354" s="25"/>
      <c r="AD354" t="s">
        <v>41</v>
      </c>
      <c r="AY354" t="s">
        <v>582</v>
      </c>
    </row>
    <row r="355" spans="1:51" x14ac:dyDescent="0.25">
      <c r="A355" t="str">
        <f t="shared" si="23"/>
        <v>5000013802108029862</v>
      </c>
      <c r="B355">
        <v>2</v>
      </c>
      <c r="C355">
        <v>10802986</v>
      </c>
      <c r="D355">
        <v>2</v>
      </c>
      <c r="E355">
        <v>5000013802</v>
      </c>
      <c r="F355" t="s">
        <v>583</v>
      </c>
      <c r="G355">
        <v>1</v>
      </c>
      <c r="H355" t="s">
        <v>35</v>
      </c>
      <c r="I355" s="10">
        <v>45848</v>
      </c>
      <c r="K355" s="23">
        <v>550000</v>
      </c>
      <c r="L355" t="s">
        <v>162</v>
      </c>
      <c r="M355" t="s">
        <v>36</v>
      </c>
      <c r="N355" t="s">
        <v>37</v>
      </c>
      <c r="O355" t="s">
        <v>38</v>
      </c>
      <c r="R355" t="s">
        <v>98</v>
      </c>
      <c r="S355" t="s">
        <v>39</v>
      </c>
      <c r="T355">
        <v>0</v>
      </c>
      <c r="U355">
        <v>79706583</v>
      </c>
      <c r="V355">
        <v>1</v>
      </c>
      <c r="W355">
        <v>0</v>
      </c>
      <c r="X355" t="s">
        <v>163</v>
      </c>
      <c r="Y355" s="10">
        <v>45853</v>
      </c>
      <c r="AA355" s="25"/>
      <c r="AD355" t="s">
        <v>41</v>
      </c>
      <c r="AY355" t="s">
        <v>584</v>
      </c>
    </row>
    <row r="356" spans="1:51" x14ac:dyDescent="0.25">
      <c r="A356" t="str">
        <f t="shared" si="23"/>
        <v>5000016323108030791</v>
      </c>
      <c r="B356">
        <v>3</v>
      </c>
      <c r="C356">
        <v>10803079</v>
      </c>
      <c r="D356">
        <v>1</v>
      </c>
      <c r="E356">
        <v>5000016323</v>
      </c>
      <c r="F356" t="s">
        <v>596</v>
      </c>
      <c r="G356">
        <v>10</v>
      </c>
      <c r="H356" t="s">
        <v>93</v>
      </c>
      <c r="I356" s="10">
        <v>45854</v>
      </c>
      <c r="K356" s="23">
        <v>12000</v>
      </c>
      <c r="L356" t="s">
        <v>162</v>
      </c>
      <c r="M356" t="s">
        <v>36</v>
      </c>
      <c r="N356" t="s">
        <v>37</v>
      </c>
      <c r="O356" t="s">
        <v>38</v>
      </c>
      <c r="R356" t="s">
        <v>98</v>
      </c>
      <c r="S356" t="s">
        <v>39</v>
      </c>
      <c r="T356">
        <v>0</v>
      </c>
      <c r="U356">
        <v>79706583</v>
      </c>
      <c r="V356">
        <v>10</v>
      </c>
      <c r="W356">
        <v>0</v>
      </c>
      <c r="X356" t="s">
        <v>163</v>
      </c>
      <c r="Y356" s="10">
        <v>45853</v>
      </c>
      <c r="AD356" t="s">
        <v>41</v>
      </c>
      <c r="AY356" t="s">
        <v>590</v>
      </c>
    </row>
    <row r="357" spans="1:51" x14ac:dyDescent="0.25">
      <c r="A357" t="str">
        <f t="shared" si="23"/>
        <v>5000005340108031661</v>
      </c>
      <c r="B357">
        <v>1</v>
      </c>
      <c r="C357">
        <v>10803166</v>
      </c>
      <c r="D357">
        <v>1</v>
      </c>
      <c r="E357">
        <v>5000005340</v>
      </c>
      <c r="F357" t="s">
        <v>199</v>
      </c>
      <c r="G357">
        <v>3</v>
      </c>
      <c r="H357" t="s">
        <v>35</v>
      </c>
      <c r="I357" s="10">
        <v>45859</v>
      </c>
      <c r="K357" s="23">
        <v>155000</v>
      </c>
      <c r="L357" t="s">
        <v>162</v>
      </c>
      <c r="M357" t="s">
        <v>36</v>
      </c>
      <c r="N357" t="s">
        <v>37</v>
      </c>
      <c r="O357" t="s">
        <v>38</v>
      </c>
      <c r="R357" t="s">
        <v>98</v>
      </c>
      <c r="S357" t="s">
        <v>39</v>
      </c>
      <c r="T357">
        <v>0</v>
      </c>
      <c r="U357">
        <v>79706620</v>
      </c>
      <c r="V357">
        <v>3</v>
      </c>
      <c r="W357">
        <v>0</v>
      </c>
      <c r="X357" t="s">
        <v>163</v>
      </c>
      <c r="Y357" s="10">
        <v>45854</v>
      </c>
      <c r="AD357" t="s">
        <v>41</v>
      </c>
      <c r="AY357" t="s">
        <v>599</v>
      </c>
    </row>
    <row r="358" spans="1:51" x14ac:dyDescent="0.25">
      <c r="A358" t="str">
        <f t="shared" si="23"/>
        <v>5000016375108032171</v>
      </c>
      <c r="B358">
        <v>1</v>
      </c>
      <c r="C358">
        <v>10803217</v>
      </c>
      <c r="D358">
        <v>1</v>
      </c>
      <c r="E358">
        <v>5000016375</v>
      </c>
      <c r="F358" t="s">
        <v>114</v>
      </c>
      <c r="G358">
        <v>1</v>
      </c>
      <c r="H358" t="s">
        <v>35</v>
      </c>
      <c r="I358" s="10">
        <v>45860</v>
      </c>
      <c r="K358" s="23">
        <v>2072072.1</v>
      </c>
      <c r="L358" t="s">
        <v>162</v>
      </c>
      <c r="M358" t="s">
        <v>36</v>
      </c>
      <c r="N358" t="s">
        <v>37</v>
      </c>
      <c r="O358" t="s">
        <v>38</v>
      </c>
      <c r="R358" t="s">
        <v>98</v>
      </c>
      <c r="S358" t="s">
        <v>39</v>
      </c>
      <c r="T358">
        <v>0</v>
      </c>
      <c r="U358">
        <v>79706622</v>
      </c>
      <c r="V358">
        <v>1</v>
      </c>
      <c r="W358">
        <v>0</v>
      </c>
      <c r="X358" t="s">
        <v>163</v>
      </c>
      <c r="Y358" s="10">
        <v>45854</v>
      </c>
      <c r="AD358" t="s">
        <v>41</v>
      </c>
      <c r="AY358" t="s">
        <v>600</v>
      </c>
    </row>
    <row r="359" spans="1:51" x14ac:dyDescent="0.25">
      <c r="A359" t="str">
        <f t="shared" si="23"/>
        <v>5000014291108032461</v>
      </c>
      <c r="B359">
        <v>1</v>
      </c>
      <c r="C359">
        <v>10803246</v>
      </c>
      <c r="D359">
        <v>1</v>
      </c>
      <c r="E359">
        <v>5000014291</v>
      </c>
      <c r="F359" t="s">
        <v>406</v>
      </c>
      <c r="G359">
        <v>1</v>
      </c>
      <c r="H359" t="s">
        <v>296</v>
      </c>
      <c r="I359" s="10">
        <v>45861</v>
      </c>
      <c r="K359" s="23">
        <v>340000</v>
      </c>
      <c r="L359" t="s">
        <v>162</v>
      </c>
      <c r="M359" t="s">
        <v>36</v>
      </c>
      <c r="N359" t="s">
        <v>37</v>
      </c>
      <c r="O359" t="s">
        <v>38</v>
      </c>
      <c r="R359" t="s">
        <v>98</v>
      </c>
      <c r="S359" t="s">
        <v>39</v>
      </c>
      <c r="T359">
        <v>0</v>
      </c>
      <c r="U359">
        <v>79706827</v>
      </c>
      <c r="V359">
        <v>1</v>
      </c>
      <c r="W359">
        <v>0</v>
      </c>
      <c r="X359" t="s">
        <v>163</v>
      </c>
      <c r="Y359" s="10">
        <v>45859</v>
      </c>
      <c r="AD359" t="s">
        <v>41</v>
      </c>
      <c r="AY359" t="s">
        <v>606</v>
      </c>
    </row>
    <row r="360" spans="1:51" x14ac:dyDescent="0.25">
      <c r="A360" t="str">
        <f t="shared" si="23"/>
        <v>5000016308108032602</v>
      </c>
      <c r="B360">
        <v>2</v>
      </c>
      <c r="C360">
        <v>10803260</v>
      </c>
      <c r="D360">
        <v>2</v>
      </c>
      <c r="E360">
        <v>5000016308</v>
      </c>
      <c r="F360" t="s">
        <v>143</v>
      </c>
      <c r="G360">
        <v>1</v>
      </c>
      <c r="H360" t="s">
        <v>35</v>
      </c>
      <c r="I360" s="10">
        <v>45862</v>
      </c>
      <c r="K360" s="23">
        <v>2980000</v>
      </c>
      <c r="L360" t="s">
        <v>162</v>
      </c>
      <c r="M360" t="s">
        <v>36</v>
      </c>
      <c r="N360" t="s">
        <v>37</v>
      </c>
      <c r="O360" t="s">
        <v>38</v>
      </c>
      <c r="R360" t="s">
        <v>98</v>
      </c>
      <c r="S360" t="s">
        <v>39</v>
      </c>
      <c r="T360">
        <v>0</v>
      </c>
      <c r="U360">
        <v>79706827</v>
      </c>
      <c r="V360">
        <v>1</v>
      </c>
      <c r="W360">
        <v>0</v>
      </c>
      <c r="X360" t="s">
        <v>163</v>
      </c>
      <c r="Y360" s="10">
        <v>45859</v>
      </c>
      <c r="AD360" t="s">
        <v>41</v>
      </c>
      <c r="AY360" t="s">
        <v>607</v>
      </c>
    </row>
    <row r="361" spans="1:51" x14ac:dyDescent="0.25">
      <c r="A361" t="str">
        <f t="shared" si="23"/>
        <v>5000008843108032601</v>
      </c>
      <c r="B361">
        <v>1</v>
      </c>
      <c r="C361">
        <v>10803260</v>
      </c>
      <c r="D361">
        <v>1</v>
      </c>
      <c r="E361">
        <v>5000008843</v>
      </c>
      <c r="F361" t="s">
        <v>150</v>
      </c>
      <c r="G361">
        <v>1</v>
      </c>
      <c r="H361" t="s">
        <v>35</v>
      </c>
      <c r="I361" s="10">
        <v>45862</v>
      </c>
      <c r="K361" s="23">
        <v>1025000</v>
      </c>
      <c r="L361" t="s">
        <v>162</v>
      </c>
      <c r="M361" t="s">
        <v>36</v>
      </c>
      <c r="N361" t="s">
        <v>37</v>
      </c>
      <c r="O361" t="s">
        <v>38</v>
      </c>
      <c r="R361" t="s">
        <v>98</v>
      </c>
      <c r="S361" t="s">
        <v>39</v>
      </c>
      <c r="T361">
        <v>0</v>
      </c>
      <c r="U361">
        <v>79706828</v>
      </c>
      <c r="V361">
        <v>1</v>
      </c>
      <c r="W361">
        <v>0</v>
      </c>
      <c r="X361" t="s">
        <v>163</v>
      </c>
      <c r="Y361" s="10">
        <v>45859</v>
      </c>
      <c r="AD361" t="s">
        <v>41</v>
      </c>
      <c r="AY361" t="s">
        <v>608</v>
      </c>
    </row>
    <row r="362" spans="1:51" x14ac:dyDescent="0.25">
      <c r="A362" t="str">
        <f t="shared" si="23"/>
        <v>5000008843108033011</v>
      </c>
      <c r="B362">
        <v>1</v>
      </c>
      <c r="C362">
        <v>10803301</v>
      </c>
      <c r="D362">
        <v>1</v>
      </c>
      <c r="E362">
        <v>5000008843</v>
      </c>
      <c r="F362" t="s">
        <v>150</v>
      </c>
      <c r="G362">
        <v>1</v>
      </c>
      <c r="H362" t="s">
        <v>35</v>
      </c>
      <c r="I362" s="10">
        <v>45863</v>
      </c>
      <c r="K362" s="23">
        <v>1025000</v>
      </c>
      <c r="L362" t="s">
        <v>162</v>
      </c>
      <c r="M362" t="s">
        <v>36</v>
      </c>
      <c r="N362" t="s">
        <v>37</v>
      </c>
      <c r="O362" t="s">
        <v>38</v>
      </c>
      <c r="R362" t="s">
        <v>98</v>
      </c>
      <c r="S362" t="s">
        <v>39</v>
      </c>
      <c r="T362">
        <v>0</v>
      </c>
      <c r="U362">
        <v>79706851</v>
      </c>
      <c r="V362">
        <v>1</v>
      </c>
      <c r="W362">
        <v>0</v>
      </c>
      <c r="X362" t="s">
        <v>163</v>
      </c>
      <c r="Y362" s="10">
        <v>45860</v>
      </c>
      <c r="AD362" t="s">
        <v>41</v>
      </c>
      <c r="AY362" t="s">
        <v>602</v>
      </c>
    </row>
    <row r="363" spans="1:51" x14ac:dyDescent="0.25">
      <c r="A363" t="str">
        <f t="shared" si="23"/>
        <v>5000005059108033012</v>
      </c>
      <c r="B363">
        <v>2</v>
      </c>
      <c r="C363">
        <v>10803301</v>
      </c>
      <c r="D363">
        <v>2</v>
      </c>
      <c r="E363">
        <v>5000005059</v>
      </c>
      <c r="F363" t="s">
        <v>153</v>
      </c>
      <c r="G363">
        <v>1</v>
      </c>
      <c r="H363" t="s">
        <v>93</v>
      </c>
      <c r="I363" s="10">
        <v>45863</v>
      </c>
      <c r="K363" s="23">
        <v>95000</v>
      </c>
      <c r="L363" t="s">
        <v>162</v>
      </c>
      <c r="M363" t="s">
        <v>36</v>
      </c>
      <c r="N363" t="s">
        <v>37</v>
      </c>
      <c r="O363" t="s">
        <v>38</v>
      </c>
      <c r="R363" t="s">
        <v>98</v>
      </c>
      <c r="S363" t="s">
        <v>39</v>
      </c>
      <c r="T363">
        <v>0</v>
      </c>
      <c r="U363">
        <v>79706851</v>
      </c>
      <c r="V363">
        <v>1</v>
      </c>
      <c r="W363">
        <v>0</v>
      </c>
      <c r="X363" t="s">
        <v>163</v>
      </c>
      <c r="Y363" s="10">
        <v>45860</v>
      </c>
      <c r="AD363" t="s">
        <v>41</v>
      </c>
      <c r="AY363" t="s">
        <v>603</v>
      </c>
    </row>
    <row r="364" spans="1:51" x14ac:dyDescent="0.25">
      <c r="A364" t="str">
        <f t="shared" si="23"/>
        <v>5000004248108033013</v>
      </c>
      <c r="B364">
        <v>3</v>
      </c>
      <c r="C364">
        <v>10803301</v>
      </c>
      <c r="D364">
        <v>3</v>
      </c>
      <c r="E364">
        <v>5000004248</v>
      </c>
      <c r="F364" t="s">
        <v>155</v>
      </c>
      <c r="G364">
        <v>1</v>
      </c>
      <c r="H364" t="s">
        <v>93</v>
      </c>
      <c r="I364" s="10">
        <v>45863</v>
      </c>
      <c r="K364" s="23">
        <v>65000</v>
      </c>
      <c r="L364" t="s">
        <v>162</v>
      </c>
      <c r="M364" t="s">
        <v>36</v>
      </c>
      <c r="N364" t="s">
        <v>37</v>
      </c>
      <c r="O364" t="s">
        <v>38</v>
      </c>
      <c r="R364" t="s">
        <v>98</v>
      </c>
      <c r="S364" t="s">
        <v>39</v>
      </c>
      <c r="T364">
        <v>0</v>
      </c>
      <c r="U364">
        <v>79706851</v>
      </c>
      <c r="V364">
        <v>1</v>
      </c>
      <c r="W364">
        <v>0</v>
      </c>
      <c r="X364" t="s">
        <v>163</v>
      </c>
      <c r="Y364" s="10">
        <v>45860</v>
      </c>
      <c r="AD364" t="s">
        <v>41</v>
      </c>
      <c r="AY364" t="s">
        <v>604</v>
      </c>
    </row>
    <row r="365" spans="1:51" x14ac:dyDescent="0.25">
      <c r="A365" t="str">
        <f t="shared" si="23"/>
        <v>5000012021108033014</v>
      </c>
      <c r="B365">
        <v>4</v>
      </c>
      <c r="C365">
        <v>10803301</v>
      </c>
      <c r="D365">
        <v>4</v>
      </c>
      <c r="E365">
        <v>5000012021</v>
      </c>
      <c r="F365" t="s">
        <v>188</v>
      </c>
      <c r="G365">
        <v>1</v>
      </c>
      <c r="H365" t="s">
        <v>93</v>
      </c>
      <c r="I365" s="10">
        <v>45863</v>
      </c>
      <c r="K365" s="23">
        <v>30000</v>
      </c>
      <c r="L365" t="s">
        <v>162</v>
      </c>
      <c r="M365" t="s">
        <v>36</v>
      </c>
      <c r="N365" t="s">
        <v>37</v>
      </c>
      <c r="O365" t="s">
        <v>38</v>
      </c>
      <c r="R365" t="s">
        <v>98</v>
      </c>
      <c r="S365" t="s">
        <v>39</v>
      </c>
      <c r="T365">
        <v>0</v>
      </c>
      <c r="U365">
        <v>79706851</v>
      </c>
      <c r="V365">
        <v>1</v>
      </c>
      <c r="W365">
        <v>0</v>
      </c>
      <c r="X365" t="s">
        <v>163</v>
      </c>
      <c r="Y365" s="10">
        <v>45860</v>
      </c>
      <c r="AD365" t="s">
        <v>41</v>
      </c>
      <c r="AY365" t="s">
        <v>605</v>
      </c>
    </row>
    <row r="366" spans="1:51" x14ac:dyDescent="0.25">
      <c r="A366" t="str">
        <f t="shared" ref="A366:A370" si="24">E366&amp;C366&amp;D366</f>
        <v>5000017082108033621</v>
      </c>
      <c r="B366">
        <v>1</v>
      </c>
      <c r="C366">
        <v>10803362</v>
      </c>
      <c r="D366">
        <v>1</v>
      </c>
      <c r="E366">
        <v>5000017082</v>
      </c>
      <c r="F366" t="s">
        <v>609</v>
      </c>
      <c r="G366">
        <v>1</v>
      </c>
      <c r="H366" t="s">
        <v>35</v>
      </c>
      <c r="I366" s="10">
        <v>45867</v>
      </c>
      <c r="K366" s="23">
        <v>2072072.1</v>
      </c>
      <c r="L366" t="s">
        <v>162</v>
      </c>
      <c r="M366" t="s">
        <v>36</v>
      </c>
      <c r="N366" t="s">
        <v>37</v>
      </c>
      <c r="O366" t="s">
        <v>38</v>
      </c>
      <c r="R366" t="s">
        <v>98</v>
      </c>
      <c r="S366" t="s">
        <v>39</v>
      </c>
      <c r="T366">
        <v>0</v>
      </c>
      <c r="U366">
        <v>79707003</v>
      </c>
      <c r="V366">
        <v>1</v>
      </c>
      <c r="W366">
        <v>0</v>
      </c>
      <c r="X366" t="s">
        <v>163</v>
      </c>
      <c r="Y366" s="10">
        <v>45862</v>
      </c>
      <c r="AD366" t="s">
        <v>41</v>
      </c>
      <c r="AY366" t="s">
        <v>613</v>
      </c>
    </row>
    <row r="367" spans="1:51" x14ac:dyDescent="0.25">
      <c r="A367" t="str">
        <f t="shared" si="24"/>
        <v>5000016308108034251</v>
      </c>
      <c r="B367">
        <v>1</v>
      </c>
      <c r="C367">
        <v>10803425</v>
      </c>
      <c r="D367">
        <v>1</v>
      </c>
      <c r="E367">
        <v>5000016308</v>
      </c>
      <c r="F367" t="s">
        <v>143</v>
      </c>
      <c r="G367">
        <v>1</v>
      </c>
      <c r="H367" t="s">
        <v>35</v>
      </c>
      <c r="I367" s="10">
        <v>45870</v>
      </c>
      <c r="K367" s="23">
        <v>2980000</v>
      </c>
      <c r="L367" t="s">
        <v>162</v>
      </c>
      <c r="M367" t="s">
        <v>36</v>
      </c>
      <c r="N367" t="s">
        <v>37</v>
      </c>
      <c r="O367" t="s">
        <v>38</v>
      </c>
      <c r="R367" t="s">
        <v>98</v>
      </c>
      <c r="S367" t="s">
        <v>39</v>
      </c>
      <c r="T367">
        <v>0</v>
      </c>
      <c r="U367">
        <v>79707122</v>
      </c>
      <c r="V367">
        <v>1</v>
      </c>
      <c r="W367">
        <v>0</v>
      </c>
      <c r="X367" t="s">
        <v>163</v>
      </c>
      <c r="Y367" s="10">
        <v>45866</v>
      </c>
      <c r="AD367" t="s">
        <v>41</v>
      </c>
      <c r="AY367" t="s">
        <v>618</v>
      </c>
    </row>
    <row r="368" spans="1:51" x14ac:dyDescent="0.25">
      <c r="A368" t="str">
        <f t="shared" si="24"/>
        <v>5000013640108034621</v>
      </c>
      <c r="B368">
        <v>1</v>
      </c>
      <c r="C368">
        <v>10803462</v>
      </c>
      <c r="D368">
        <v>1</v>
      </c>
      <c r="E368">
        <v>5000013640</v>
      </c>
      <c r="F368" t="s">
        <v>159</v>
      </c>
      <c r="G368">
        <v>10</v>
      </c>
      <c r="H368" t="s">
        <v>93</v>
      </c>
      <c r="I368" s="10">
        <v>45873</v>
      </c>
      <c r="K368" s="23">
        <v>15000</v>
      </c>
      <c r="L368" t="s">
        <v>162</v>
      </c>
      <c r="M368" t="s">
        <v>160</v>
      </c>
      <c r="N368" t="s">
        <v>37</v>
      </c>
      <c r="O368" t="s">
        <v>38</v>
      </c>
      <c r="R368" t="s">
        <v>98</v>
      </c>
      <c r="S368" t="s">
        <v>39</v>
      </c>
      <c r="T368">
        <v>0</v>
      </c>
      <c r="U368">
        <v>79707171</v>
      </c>
      <c r="V368">
        <v>10</v>
      </c>
      <c r="W368">
        <v>0</v>
      </c>
      <c r="X368" t="s">
        <v>163</v>
      </c>
      <c r="Y368" s="10">
        <v>45867</v>
      </c>
      <c r="AD368" t="s">
        <v>41</v>
      </c>
      <c r="AY368" t="s">
        <v>619</v>
      </c>
    </row>
    <row r="369" spans="1:51" x14ac:dyDescent="0.25">
      <c r="A369" t="str">
        <f t="shared" si="24"/>
        <v>5000012033108034622</v>
      </c>
      <c r="B369">
        <v>2</v>
      </c>
      <c r="C369">
        <v>10803462</v>
      </c>
      <c r="D369">
        <v>2</v>
      </c>
      <c r="E369">
        <v>5000012033</v>
      </c>
      <c r="F369" t="s">
        <v>465</v>
      </c>
      <c r="G369">
        <v>10</v>
      </c>
      <c r="H369" t="s">
        <v>93</v>
      </c>
      <c r="I369" s="10">
        <v>45873</v>
      </c>
      <c r="K369" s="23">
        <v>25000</v>
      </c>
      <c r="L369" t="s">
        <v>162</v>
      </c>
      <c r="M369" t="s">
        <v>160</v>
      </c>
      <c r="N369" t="s">
        <v>37</v>
      </c>
      <c r="O369" t="s">
        <v>38</v>
      </c>
      <c r="R369" t="s">
        <v>98</v>
      </c>
      <c r="S369" t="s">
        <v>39</v>
      </c>
      <c r="T369">
        <v>0</v>
      </c>
      <c r="U369">
        <v>79707171</v>
      </c>
      <c r="V369">
        <v>10</v>
      </c>
      <c r="W369">
        <v>0</v>
      </c>
      <c r="X369" t="s">
        <v>163</v>
      </c>
      <c r="Y369" s="10">
        <v>45867</v>
      </c>
      <c r="AD369" t="s">
        <v>41</v>
      </c>
      <c r="AY369" t="s">
        <v>619</v>
      </c>
    </row>
    <row r="370" spans="1:51" x14ac:dyDescent="0.25">
      <c r="A370" t="str">
        <f t="shared" si="24"/>
        <v>5000016322108034623</v>
      </c>
      <c r="B370">
        <v>3</v>
      </c>
      <c r="C370">
        <v>10803462</v>
      </c>
      <c r="D370">
        <v>3</v>
      </c>
      <c r="E370">
        <v>5000016322</v>
      </c>
      <c r="F370" t="s">
        <v>388</v>
      </c>
      <c r="G370">
        <v>10</v>
      </c>
      <c r="H370" t="s">
        <v>93</v>
      </c>
      <c r="I370" s="10">
        <v>45873</v>
      </c>
      <c r="K370" s="23">
        <v>15000</v>
      </c>
      <c r="L370" t="s">
        <v>162</v>
      </c>
      <c r="M370" t="s">
        <v>36</v>
      </c>
      <c r="N370" t="s">
        <v>37</v>
      </c>
      <c r="O370" t="s">
        <v>38</v>
      </c>
      <c r="R370" t="s">
        <v>98</v>
      </c>
      <c r="S370" t="s">
        <v>39</v>
      </c>
      <c r="T370">
        <v>0</v>
      </c>
      <c r="U370">
        <v>79707171</v>
      </c>
      <c r="V370">
        <v>10</v>
      </c>
      <c r="W370">
        <v>0</v>
      </c>
      <c r="X370" t="s">
        <v>163</v>
      </c>
      <c r="Y370" s="10">
        <v>45867</v>
      </c>
      <c r="AD370" t="s">
        <v>41</v>
      </c>
      <c r="AY370" t="s">
        <v>619</v>
      </c>
    </row>
    <row r="371" spans="1:51" x14ac:dyDescent="0.25">
      <c r="A371" t="str">
        <f t="shared" ref="A371:A391" si="25">E371&amp;C371&amp;D371</f>
        <v>5000016255108035231</v>
      </c>
      <c r="B371">
        <v>1</v>
      </c>
      <c r="C371">
        <v>10803523</v>
      </c>
      <c r="D371">
        <v>1</v>
      </c>
      <c r="E371">
        <v>5000016255</v>
      </c>
      <c r="F371" t="s">
        <v>110</v>
      </c>
      <c r="G371">
        <v>1</v>
      </c>
      <c r="H371" t="s">
        <v>93</v>
      </c>
      <c r="I371" s="10">
        <v>45875</v>
      </c>
      <c r="K371" s="23">
        <v>343000</v>
      </c>
      <c r="L371" t="s">
        <v>162</v>
      </c>
      <c r="M371" t="s">
        <v>36</v>
      </c>
      <c r="N371" t="s">
        <v>37</v>
      </c>
      <c r="O371" t="s">
        <v>38</v>
      </c>
      <c r="R371" t="s">
        <v>98</v>
      </c>
      <c r="S371" t="s">
        <v>39</v>
      </c>
      <c r="T371">
        <v>0</v>
      </c>
      <c r="U371">
        <v>79707347</v>
      </c>
      <c r="V371">
        <v>1</v>
      </c>
      <c r="W371">
        <v>0</v>
      </c>
      <c r="X371" t="s">
        <v>163</v>
      </c>
      <c r="Y371" s="10">
        <v>45873</v>
      </c>
      <c r="AD371" t="s">
        <v>41</v>
      </c>
      <c r="AY371" t="s">
        <v>620</v>
      </c>
    </row>
    <row r="372" spans="1:51" x14ac:dyDescent="0.25">
      <c r="A372" t="str">
        <f t="shared" si="25"/>
        <v>5000016308108035382</v>
      </c>
      <c r="B372">
        <v>2</v>
      </c>
      <c r="C372">
        <v>10803538</v>
      </c>
      <c r="D372">
        <v>2</v>
      </c>
      <c r="E372">
        <v>5000016308</v>
      </c>
      <c r="F372" t="s">
        <v>143</v>
      </c>
      <c r="G372">
        <v>2</v>
      </c>
      <c r="H372" t="s">
        <v>35</v>
      </c>
      <c r="I372" s="10">
        <v>45877</v>
      </c>
      <c r="K372" s="23">
        <v>2980000</v>
      </c>
      <c r="L372" t="s">
        <v>162</v>
      </c>
      <c r="M372" t="s">
        <v>36</v>
      </c>
      <c r="N372" t="s">
        <v>37</v>
      </c>
      <c r="O372" t="s">
        <v>38</v>
      </c>
      <c r="R372" t="s">
        <v>98</v>
      </c>
      <c r="S372" t="s">
        <v>39</v>
      </c>
      <c r="T372">
        <v>0</v>
      </c>
      <c r="U372">
        <v>79707347</v>
      </c>
      <c r="V372">
        <v>2</v>
      </c>
      <c r="W372">
        <v>0</v>
      </c>
      <c r="X372" t="s">
        <v>163</v>
      </c>
      <c r="Y372" s="10">
        <v>45873</v>
      </c>
      <c r="AD372" t="s">
        <v>41</v>
      </c>
      <c r="AY372" t="s">
        <v>627</v>
      </c>
    </row>
    <row r="373" spans="1:51" x14ac:dyDescent="0.25">
      <c r="A373" t="str">
        <f t="shared" si="25"/>
        <v>5000008843108035381</v>
      </c>
      <c r="B373">
        <v>1</v>
      </c>
      <c r="C373">
        <v>10803538</v>
      </c>
      <c r="D373">
        <v>1</v>
      </c>
      <c r="E373">
        <v>5000008843</v>
      </c>
      <c r="F373" t="s">
        <v>150</v>
      </c>
      <c r="G373">
        <v>2</v>
      </c>
      <c r="H373" t="s">
        <v>35</v>
      </c>
      <c r="I373" s="10">
        <v>45877</v>
      </c>
      <c r="K373" s="23">
        <v>1025000</v>
      </c>
      <c r="L373" t="s">
        <v>162</v>
      </c>
      <c r="M373" t="s">
        <v>36</v>
      </c>
      <c r="N373" t="s">
        <v>37</v>
      </c>
      <c r="O373" t="s">
        <v>38</v>
      </c>
      <c r="R373" t="s">
        <v>98</v>
      </c>
      <c r="S373" t="s">
        <v>39</v>
      </c>
      <c r="T373">
        <v>0</v>
      </c>
      <c r="U373">
        <v>79707348</v>
      </c>
      <c r="V373">
        <v>2</v>
      </c>
      <c r="W373">
        <v>0</v>
      </c>
      <c r="X373" t="s">
        <v>163</v>
      </c>
      <c r="Y373" s="10">
        <v>45873</v>
      </c>
      <c r="AD373" t="s">
        <v>41</v>
      </c>
      <c r="AY373" t="s">
        <v>621</v>
      </c>
    </row>
    <row r="374" spans="1:51" x14ac:dyDescent="0.25">
      <c r="A374" t="str">
        <f t="shared" si="25"/>
        <v>5000005059108035383</v>
      </c>
      <c r="B374">
        <v>2</v>
      </c>
      <c r="C374">
        <v>10803538</v>
      </c>
      <c r="D374">
        <v>3</v>
      </c>
      <c r="E374">
        <v>5000005059</v>
      </c>
      <c r="F374" t="s">
        <v>153</v>
      </c>
      <c r="G374">
        <v>2</v>
      </c>
      <c r="H374" t="s">
        <v>93</v>
      </c>
      <c r="I374" s="10">
        <v>45877</v>
      </c>
      <c r="K374" s="23">
        <v>95000</v>
      </c>
      <c r="L374" t="s">
        <v>162</v>
      </c>
      <c r="M374" t="s">
        <v>36</v>
      </c>
      <c r="N374" t="s">
        <v>37</v>
      </c>
      <c r="O374" t="s">
        <v>38</v>
      </c>
      <c r="R374" t="s">
        <v>98</v>
      </c>
      <c r="S374" t="s">
        <v>39</v>
      </c>
      <c r="T374">
        <v>0</v>
      </c>
      <c r="U374">
        <v>79707348</v>
      </c>
      <c r="V374">
        <v>2</v>
      </c>
      <c r="W374">
        <v>0</v>
      </c>
      <c r="X374" t="s">
        <v>163</v>
      </c>
      <c r="Y374" s="10">
        <v>45873</v>
      </c>
      <c r="AD374" t="s">
        <v>41</v>
      </c>
      <c r="AY374" t="s">
        <v>623</v>
      </c>
    </row>
    <row r="375" spans="1:51" x14ac:dyDescent="0.25">
      <c r="A375" t="str">
        <f t="shared" si="25"/>
        <v>5000004248108035384</v>
      </c>
      <c r="B375">
        <v>3</v>
      </c>
      <c r="C375">
        <v>10803538</v>
      </c>
      <c r="D375">
        <v>4</v>
      </c>
      <c r="E375">
        <v>5000004248</v>
      </c>
      <c r="F375" t="s">
        <v>155</v>
      </c>
      <c r="G375">
        <v>2</v>
      </c>
      <c r="H375" t="s">
        <v>93</v>
      </c>
      <c r="I375" s="10">
        <v>45877</v>
      </c>
      <c r="K375" s="23">
        <v>65000</v>
      </c>
      <c r="L375" t="s">
        <v>162</v>
      </c>
      <c r="M375" t="s">
        <v>36</v>
      </c>
      <c r="N375" t="s">
        <v>37</v>
      </c>
      <c r="O375" t="s">
        <v>38</v>
      </c>
      <c r="R375" t="s">
        <v>98</v>
      </c>
      <c r="S375" t="s">
        <v>39</v>
      </c>
      <c r="T375">
        <v>0</v>
      </c>
      <c r="U375">
        <v>79707348</v>
      </c>
      <c r="V375">
        <v>2</v>
      </c>
      <c r="W375">
        <v>0</v>
      </c>
      <c r="X375" t="s">
        <v>163</v>
      </c>
      <c r="Y375" s="10">
        <v>45873</v>
      </c>
      <c r="AD375" t="s">
        <v>41</v>
      </c>
      <c r="AY375" t="s">
        <v>624</v>
      </c>
    </row>
    <row r="376" spans="1:51" x14ac:dyDescent="0.25">
      <c r="A376" t="str">
        <f t="shared" si="25"/>
        <v>5000012021108035385</v>
      </c>
      <c r="B376">
        <v>4</v>
      </c>
      <c r="C376">
        <v>10803538</v>
      </c>
      <c r="D376">
        <v>5</v>
      </c>
      <c r="E376">
        <v>5000012021</v>
      </c>
      <c r="F376" t="s">
        <v>188</v>
      </c>
      <c r="G376">
        <v>2</v>
      </c>
      <c r="H376" t="s">
        <v>93</v>
      </c>
      <c r="I376" s="10">
        <v>45877</v>
      </c>
      <c r="K376" s="23">
        <v>30000</v>
      </c>
      <c r="L376" t="s">
        <v>162</v>
      </c>
      <c r="M376" t="s">
        <v>36</v>
      </c>
      <c r="N376" t="s">
        <v>37</v>
      </c>
      <c r="O376" t="s">
        <v>38</v>
      </c>
      <c r="R376" t="s">
        <v>98</v>
      </c>
      <c r="S376" t="s">
        <v>39</v>
      </c>
      <c r="T376">
        <v>0</v>
      </c>
      <c r="U376">
        <v>79707348</v>
      </c>
      <c r="V376">
        <v>2</v>
      </c>
      <c r="W376">
        <v>0</v>
      </c>
      <c r="X376" t="s">
        <v>163</v>
      </c>
      <c r="Y376" s="10">
        <v>45873</v>
      </c>
      <c r="AD376" t="s">
        <v>41</v>
      </c>
      <c r="AY376" t="s">
        <v>625</v>
      </c>
    </row>
    <row r="377" spans="1:51" x14ac:dyDescent="0.25">
      <c r="A377" t="str">
        <f t="shared" si="25"/>
        <v>5000013802108035703</v>
      </c>
      <c r="B377">
        <v>1</v>
      </c>
      <c r="C377">
        <v>10803570</v>
      </c>
      <c r="D377">
        <v>3</v>
      </c>
      <c r="E377">
        <v>5000013802</v>
      </c>
      <c r="F377" t="s">
        <v>583</v>
      </c>
      <c r="G377">
        <v>1</v>
      </c>
      <c r="H377" t="s">
        <v>35</v>
      </c>
      <c r="I377" s="10">
        <v>45880</v>
      </c>
      <c r="K377" s="23">
        <v>550000</v>
      </c>
      <c r="L377" t="s">
        <v>162</v>
      </c>
      <c r="M377" t="s">
        <v>36</v>
      </c>
      <c r="N377" t="s">
        <v>37</v>
      </c>
      <c r="O377" t="s">
        <v>38</v>
      </c>
      <c r="R377" t="s">
        <v>98</v>
      </c>
      <c r="S377" t="s">
        <v>39</v>
      </c>
      <c r="T377">
        <v>0</v>
      </c>
      <c r="U377">
        <v>79707437</v>
      </c>
      <c r="V377">
        <v>1</v>
      </c>
      <c r="W377">
        <v>0</v>
      </c>
      <c r="X377" t="s">
        <v>163</v>
      </c>
      <c r="Y377" s="10">
        <v>45874</v>
      </c>
      <c r="AD377" t="s">
        <v>41</v>
      </c>
      <c r="AY377" t="s">
        <v>629</v>
      </c>
    </row>
    <row r="378" spans="1:51" x14ac:dyDescent="0.25">
      <c r="A378" t="str">
        <f t="shared" si="25"/>
        <v>5000015919108035704</v>
      </c>
      <c r="B378">
        <v>2</v>
      </c>
      <c r="C378">
        <v>10803570</v>
      </c>
      <c r="D378">
        <v>4</v>
      </c>
      <c r="E378">
        <v>5000015919</v>
      </c>
      <c r="F378" t="s">
        <v>425</v>
      </c>
      <c r="G378">
        <v>1</v>
      </c>
      <c r="H378" t="s">
        <v>35</v>
      </c>
      <c r="I378" s="10">
        <v>45880</v>
      </c>
      <c r="K378" s="23">
        <v>369500</v>
      </c>
      <c r="L378" t="s">
        <v>162</v>
      </c>
      <c r="M378" t="s">
        <v>36</v>
      </c>
      <c r="N378" t="s">
        <v>37</v>
      </c>
      <c r="O378" t="s">
        <v>38</v>
      </c>
      <c r="R378" t="s">
        <v>98</v>
      </c>
      <c r="S378" t="s">
        <v>39</v>
      </c>
      <c r="T378">
        <v>0</v>
      </c>
      <c r="U378">
        <v>79707437</v>
      </c>
      <c r="V378">
        <v>1</v>
      </c>
      <c r="W378">
        <v>0</v>
      </c>
      <c r="X378" t="s">
        <v>163</v>
      </c>
      <c r="Y378" s="10">
        <v>45874</v>
      </c>
      <c r="AA378" s="25"/>
      <c r="AD378" t="s">
        <v>41</v>
      </c>
      <c r="AY378" t="s">
        <v>631</v>
      </c>
    </row>
    <row r="379" spans="1:51" x14ac:dyDescent="0.25">
      <c r="A379" t="str">
        <f t="shared" si="25"/>
        <v>5000013802108035703</v>
      </c>
      <c r="B379">
        <v>1</v>
      </c>
      <c r="C379">
        <v>10803570</v>
      </c>
      <c r="D379">
        <v>3</v>
      </c>
      <c r="E379">
        <v>5000013802</v>
      </c>
      <c r="F379" t="s">
        <v>583</v>
      </c>
      <c r="G379">
        <v>1</v>
      </c>
      <c r="H379" t="s">
        <v>35</v>
      </c>
      <c r="I379" s="10">
        <v>45880</v>
      </c>
      <c r="K379" s="23">
        <v>550000</v>
      </c>
      <c r="L379" t="s">
        <v>162</v>
      </c>
      <c r="M379" t="s">
        <v>36</v>
      </c>
      <c r="N379" t="s">
        <v>37</v>
      </c>
      <c r="O379" t="s">
        <v>38</v>
      </c>
      <c r="R379" t="s">
        <v>98</v>
      </c>
      <c r="S379" t="s">
        <v>39</v>
      </c>
      <c r="T379">
        <v>0</v>
      </c>
      <c r="U379">
        <v>79707437</v>
      </c>
      <c r="V379">
        <v>0</v>
      </c>
      <c r="W379">
        <v>1</v>
      </c>
      <c r="X379" t="s">
        <v>163</v>
      </c>
      <c r="Y379" s="10">
        <v>45874</v>
      </c>
      <c r="AD379" t="s">
        <v>41</v>
      </c>
      <c r="AX379" t="s">
        <v>164</v>
      </c>
      <c r="AY379" t="s">
        <v>629</v>
      </c>
    </row>
    <row r="380" spans="1:51" x14ac:dyDescent="0.25">
      <c r="A380" t="str">
        <f t="shared" si="25"/>
        <v>5000015919108035704</v>
      </c>
      <c r="B380">
        <v>2</v>
      </c>
      <c r="C380">
        <v>10803570</v>
      </c>
      <c r="D380">
        <v>4</v>
      </c>
      <c r="E380">
        <v>5000015919</v>
      </c>
      <c r="F380" t="s">
        <v>425</v>
      </c>
      <c r="G380">
        <v>1</v>
      </c>
      <c r="H380" t="s">
        <v>35</v>
      </c>
      <c r="I380" s="10">
        <v>45880</v>
      </c>
      <c r="K380" s="23">
        <v>369500</v>
      </c>
      <c r="L380" t="s">
        <v>162</v>
      </c>
      <c r="M380" t="s">
        <v>36</v>
      </c>
      <c r="N380" t="s">
        <v>37</v>
      </c>
      <c r="O380" t="s">
        <v>38</v>
      </c>
      <c r="R380" t="s">
        <v>98</v>
      </c>
      <c r="S380" t="s">
        <v>39</v>
      </c>
      <c r="T380">
        <v>0</v>
      </c>
      <c r="U380">
        <v>79707437</v>
      </c>
      <c r="V380">
        <v>0</v>
      </c>
      <c r="W380">
        <v>1</v>
      </c>
      <c r="X380" t="s">
        <v>163</v>
      </c>
      <c r="Y380" s="10">
        <v>45874</v>
      </c>
      <c r="AD380" t="s">
        <v>41</v>
      </c>
      <c r="AX380" t="s">
        <v>164</v>
      </c>
      <c r="AY380" t="s">
        <v>640</v>
      </c>
    </row>
    <row r="381" spans="1:51" x14ac:dyDescent="0.25">
      <c r="A381" t="str">
        <f t="shared" si="25"/>
        <v>5000015560108036101</v>
      </c>
      <c r="B381">
        <v>1</v>
      </c>
      <c r="C381">
        <v>10803610</v>
      </c>
      <c r="D381">
        <v>1</v>
      </c>
      <c r="E381">
        <v>5000015560</v>
      </c>
      <c r="F381" t="s">
        <v>319</v>
      </c>
      <c r="G381">
        <v>1</v>
      </c>
      <c r="H381" t="s">
        <v>93</v>
      </c>
      <c r="I381" s="10">
        <v>45881</v>
      </c>
      <c r="K381" s="23">
        <v>160000</v>
      </c>
      <c r="L381" t="s">
        <v>162</v>
      </c>
      <c r="M381" t="s">
        <v>36</v>
      </c>
      <c r="N381" t="s">
        <v>37</v>
      </c>
      <c r="O381" t="s">
        <v>38</v>
      </c>
      <c r="R381" t="s">
        <v>98</v>
      </c>
      <c r="S381" t="s">
        <v>39</v>
      </c>
      <c r="T381">
        <v>0</v>
      </c>
      <c r="U381">
        <v>79707720</v>
      </c>
      <c r="V381">
        <v>1</v>
      </c>
      <c r="W381">
        <v>0</v>
      </c>
      <c r="X381" t="s">
        <v>163</v>
      </c>
      <c r="Y381" s="10">
        <v>45882</v>
      </c>
      <c r="AD381" t="s">
        <v>41</v>
      </c>
      <c r="AY381" t="s">
        <v>630</v>
      </c>
    </row>
    <row r="382" spans="1:51" x14ac:dyDescent="0.25">
      <c r="A382" t="str">
        <f t="shared" si="25"/>
        <v>5000016308108037002</v>
      </c>
      <c r="B382">
        <v>2</v>
      </c>
      <c r="C382">
        <v>10803700</v>
      </c>
      <c r="D382">
        <v>2</v>
      </c>
      <c r="E382">
        <v>5000016308</v>
      </c>
      <c r="F382" t="s">
        <v>143</v>
      </c>
      <c r="G382">
        <v>4</v>
      </c>
      <c r="H382" t="s">
        <v>35</v>
      </c>
      <c r="I382" s="10">
        <v>45887</v>
      </c>
      <c r="K382" s="23">
        <v>2980000</v>
      </c>
      <c r="L382" t="s">
        <v>162</v>
      </c>
      <c r="M382" t="s">
        <v>36</v>
      </c>
      <c r="N382" t="s">
        <v>37</v>
      </c>
      <c r="O382" t="s">
        <v>38</v>
      </c>
      <c r="R382" t="s">
        <v>98</v>
      </c>
      <c r="S382" t="s">
        <v>39</v>
      </c>
      <c r="T382">
        <v>0</v>
      </c>
      <c r="U382">
        <v>79707720</v>
      </c>
      <c r="V382">
        <v>4</v>
      </c>
      <c r="W382">
        <v>0</v>
      </c>
      <c r="X382" t="s">
        <v>163</v>
      </c>
      <c r="Y382" s="10">
        <v>45882</v>
      </c>
      <c r="AD382" t="s">
        <v>41</v>
      </c>
      <c r="AY382" t="s">
        <v>641</v>
      </c>
    </row>
    <row r="383" spans="1:51" x14ac:dyDescent="0.25">
      <c r="A383" t="str">
        <f t="shared" si="25"/>
        <v>5000016428108037006</v>
      </c>
      <c r="B383">
        <v>1</v>
      </c>
      <c r="C383">
        <v>10803700</v>
      </c>
      <c r="D383">
        <v>6</v>
      </c>
      <c r="E383">
        <v>5000016428</v>
      </c>
      <c r="F383" t="s">
        <v>157</v>
      </c>
      <c r="G383">
        <v>1</v>
      </c>
      <c r="H383" t="s">
        <v>35</v>
      </c>
      <c r="I383" s="10">
        <v>45887</v>
      </c>
      <c r="K383" s="23">
        <v>1531532</v>
      </c>
      <c r="L383" t="s">
        <v>162</v>
      </c>
      <c r="M383" t="s">
        <v>36</v>
      </c>
      <c r="N383" t="s">
        <v>37</v>
      </c>
      <c r="O383" t="s">
        <v>38</v>
      </c>
      <c r="R383" t="s">
        <v>98</v>
      </c>
      <c r="S383" t="s">
        <v>39</v>
      </c>
      <c r="T383">
        <v>0</v>
      </c>
      <c r="U383">
        <v>79707737</v>
      </c>
      <c r="V383">
        <v>1</v>
      </c>
      <c r="W383">
        <v>0</v>
      </c>
      <c r="X383" t="s">
        <v>163</v>
      </c>
      <c r="Y383" s="10">
        <v>45882</v>
      </c>
      <c r="AD383" t="s">
        <v>41</v>
      </c>
      <c r="AY383" t="s">
        <v>642</v>
      </c>
    </row>
    <row r="384" spans="1:51" x14ac:dyDescent="0.25">
      <c r="A384" t="str">
        <f t="shared" si="25"/>
        <v>5000011754108035701</v>
      </c>
      <c r="B384">
        <v>1</v>
      </c>
      <c r="C384">
        <v>10803570</v>
      </c>
      <c r="D384">
        <v>1</v>
      </c>
      <c r="E384">
        <v>5000011754</v>
      </c>
      <c r="F384" t="s">
        <v>99</v>
      </c>
      <c r="G384">
        <v>1</v>
      </c>
      <c r="H384" t="s">
        <v>93</v>
      </c>
      <c r="I384" s="10">
        <v>45880</v>
      </c>
      <c r="K384" s="23">
        <v>20000</v>
      </c>
      <c r="L384" t="s">
        <v>162</v>
      </c>
      <c r="M384" t="s">
        <v>36</v>
      </c>
      <c r="N384" t="s">
        <v>37</v>
      </c>
      <c r="O384" t="s">
        <v>38</v>
      </c>
      <c r="R384" t="s">
        <v>98</v>
      </c>
      <c r="S384" t="s">
        <v>39</v>
      </c>
      <c r="T384">
        <v>0</v>
      </c>
      <c r="U384">
        <v>79707738</v>
      </c>
      <c r="V384">
        <v>1</v>
      </c>
      <c r="W384">
        <v>0</v>
      </c>
      <c r="X384" t="s">
        <v>163</v>
      </c>
      <c r="Y384" s="10">
        <v>45882</v>
      </c>
      <c r="AD384" t="s">
        <v>41</v>
      </c>
      <c r="AY384" t="s">
        <v>626</v>
      </c>
    </row>
    <row r="385" spans="1:51" x14ac:dyDescent="0.25">
      <c r="A385" t="str">
        <f t="shared" si="25"/>
        <v>5000008929108035702</v>
      </c>
      <c r="B385">
        <v>2</v>
      </c>
      <c r="C385">
        <v>10803570</v>
      </c>
      <c r="D385">
        <v>2</v>
      </c>
      <c r="E385">
        <v>5000008929</v>
      </c>
      <c r="F385" t="s">
        <v>100</v>
      </c>
      <c r="G385">
        <v>1</v>
      </c>
      <c r="H385" t="s">
        <v>93</v>
      </c>
      <c r="I385" s="10">
        <v>45880</v>
      </c>
      <c r="K385" s="23">
        <v>150000</v>
      </c>
      <c r="L385" t="s">
        <v>162</v>
      </c>
      <c r="M385" t="s">
        <v>36</v>
      </c>
      <c r="N385" t="s">
        <v>37</v>
      </c>
      <c r="O385" t="s">
        <v>38</v>
      </c>
      <c r="R385" t="s">
        <v>98</v>
      </c>
      <c r="S385" t="s">
        <v>39</v>
      </c>
      <c r="T385">
        <v>0</v>
      </c>
      <c r="U385">
        <v>79707738</v>
      </c>
      <c r="V385">
        <v>1</v>
      </c>
      <c r="W385">
        <v>0</v>
      </c>
      <c r="X385" t="s">
        <v>163</v>
      </c>
      <c r="Y385" s="10">
        <v>45882</v>
      </c>
      <c r="AD385" t="s">
        <v>41</v>
      </c>
      <c r="AY385" t="s">
        <v>628</v>
      </c>
    </row>
    <row r="386" spans="1:51" x14ac:dyDescent="0.25">
      <c r="A386" t="str">
        <f t="shared" si="25"/>
        <v>5000017216108037001</v>
      </c>
      <c r="B386">
        <v>3</v>
      </c>
      <c r="C386">
        <v>10803700</v>
      </c>
      <c r="D386">
        <v>1</v>
      </c>
      <c r="E386">
        <v>5000017216</v>
      </c>
      <c r="F386" t="s">
        <v>183</v>
      </c>
      <c r="G386">
        <v>5</v>
      </c>
      <c r="H386" t="s">
        <v>35</v>
      </c>
      <c r="I386" s="10">
        <v>45887</v>
      </c>
      <c r="K386" s="23">
        <v>1120000</v>
      </c>
      <c r="L386" t="s">
        <v>162</v>
      </c>
      <c r="M386" t="s">
        <v>36</v>
      </c>
      <c r="N386" t="s">
        <v>37</v>
      </c>
      <c r="O386" t="s">
        <v>38</v>
      </c>
      <c r="R386" t="s">
        <v>98</v>
      </c>
      <c r="S386" t="s">
        <v>39</v>
      </c>
      <c r="T386">
        <v>0</v>
      </c>
      <c r="U386">
        <v>79707738</v>
      </c>
      <c r="V386">
        <v>5</v>
      </c>
      <c r="W386">
        <v>0</v>
      </c>
      <c r="X386" t="s">
        <v>163</v>
      </c>
      <c r="Y386" s="10">
        <v>45882</v>
      </c>
      <c r="AA386" s="25"/>
      <c r="AD386" t="s">
        <v>41</v>
      </c>
      <c r="AY386" t="s">
        <v>634</v>
      </c>
    </row>
    <row r="387" spans="1:51" x14ac:dyDescent="0.25">
      <c r="A387" t="str">
        <f t="shared" si="25"/>
        <v>5000005059108037003</v>
      </c>
      <c r="B387">
        <v>4</v>
      </c>
      <c r="C387">
        <v>10803700</v>
      </c>
      <c r="D387">
        <v>3</v>
      </c>
      <c r="E387">
        <v>5000005059</v>
      </c>
      <c r="F387" t="s">
        <v>153</v>
      </c>
      <c r="G387">
        <v>5</v>
      </c>
      <c r="H387" t="s">
        <v>93</v>
      </c>
      <c r="I387" s="10">
        <v>45887</v>
      </c>
      <c r="K387" s="23">
        <v>95000</v>
      </c>
      <c r="L387" t="s">
        <v>162</v>
      </c>
      <c r="M387" t="s">
        <v>36</v>
      </c>
      <c r="N387" t="s">
        <v>37</v>
      </c>
      <c r="O387" t="s">
        <v>38</v>
      </c>
      <c r="R387" t="s">
        <v>98</v>
      </c>
      <c r="S387" t="s">
        <v>39</v>
      </c>
      <c r="T387">
        <v>0</v>
      </c>
      <c r="U387">
        <v>79707738</v>
      </c>
      <c r="V387">
        <v>5</v>
      </c>
      <c r="W387">
        <v>0</v>
      </c>
      <c r="X387" t="s">
        <v>163</v>
      </c>
      <c r="Y387" s="10">
        <v>45882</v>
      </c>
      <c r="AD387" t="s">
        <v>41</v>
      </c>
      <c r="AY387" t="s">
        <v>634</v>
      </c>
    </row>
    <row r="388" spans="1:51" x14ac:dyDescent="0.25">
      <c r="A388" t="str">
        <f t="shared" si="25"/>
        <v>5000004248108037004</v>
      </c>
      <c r="B388">
        <v>5</v>
      </c>
      <c r="C388">
        <v>10803700</v>
      </c>
      <c r="D388">
        <v>4</v>
      </c>
      <c r="E388">
        <v>5000004248</v>
      </c>
      <c r="F388" t="s">
        <v>155</v>
      </c>
      <c r="G388">
        <v>5</v>
      </c>
      <c r="H388" t="s">
        <v>93</v>
      </c>
      <c r="I388" s="10">
        <v>45887</v>
      </c>
      <c r="K388" s="23">
        <v>65000</v>
      </c>
      <c r="L388" t="s">
        <v>162</v>
      </c>
      <c r="M388" t="s">
        <v>36</v>
      </c>
      <c r="N388" t="s">
        <v>37</v>
      </c>
      <c r="O388" t="s">
        <v>38</v>
      </c>
      <c r="R388" t="s">
        <v>98</v>
      </c>
      <c r="S388" t="s">
        <v>39</v>
      </c>
      <c r="T388">
        <v>0</v>
      </c>
      <c r="U388">
        <v>79707738</v>
      </c>
      <c r="V388">
        <v>5</v>
      </c>
      <c r="W388">
        <v>0</v>
      </c>
      <c r="X388" t="s">
        <v>163</v>
      </c>
      <c r="Y388" s="10">
        <v>45882</v>
      </c>
      <c r="AD388" t="s">
        <v>41</v>
      </c>
      <c r="AY388" t="s">
        <v>634</v>
      </c>
    </row>
    <row r="389" spans="1:51" x14ac:dyDescent="0.25">
      <c r="A389" t="str">
        <f t="shared" si="25"/>
        <v>5000012021108037005</v>
      </c>
      <c r="B389">
        <v>6</v>
      </c>
      <c r="C389">
        <v>10803700</v>
      </c>
      <c r="D389">
        <v>5</v>
      </c>
      <c r="E389">
        <v>5000012021</v>
      </c>
      <c r="F389" t="s">
        <v>188</v>
      </c>
      <c r="G389">
        <v>5</v>
      </c>
      <c r="H389" t="s">
        <v>93</v>
      </c>
      <c r="I389" s="10">
        <v>45887</v>
      </c>
      <c r="K389" s="23">
        <v>30000</v>
      </c>
      <c r="L389" t="s">
        <v>162</v>
      </c>
      <c r="M389" t="s">
        <v>36</v>
      </c>
      <c r="N389" t="s">
        <v>37</v>
      </c>
      <c r="O389" t="s">
        <v>38</v>
      </c>
      <c r="R389" t="s">
        <v>98</v>
      </c>
      <c r="S389" t="s">
        <v>39</v>
      </c>
      <c r="T389">
        <v>0</v>
      </c>
      <c r="U389">
        <v>79707738</v>
      </c>
      <c r="V389">
        <v>5</v>
      </c>
      <c r="W389">
        <v>0</v>
      </c>
      <c r="X389" t="s">
        <v>163</v>
      </c>
      <c r="Y389" s="10">
        <v>45882</v>
      </c>
      <c r="AD389" t="s">
        <v>41</v>
      </c>
      <c r="AY389" t="s">
        <v>634</v>
      </c>
    </row>
    <row r="390" spans="1:51" x14ac:dyDescent="0.25">
      <c r="A390" t="str">
        <f t="shared" si="25"/>
        <v>5000015560108036872</v>
      </c>
      <c r="B390">
        <v>3</v>
      </c>
      <c r="C390">
        <v>10803687</v>
      </c>
      <c r="D390">
        <v>2</v>
      </c>
      <c r="E390">
        <v>5000015560</v>
      </c>
      <c r="F390" t="s">
        <v>319</v>
      </c>
      <c r="G390">
        <v>1</v>
      </c>
      <c r="H390" t="s">
        <v>93</v>
      </c>
      <c r="I390" s="10">
        <v>45884</v>
      </c>
      <c r="K390" s="23">
        <v>160000</v>
      </c>
      <c r="L390" t="s">
        <v>162</v>
      </c>
      <c r="M390" t="s">
        <v>36</v>
      </c>
      <c r="N390" t="s">
        <v>37</v>
      </c>
      <c r="O390" t="s">
        <v>38</v>
      </c>
      <c r="R390" t="s">
        <v>98</v>
      </c>
      <c r="S390" t="s">
        <v>39</v>
      </c>
      <c r="T390">
        <v>0</v>
      </c>
      <c r="U390">
        <v>79707720</v>
      </c>
      <c r="V390">
        <v>1</v>
      </c>
      <c r="W390">
        <v>0</v>
      </c>
      <c r="X390" t="s">
        <v>163</v>
      </c>
      <c r="Y390" s="10">
        <v>45884</v>
      </c>
      <c r="AD390" t="s">
        <v>41</v>
      </c>
      <c r="AY390" t="s">
        <v>639</v>
      </c>
    </row>
    <row r="391" spans="1:51" x14ac:dyDescent="0.25">
      <c r="A391" t="str">
        <f t="shared" si="25"/>
        <v>5000005059108036871</v>
      </c>
      <c r="B391">
        <v>7</v>
      </c>
      <c r="C391">
        <v>10803687</v>
      </c>
      <c r="D391">
        <v>1</v>
      </c>
      <c r="E391">
        <v>5000005059</v>
      </c>
      <c r="F391" t="s">
        <v>153</v>
      </c>
      <c r="G391">
        <v>10</v>
      </c>
      <c r="H391" t="s">
        <v>93</v>
      </c>
      <c r="I391" s="10">
        <v>45884</v>
      </c>
      <c r="K391" s="23">
        <v>95000</v>
      </c>
      <c r="L391" t="s">
        <v>162</v>
      </c>
      <c r="M391" t="s">
        <v>36</v>
      </c>
      <c r="N391" t="s">
        <v>37</v>
      </c>
      <c r="O391" t="s">
        <v>38</v>
      </c>
      <c r="R391" t="s">
        <v>98</v>
      </c>
      <c r="S391" t="s">
        <v>39</v>
      </c>
      <c r="T391">
        <v>0</v>
      </c>
      <c r="U391">
        <v>79707738</v>
      </c>
      <c r="V391">
        <v>10</v>
      </c>
      <c r="W391">
        <v>0</v>
      </c>
      <c r="X391" t="s">
        <v>163</v>
      </c>
      <c r="Y391" s="10">
        <v>45884</v>
      </c>
      <c r="AD391" t="s">
        <v>41</v>
      </c>
      <c r="AY391" t="s">
        <v>638</v>
      </c>
    </row>
    <row r="392" spans="1:51" x14ac:dyDescent="0.25">
      <c r="A392" t="str">
        <f t="shared" ref="A392:A438" si="26">E392&amp;C392&amp;D392</f>
        <v>5000017216108037491</v>
      </c>
      <c r="B392">
        <v>1</v>
      </c>
      <c r="C392">
        <v>10803749</v>
      </c>
      <c r="D392">
        <v>1</v>
      </c>
      <c r="E392">
        <v>5000017216</v>
      </c>
      <c r="F392" t="s">
        <v>183</v>
      </c>
      <c r="G392">
        <v>1</v>
      </c>
      <c r="H392" t="s">
        <v>35</v>
      </c>
      <c r="I392" s="10">
        <v>45888</v>
      </c>
      <c r="K392" s="23">
        <v>1120000</v>
      </c>
      <c r="L392" t="s">
        <v>162</v>
      </c>
      <c r="M392" t="s">
        <v>36</v>
      </c>
      <c r="N392" t="s">
        <v>37</v>
      </c>
      <c r="O392" t="s">
        <v>38</v>
      </c>
      <c r="R392" t="s">
        <v>98</v>
      </c>
      <c r="S392" t="s">
        <v>39</v>
      </c>
      <c r="T392">
        <v>0</v>
      </c>
      <c r="U392">
        <v>79707822</v>
      </c>
      <c r="V392">
        <v>1</v>
      </c>
      <c r="W392">
        <v>0</v>
      </c>
      <c r="X392" t="s">
        <v>163</v>
      </c>
      <c r="Y392" s="10">
        <v>45887</v>
      </c>
      <c r="AD392" t="s">
        <v>41</v>
      </c>
      <c r="AY392" t="s">
        <v>637</v>
      </c>
    </row>
    <row r="393" spans="1:51" x14ac:dyDescent="0.25">
      <c r="A393" t="str">
        <f t="shared" si="26"/>
        <v>5000014291108018421</v>
      </c>
      <c r="B393">
        <v>4</v>
      </c>
      <c r="C393">
        <v>10801842</v>
      </c>
      <c r="D393">
        <v>1</v>
      </c>
      <c r="E393">
        <v>5000014291</v>
      </c>
      <c r="F393" t="s">
        <v>406</v>
      </c>
      <c r="G393">
        <v>1</v>
      </c>
      <c r="H393" t="s">
        <v>296</v>
      </c>
      <c r="I393" s="10">
        <v>45782</v>
      </c>
      <c r="K393" s="23">
        <v>92500</v>
      </c>
      <c r="L393" t="s">
        <v>162</v>
      </c>
      <c r="M393" t="s">
        <v>36</v>
      </c>
      <c r="N393" t="s">
        <v>37</v>
      </c>
      <c r="O393" t="s">
        <v>38</v>
      </c>
      <c r="R393" t="s">
        <v>98</v>
      </c>
      <c r="S393" t="s">
        <v>39</v>
      </c>
      <c r="T393">
        <v>0</v>
      </c>
      <c r="U393">
        <v>79704089</v>
      </c>
      <c r="V393">
        <v>0</v>
      </c>
      <c r="W393">
        <v>1</v>
      </c>
      <c r="X393" t="s">
        <v>163</v>
      </c>
      <c r="Y393" s="10">
        <v>45782</v>
      </c>
      <c r="AD393" t="s">
        <v>41</v>
      </c>
      <c r="AX393" t="s">
        <v>164</v>
      </c>
      <c r="AY393" t="s">
        <v>466</v>
      </c>
    </row>
    <row r="394" spans="1:51" x14ac:dyDescent="0.25">
      <c r="A394" t="str">
        <f t="shared" si="26"/>
        <v>5000017786108018422</v>
      </c>
      <c r="B394">
        <v>5</v>
      </c>
      <c r="C394">
        <v>10801842</v>
      </c>
      <c r="D394">
        <v>2</v>
      </c>
      <c r="E394">
        <v>5000017786</v>
      </c>
      <c r="F394" t="s">
        <v>433</v>
      </c>
      <c r="G394">
        <v>1</v>
      </c>
      <c r="H394" t="s">
        <v>93</v>
      </c>
      <c r="I394" s="10">
        <v>45782</v>
      </c>
      <c r="K394" s="23">
        <v>59500</v>
      </c>
      <c r="L394" t="s">
        <v>162</v>
      </c>
      <c r="M394" t="s">
        <v>36</v>
      </c>
      <c r="N394" t="s">
        <v>37</v>
      </c>
      <c r="O394" t="s">
        <v>38</v>
      </c>
      <c r="R394" t="s">
        <v>98</v>
      </c>
      <c r="S394" t="s">
        <v>39</v>
      </c>
      <c r="T394">
        <v>0</v>
      </c>
      <c r="U394">
        <v>79704089</v>
      </c>
      <c r="V394">
        <v>0</v>
      </c>
      <c r="W394">
        <v>1</v>
      </c>
      <c r="X394" t="s">
        <v>163</v>
      </c>
      <c r="Y394" s="10">
        <v>45782</v>
      </c>
      <c r="AD394" t="s">
        <v>41</v>
      </c>
      <c r="AX394" t="s">
        <v>164</v>
      </c>
      <c r="AY394" t="s">
        <v>434</v>
      </c>
    </row>
    <row r="395" spans="1:51" x14ac:dyDescent="0.25">
      <c r="A395" t="str">
        <f t="shared" si="26"/>
        <v>5000016255108018425</v>
      </c>
      <c r="B395">
        <v>6</v>
      </c>
      <c r="C395">
        <v>10801842</v>
      </c>
      <c r="D395">
        <v>5</v>
      </c>
      <c r="E395">
        <v>5000016255</v>
      </c>
      <c r="F395" t="s">
        <v>110</v>
      </c>
      <c r="G395">
        <v>1</v>
      </c>
      <c r="H395" t="s">
        <v>93</v>
      </c>
      <c r="I395" s="10">
        <v>45783</v>
      </c>
      <c r="K395" s="23">
        <v>343000</v>
      </c>
      <c r="L395" t="s">
        <v>162</v>
      </c>
      <c r="M395" t="s">
        <v>36</v>
      </c>
      <c r="N395" t="s">
        <v>37</v>
      </c>
      <c r="O395" t="s">
        <v>38</v>
      </c>
      <c r="R395" t="s">
        <v>98</v>
      </c>
      <c r="S395" t="s">
        <v>39</v>
      </c>
      <c r="T395">
        <v>0</v>
      </c>
      <c r="U395">
        <v>79704089</v>
      </c>
      <c r="V395">
        <v>0</v>
      </c>
      <c r="W395">
        <v>1</v>
      </c>
      <c r="X395" t="s">
        <v>163</v>
      </c>
      <c r="Y395" s="10">
        <v>45782</v>
      </c>
      <c r="AD395" t="s">
        <v>41</v>
      </c>
      <c r="AX395" t="s">
        <v>164</v>
      </c>
      <c r="AY395" t="s">
        <v>443</v>
      </c>
    </row>
    <row r="396" spans="1:51" x14ac:dyDescent="0.25">
      <c r="A396" t="str">
        <f t="shared" si="26"/>
        <v>5000008843108018423</v>
      </c>
      <c r="B396">
        <v>2</v>
      </c>
      <c r="C396">
        <v>10801842</v>
      </c>
      <c r="D396">
        <v>3</v>
      </c>
      <c r="E396">
        <v>5000008843</v>
      </c>
      <c r="F396" t="s">
        <v>150</v>
      </c>
      <c r="G396">
        <v>1</v>
      </c>
      <c r="H396" t="s">
        <v>35</v>
      </c>
      <c r="I396" s="10">
        <v>45782</v>
      </c>
      <c r="K396" s="23">
        <v>1025000</v>
      </c>
      <c r="L396" t="s">
        <v>162</v>
      </c>
      <c r="M396" t="s">
        <v>36</v>
      </c>
      <c r="N396" t="s">
        <v>37</v>
      </c>
      <c r="O396" t="s">
        <v>38</v>
      </c>
      <c r="R396" t="s">
        <v>98</v>
      </c>
      <c r="S396" t="s">
        <v>39</v>
      </c>
      <c r="T396">
        <v>0</v>
      </c>
      <c r="U396">
        <v>79704092</v>
      </c>
      <c r="V396">
        <v>0</v>
      </c>
      <c r="W396">
        <v>1</v>
      </c>
      <c r="X396" t="s">
        <v>163</v>
      </c>
      <c r="Y396" s="10">
        <v>45782</v>
      </c>
      <c r="AD396" t="s">
        <v>41</v>
      </c>
      <c r="AX396" t="s">
        <v>164</v>
      </c>
      <c r="AY396" t="s">
        <v>440</v>
      </c>
    </row>
    <row r="397" spans="1:51" x14ac:dyDescent="0.25">
      <c r="A397" t="str">
        <f t="shared" si="26"/>
        <v>5000013640108021972</v>
      </c>
      <c r="B397">
        <v>3</v>
      </c>
      <c r="C397">
        <v>10802197</v>
      </c>
      <c r="D397">
        <v>2</v>
      </c>
      <c r="E397">
        <v>5000013640</v>
      </c>
      <c r="F397" t="s">
        <v>159</v>
      </c>
      <c r="G397">
        <v>5</v>
      </c>
      <c r="H397" t="s">
        <v>93</v>
      </c>
      <c r="I397" s="10">
        <v>45804</v>
      </c>
      <c r="K397" s="23">
        <v>15000</v>
      </c>
      <c r="L397" t="s">
        <v>162</v>
      </c>
      <c r="M397" t="s">
        <v>160</v>
      </c>
      <c r="N397" t="s">
        <v>37</v>
      </c>
      <c r="O397" t="s">
        <v>38</v>
      </c>
      <c r="R397" t="s">
        <v>98</v>
      </c>
      <c r="S397" t="s">
        <v>39</v>
      </c>
      <c r="T397">
        <v>0</v>
      </c>
      <c r="U397">
        <v>79704858</v>
      </c>
      <c r="V397">
        <v>0</v>
      </c>
      <c r="W397">
        <v>5</v>
      </c>
      <c r="X397" t="s">
        <v>163</v>
      </c>
      <c r="Y397" s="10">
        <v>45804</v>
      </c>
      <c r="AD397" t="s">
        <v>41</v>
      </c>
      <c r="AX397" t="s">
        <v>164</v>
      </c>
      <c r="AY397" t="s">
        <v>495</v>
      </c>
    </row>
    <row r="398" spans="1:51" x14ac:dyDescent="0.25">
      <c r="A398" t="str">
        <f t="shared" si="26"/>
        <v>5000016585108021973</v>
      </c>
      <c r="B398">
        <v>4</v>
      </c>
      <c r="C398">
        <v>10802197</v>
      </c>
      <c r="D398">
        <v>3</v>
      </c>
      <c r="E398">
        <v>5000016585</v>
      </c>
      <c r="F398" t="s">
        <v>306</v>
      </c>
      <c r="G398">
        <v>1</v>
      </c>
      <c r="H398" t="s">
        <v>35</v>
      </c>
      <c r="I398" s="10">
        <v>45804</v>
      </c>
      <c r="K398" s="23">
        <v>25000</v>
      </c>
      <c r="L398" t="s">
        <v>162</v>
      </c>
      <c r="M398" t="s">
        <v>36</v>
      </c>
      <c r="N398" t="s">
        <v>37</v>
      </c>
      <c r="O398" t="s">
        <v>38</v>
      </c>
      <c r="R398" t="s">
        <v>98</v>
      </c>
      <c r="S398" t="s">
        <v>39</v>
      </c>
      <c r="T398">
        <v>0</v>
      </c>
      <c r="U398">
        <v>79704858</v>
      </c>
      <c r="V398">
        <v>0</v>
      </c>
      <c r="W398">
        <v>1</v>
      </c>
      <c r="X398" t="s">
        <v>163</v>
      </c>
      <c r="Y398" s="10">
        <v>45804</v>
      </c>
      <c r="AD398" t="s">
        <v>41</v>
      </c>
      <c r="AX398" t="s">
        <v>164</v>
      </c>
      <c r="AY398" t="s">
        <v>496</v>
      </c>
    </row>
    <row r="399" spans="1:51" x14ac:dyDescent="0.25">
      <c r="A399" t="str">
        <f t="shared" si="26"/>
        <v>5000009123108024962</v>
      </c>
      <c r="B399">
        <v>1</v>
      </c>
      <c r="C399">
        <v>10802496</v>
      </c>
      <c r="D399">
        <v>2</v>
      </c>
      <c r="E399">
        <v>5000009123</v>
      </c>
      <c r="F399" t="s">
        <v>535</v>
      </c>
      <c r="G399">
        <v>1</v>
      </c>
      <c r="H399" t="s">
        <v>35</v>
      </c>
      <c r="I399" s="10">
        <v>45824</v>
      </c>
      <c r="K399" s="23">
        <v>315315.40000000002</v>
      </c>
      <c r="L399" t="s">
        <v>162</v>
      </c>
      <c r="M399" t="s">
        <v>36</v>
      </c>
      <c r="N399" t="s">
        <v>37</v>
      </c>
      <c r="O399" t="s">
        <v>38</v>
      </c>
      <c r="R399" t="s">
        <v>98</v>
      </c>
      <c r="S399" t="s">
        <v>39</v>
      </c>
      <c r="T399">
        <v>0</v>
      </c>
      <c r="U399">
        <v>79705367</v>
      </c>
      <c r="V399">
        <v>0</v>
      </c>
      <c r="W399">
        <v>1</v>
      </c>
      <c r="X399" t="s">
        <v>163</v>
      </c>
      <c r="Y399" s="10">
        <v>45820</v>
      </c>
      <c r="Z399" t="s">
        <v>163</v>
      </c>
      <c r="AA399" s="25">
        <v>45820</v>
      </c>
      <c r="AD399" t="s">
        <v>41</v>
      </c>
      <c r="AX399" t="s">
        <v>164</v>
      </c>
      <c r="AY399" t="s">
        <v>546</v>
      </c>
    </row>
    <row r="400" spans="1:51" x14ac:dyDescent="0.25">
      <c r="A400" t="str">
        <f t="shared" si="26"/>
        <v>5000011960108027821</v>
      </c>
      <c r="B400">
        <v>1</v>
      </c>
      <c r="C400">
        <v>10802782</v>
      </c>
      <c r="D400">
        <v>1</v>
      </c>
      <c r="E400">
        <v>5000011960</v>
      </c>
      <c r="F400" t="s">
        <v>478</v>
      </c>
      <c r="G400">
        <v>1</v>
      </c>
      <c r="H400" t="s">
        <v>93</v>
      </c>
      <c r="I400" s="10">
        <v>45838</v>
      </c>
      <c r="K400" s="23">
        <v>1621621.7</v>
      </c>
      <c r="L400" t="s">
        <v>162</v>
      </c>
      <c r="M400" t="s">
        <v>36</v>
      </c>
      <c r="N400" t="s">
        <v>37</v>
      </c>
      <c r="O400" t="s">
        <v>38</v>
      </c>
      <c r="R400" t="s">
        <v>98</v>
      </c>
      <c r="S400" t="s">
        <v>39</v>
      </c>
      <c r="T400">
        <v>0</v>
      </c>
      <c r="U400">
        <v>79705857</v>
      </c>
      <c r="V400">
        <v>0</v>
      </c>
      <c r="W400">
        <v>1</v>
      </c>
      <c r="X400" t="s">
        <v>163</v>
      </c>
      <c r="Y400" s="10">
        <v>45833</v>
      </c>
      <c r="AD400" t="s">
        <v>41</v>
      </c>
      <c r="AX400" t="s">
        <v>164</v>
      </c>
      <c r="AY400" t="s">
        <v>573</v>
      </c>
    </row>
    <row r="401" spans="1:51" x14ac:dyDescent="0.25">
      <c r="A401" t="str">
        <f t="shared" si="26"/>
        <v>5000011960108027821</v>
      </c>
      <c r="B401">
        <v>2</v>
      </c>
      <c r="C401">
        <v>10802782</v>
      </c>
      <c r="D401">
        <v>1</v>
      </c>
      <c r="E401">
        <v>5000011960</v>
      </c>
      <c r="F401" t="s">
        <v>478</v>
      </c>
      <c r="G401">
        <v>1</v>
      </c>
      <c r="H401" t="s">
        <v>93</v>
      </c>
      <c r="I401" s="10">
        <v>45838</v>
      </c>
      <c r="K401" s="23">
        <v>2117117.2000000002</v>
      </c>
      <c r="L401" t="s">
        <v>162</v>
      </c>
      <c r="M401" t="s">
        <v>36</v>
      </c>
      <c r="N401" t="s">
        <v>37</v>
      </c>
      <c r="O401" t="s">
        <v>38</v>
      </c>
      <c r="R401" t="s">
        <v>98</v>
      </c>
      <c r="S401" t="s">
        <v>39</v>
      </c>
      <c r="T401">
        <v>0</v>
      </c>
      <c r="U401">
        <v>79705857</v>
      </c>
      <c r="V401">
        <v>0</v>
      </c>
      <c r="W401">
        <v>1</v>
      </c>
      <c r="X401" t="s">
        <v>163</v>
      </c>
      <c r="Y401" s="10">
        <v>45833</v>
      </c>
      <c r="AD401" t="s">
        <v>41</v>
      </c>
      <c r="AX401" t="s">
        <v>164</v>
      </c>
      <c r="AY401" t="s">
        <v>574</v>
      </c>
    </row>
    <row r="402" spans="1:51" x14ac:dyDescent="0.25">
      <c r="A402" t="str">
        <f t="shared" si="26"/>
        <v>5000017856108027823</v>
      </c>
      <c r="B402">
        <v>3</v>
      </c>
      <c r="C402">
        <v>10802782</v>
      </c>
      <c r="D402">
        <v>3</v>
      </c>
      <c r="E402">
        <v>5000017856</v>
      </c>
      <c r="F402" t="s">
        <v>566</v>
      </c>
      <c r="G402">
        <v>1</v>
      </c>
      <c r="H402" t="s">
        <v>35</v>
      </c>
      <c r="I402" s="10">
        <v>45838</v>
      </c>
      <c r="K402" s="23">
        <v>11351351.4</v>
      </c>
      <c r="L402" t="s">
        <v>162</v>
      </c>
      <c r="M402" t="s">
        <v>36</v>
      </c>
      <c r="N402" t="s">
        <v>37</v>
      </c>
      <c r="O402" t="s">
        <v>38</v>
      </c>
      <c r="R402" t="s">
        <v>98</v>
      </c>
      <c r="S402" t="s">
        <v>39</v>
      </c>
      <c r="T402">
        <v>0</v>
      </c>
      <c r="U402">
        <v>79705857</v>
      </c>
      <c r="V402">
        <v>0</v>
      </c>
      <c r="W402">
        <v>1</v>
      </c>
      <c r="X402" t="s">
        <v>163</v>
      </c>
      <c r="Y402" s="10">
        <v>45833</v>
      </c>
      <c r="AD402" t="s">
        <v>41</v>
      </c>
      <c r="AX402" t="s">
        <v>164</v>
      </c>
      <c r="AY402" t="s">
        <v>575</v>
      </c>
    </row>
    <row r="403" spans="1:51" x14ac:dyDescent="0.25">
      <c r="A403" t="str">
        <f t="shared" si="26"/>
        <v>5000017857108027824</v>
      </c>
      <c r="B403">
        <v>4</v>
      </c>
      <c r="C403">
        <v>10802782</v>
      </c>
      <c r="D403">
        <v>4</v>
      </c>
      <c r="E403">
        <v>5000017857</v>
      </c>
      <c r="F403" t="s">
        <v>568</v>
      </c>
      <c r="G403">
        <v>1</v>
      </c>
      <c r="H403" t="s">
        <v>35</v>
      </c>
      <c r="I403" s="10">
        <v>45838</v>
      </c>
      <c r="K403" s="23">
        <v>18693693.699999999</v>
      </c>
      <c r="L403" t="s">
        <v>162</v>
      </c>
      <c r="M403" t="s">
        <v>36</v>
      </c>
      <c r="N403" t="s">
        <v>37</v>
      </c>
      <c r="O403" t="s">
        <v>38</v>
      </c>
      <c r="R403" t="s">
        <v>98</v>
      </c>
      <c r="S403" t="s">
        <v>39</v>
      </c>
      <c r="T403">
        <v>0</v>
      </c>
      <c r="U403">
        <v>79705857</v>
      </c>
      <c r="V403">
        <v>0</v>
      </c>
      <c r="W403">
        <v>1</v>
      </c>
      <c r="X403" t="s">
        <v>163</v>
      </c>
      <c r="Y403" s="10">
        <v>45833</v>
      </c>
      <c r="AD403" t="s">
        <v>41</v>
      </c>
      <c r="AX403" t="s">
        <v>164</v>
      </c>
      <c r="AY403" t="s">
        <v>576</v>
      </c>
    </row>
    <row r="404" spans="1:51" x14ac:dyDescent="0.25">
      <c r="A404" t="str">
        <f t="shared" si="26"/>
        <v>5000008929108027825</v>
      </c>
      <c r="B404">
        <v>2</v>
      </c>
      <c r="C404">
        <v>10802782</v>
      </c>
      <c r="D404">
        <v>5</v>
      </c>
      <c r="E404">
        <v>5000008929</v>
      </c>
      <c r="F404" t="s">
        <v>100</v>
      </c>
      <c r="G404">
        <v>1</v>
      </c>
      <c r="H404" t="s">
        <v>93</v>
      </c>
      <c r="I404" s="10">
        <v>45838</v>
      </c>
      <c r="K404" s="23">
        <v>150000</v>
      </c>
      <c r="L404" t="s">
        <v>162</v>
      </c>
      <c r="M404" t="s">
        <v>36</v>
      </c>
      <c r="N404" t="s">
        <v>37</v>
      </c>
      <c r="O404" t="s">
        <v>38</v>
      </c>
      <c r="R404" t="s">
        <v>98</v>
      </c>
      <c r="S404" t="s">
        <v>39</v>
      </c>
      <c r="T404">
        <v>0</v>
      </c>
      <c r="U404">
        <v>79705946</v>
      </c>
      <c r="V404">
        <v>0</v>
      </c>
      <c r="W404">
        <v>1</v>
      </c>
      <c r="X404" t="s">
        <v>163</v>
      </c>
      <c r="Y404" s="10">
        <v>45834</v>
      </c>
      <c r="AD404" t="s">
        <v>41</v>
      </c>
      <c r="AX404" t="s">
        <v>164</v>
      </c>
      <c r="AY404" t="s">
        <v>570</v>
      </c>
    </row>
    <row r="405" spans="1:51" x14ac:dyDescent="0.25">
      <c r="A405" t="str">
        <f t="shared" si="26"/>
        <v>5000008843108027826</v>
      </c>
      <c r="B405">
        <v>3</v>
      </c>
      <c r="C405">
        <v>10802782</v>
      </c>
      <c r="D405">
        <v>6</v>
      </c>
      <c r="E405">
        <v>5000008843</v>
      </c>
      <c r="F405" t="s">
        <v>150</v>
      </c>
      <c r="G405">
        <v>2</v>
      </c>
      <c r="H405" t="s">
        <v>35</v>
      </c>
      <c r="I405" s="10">
        <v>45839</v>
      </c>
      <c r="K405" s="23">
        <v>1025000</v>
      </c>
      <c r="L405" t="s">
        <v>162</v>
      </c>
      <c r="M405" t="s">
        <v>36</v>
      </c>
      <c r="N405" t="s">
        <v>37</v>
      </c>
      <c r="O405" t="s">
        <v>38</v>
      </c>
      <c r="R405" t="s">
        <v>98</v>
      </c>
      <c r="S405" t="s">
        <v>39</v>
      </c>
      <c r="T405">
        <v>0</v>
      </c>
      <c r="U405">
        <v>79705946</v>
      </c>
      <c r="V405">
        <v>0</v>
      </c>
      <c r="W405">
        <v>2</v>
      </c>
      <c r="X405" t="s">
        <v>163</v>
      </c>
      <c r="Y405" s="10">
        <v>45834</v>
      </c>
      <c r="AD405" t="s">
        <v>41</v>
      </c>
      <c r="AX405" t="s">
        <v>164</v>
      </c>
      <c r="AY405" t="s">
        <v>571</v>
      </c>
    </row>
    <row r="406" spans="1:51" x14ac:dyDescent="0.25">
      <c r="A406" t="str">
        <f t="shared" si="26"/>
        <v>5000017082108033621</v>
      </c>
      <c r="B406">
        <v>1</v>
      </c>
      <c r="C406">
        <v>10803362</v>
      </c>
      <c r="D406">
        <v>1</v>
      </c>
      <c r="E406">
        <v>5000017082</v>
      </c>
      <c r="F406" t="s">
        <v>609</v>
      </c>
      <c r="G406">
        <v>1</v>
      </c>
      <c r="H406" t="s">
        <v>35</v>
      </c>
      <c r="I406" s="10">
        <v>45867</v>
      </c>
      <c r="K406" s="23">
        <v>2072072.1</v>
      </c>
      <c r="L406" t="s">
        <v>162</v>
      </c>
      <c r="M406" t="s">
        <v>36</v>
      </c>
      <c r="N406" t="s">
        <v>37</v>
      </c>
      <c r="O406" t="s">
        <v>38</v>
      </c>
      <c r="R406" t="s">
        <v>98</v>
      </c>
      <c r="S406" t="s">
        <v>39</v>
      </c>
      <c r="T406">
        <v>0</v>
      </c>
      <c r="U406">
        <v>79707003</v>
      </c>
      <c r="V406">
        <v>0</v>
      </c>
      <c r="W406">
        <v>1</v>
      </c>
      <c r="X406" t="s">
        <v>163</v>
      </c>
      <c r="Y406" s="10">
        <v>45862</v>
      </c>
      <c r="AD406" t="s">
        <v>41</v>
      </c>
      <c r="AX406" t="s">
        <v>164</v>
      </c>
      <c r="AY406" t="s">
        <v>613</v>
      </c>
    </row>
    <row r="407" spans="1:51" x14ac:dyDescent="0.25">
      <c r="A407" t="str">
        <f t="shared" si="26"/>
        <v>5000015560108036872</v>
      </c>
      <c r="B407">
        <v>3</v>
      </c>
      <c r="C407">
        <v>10803687</v>
      </c>
      <c r="D407">
        <v>2</v>
      </c>
      <c r="E407">
        <v>5000015560</v>
      </c>
      <c r="F407" t="s">
        <v>319</v>
      </c>
      <c r="G407">
        <v>1</v>
      </c>
      <c r="H407" t="s">
        <v>93</v>
      </c>
      <c r="I407" s="10">
        <v>45884</v>
      </c>
      <c r="K407" s="23">
        <v>160000</v>
      </c>
      <c r="L407" t="s">
        <v>162</v>
      </c>
      <c r="M407" t="s">
        <v>36</v>
      </c>
      <c r="N407" t="s">
        <v>37</v>
      </c>
      <c r="O407" t="s">
        <v>38</v>
      </c>
      <c r="R407" t="s">
        <v>98</v>
      </c>
      <c r="S407" t="s">
        <v>39</v>
      </c>
      <c r="T407">
        <v>0</v>
      </c>
      <c r="U407">
        <v>79707720</v>
      </c>
      <c r="V407">
        <v>1</v>
      </c>
      <c r="W407">
        <v>0</v>
      </c>
      <c r="X407" t="s">
        <v>163</v>
      </c>
      <c r="Y407" s="10">
        <v>45884</v>
      </c>
      <c r="AD407" t="s">
        <v>41</v>
      </c>
      <c r="AY407" t="s">
        <v>639</v>
      </c>
    </row>
    <row r="408" spans="1:51" x14ac:dyDescent="0.25">
      <c r="A408" t="str">
        <f t="shared" si="26"/>
        <v>5000005059108036871</v>
      </c>
      <c r="B408">
        <v>7</v>
      </c>
      <c r="C408">
        <v>10803687</v>
      </c>
      <c r="D408">
        <v>1</v>
      </c>
      <c r="E408">
        <v>5000005059</v>
      </c>
      <c r="F408" t="s">
        <v>153</v>
      </c>
      <c r="G408">
        <v>10</v>
      </c>
      <c r="H408" t="s">
        <v>93</v>
      </c>
      <c r="I408" s="10">
        <v>45884</v>
      </c>
      <c r="K408" s="23">
        <v>95000</v>
      </c>
      <c r="L408" t="s">
        <v>162</v>
      </c>
      <c r="M408" t="s">
        <v>36</v>
      </c>
      <c r="N408" t="s">
        <v>37</v>
      </c>
      <c r="O408" t="s">
        <v>38</v>
      </c>
      <c r="R408" t="s">
        <v>98</v>
      </c>
      <c r="S408" t="s">
        <v>39</v>
      </c>
      <c r="T408">
        <v>0</v>
      </c>
      <c r="U408">
        <v>79707738</v>
      </c>
      <c r="V408">
        <v>0</v>
      </c>
      <c r="W408">
        <v>10</v>
      </c>
      <c r="X408" t="s">
        <v>163</v>
      </c>
      <c r="Y408" s="10">
        <v>45884</v>
      </c>
      <c r="AD408" t="s">
        <v>41</v>
      </c>
      <c r="AX408" t="s">
        <v>164</v>
      </c>
      <c r="AY408" t="s">
        <v>638</v>
      </c>
    </row>
    <row r="409" spans="1:51" x14ac:dyDescent="0.25">
      <c r="A409" t="str">
        <f t="shared" si="26"/>
        <v>5000008929108038131</v>
      </c>
      <c r="B409">
        <v>1</v>
      </c>
      <c r="C409">
        <v>10803813</v>
      </c>
      <c r="D409">
        <v>1</v>
      </c>
      <c r="E409">
        <v>5000008929</v>
      </c>
      <c r="F409" t="s">
        <v>100</v>
      </c>
      <c r="G409">
        <v>2</v>
      </c>
      <c r="H409" t="s">
        <v>93</v>
      </c>
      <c r="I409" s="10">
        <v>45894</v>
      </c>
      <c r="K409" s="23">
        <v>150000</v>
      </c>
      <c r="L409" t="s">
        <v>162</v>
      </c>
      <c r="M409" t="s">
        <v>36</v>
      </c>
      <c r="N409" t="s">
        <v>37</v>
      </c>
      <c r="O409" t="s">
        <v>38</v>
      </c>
      <c r="R409" t="s">
        <v>98</v>
      </c>
      <c r="S409" t="s">
        <v>39</v>
      </c>
      <c r="T409">
        <v>0</v>
      </c>
      <c r="U409">
        <v>79707922</v>
      </c>
      <c r="V409">
        <v>0</v>
      </c>
      <c r="W409">
        <v>2</v>
      </c>
      <c r="X409" t="s">
        <v>163</v>
      </c>
      <c r="Y409" s="10">
        <v>45889</v>
      </c>
      <c r="AD409" t="s">
        <v>41</v>
      </c>
      <c r="AX409" t="s">
        <v>164</v>
      </c>
      <c r="AY409" t="s">
        <v>644</v>
      </c>
    </row>
    <row r="410" spans="1:51" x14ac:dyDescent="0.25">
      <c r="A410" t="str">
        <f t="shared" si="26"/>
        <v>5000005340108038132</v>
      </c>
      <c r="B410">
        <v>2</v>
      </c>
      <c r="C410">
        <v>10803813</v>
      </c>
      <c r="D410">
        <v>2</v>
      </c>
      <c r="E410">
        <v>5000005340</v>
      </c>
      <c r="F410" t="s">
        <v>199</v>
      </c>
      <c r="G410">
        <v>3</v>
      </c>
      <c r="H410" t="s">
        <v>35</v>
      </c>
      <c r="I410" s="10">
        <v>45894</v>
      </c>
      <c r="K410" s="23">
        <v>155000</v>
      </c>
      <c r="L410" t="s">
        <v>162</v>
      </c>
      <c r="M410" t="s">
        <v>36</v>
      </c>
      <c r="N410" t="s">
        <v>37</v>
      </c>
      <c r="O410" t="s">
        <v>38</v>
      </c>
      <c r="R410" t="s">
        <v>98</v>
      </c>
      <c r="S410" t="s">
        <v>39</v>
      </c>
      <c r="T410">
        <v>0</v>
      </c>
      <c r="U410">
        <v>79707922</v>
      </c>
      <c r="V410">
        <v>0</v>
      </c>
      <c r="W410">
        <v>3</v>
      </c>
      <c r="X410" t="s">
        <v>163</v>
      </c>
      <c r="Y410" s="10">
        <v>45889</v>
      </c>
      <c r="AD410" t="s">
        <v>41</v>
      </c>
      <c r="AX410" t="s">
        <v>164</v>
      </c>
      <c r="AY410" t="s">
        <v>645</v>
      </c>
    </row>
    <row r="411" spans="1:51" x14ac:dyDescent="0.25">
      <c r="A411" t="str">
        <f t="shared" si="26"/>
        <v>5000016930108036873</v>
      </c>
      <c r="B411">
        <v>1</v>
      </c>
      <c r="C411">
        <v>10803687</v>
      </c>
      <c r="D411">
        <v>3</v>
      </c>
      <c r="E411">
        <v>5000016930</v>
      </c>
      <c r="F411" t="s">
        <v>203</v>
      </c>
      <c r="G411">
        <v>1</v>
      </c>
      <c r="H411" t="s">
        <v>93</v>
      </c>
      <c r="I411" s="10">
        <v>45884</v>
      </c>
      <c r="K411" s="23">
        <v>168350</v>
      </c>
      <c r="L411" t="s">
        <v>162</v>
      </c>
      <c r="M411" t="s">
        <v>36</v>
      </c>
      <c r="N411" t="s">
        <v>37</v>
      </c>
      <c r="O411" t="s">
        <v>38</v>
      </c>
      <c r="R411" t="s">
        <v>98</v>
      </c>
      <c r="S411" t="s">
        <v>39</v>
      </c>
      <c r="T411">
        <v>0</v>
      </c>
      <c r="U411">
        <v>79707981</v>
      </c>
      <c r="V411">
        <v>0</v>
      </c>
      <c r="W411">
        <v>1</v>
      </c>
      <c r="X411" t="s">
        <v>163</v>
      </c>
      <c r="Y411" s="10">
        <v>45890</v>
      </c>
      <c r="AD411" t="s">
        <v>41</v>
      </c>
      <c r="AX411" t="s">
        <v>164</v>
      </c>
      <c r="AY411" t="s">
        <v>633</v>
      </c>
    </row>
    <row r="412" spans="1:51" x14ac:dyDescent="0.25">
      <c r="A412" t="str">
        <f t="shared" si="26"/>
        <v>5000016930108024961</v>
      </c>
      <c r="B412">
        <v>1</v>
      </c>
      <c r="C412">
        <v>10802496</v>
      </c>
      <c r="D412">
        <v>1</v>
      </c>
      <c r="E412">
        <v>5000016930</v>
      </c>
      <c r="F412" t="s">
        <v>203</v>
      </c>
      <c r="G412">
        <v>1</v>
      </c>
      <c r="H412" t="s">
        <v>93</v>
      </c>
      <c r="I412" s="10">
        <v>45824</v>
      </c>
      <c r="K412" s="23">
        <v>168350</v>
      </c>
      <c r="L412" t="s">
        <v>162</v>
      </c>
      <c r="M412" t="s">
        <v>36</v>
      </c>
      <c r="N412" t="s">
        <v>37</v>
      </c>
      <c r="O412" t="s">
        <v>38</v>
      </c>
      <c r="R412" t="s">
        <v>98</v>
      </c>
      <c r="S412" t="s">
        <v>39</v>
      </c>
      <c r="T412">
        <v>0</v>
      </c>
      <c r="U412">
        <v>79707983</v>
      </c>
      <c r="V412">
        <v>0</v>
      </c>
      <c r="W412">
        <v>1</v>
      </c>
      <c r="X412" t="s">
        <v>163</v>
      </c>
      <c r="Y412" s="10">
        <v>45890</v>
      </c>
      <c r="AD412" t="s">
        <v>41</v>
      </c>
      <c r="AX412" t="s">
        <v>164</v>
      </c>
      <c r="AY412" t="s">
        <v>534</v>
      </c>
    </row>
    <row r="413" spans="1:51" x14ac:dyDescent="0.25">
      <c r="A413" t="str">
        <f t="shared" si="26"/>
        <v>5000016930108027822</v>
      </c>
      <c r="B413">
        <v>2</v>
      </c>
      <c r="C413">
        <v>10802782</v>
      </c>
      <c r="D413">
        <v>2</v>
      </c>
      <c r="E413">
        <v>5000016930</v>
      </c>
      <c r="F413" t="s">
        <v>203</v>
      </c>
      <c r="G413">
        <v>1</v>
      </c>
      <c r="H413" t="s">
        <v>93</v>
      </c>
      <c r="I413" s="10">
        <v>45838</v>
      </c>
      <c r="K413" s="23">
        <v>168350</v>
      </c>
      <c r="L413" t="s">
        <v>162</v>
      </c>
      <c r="M413" t="s">
        <v>36</v>
      </c>
      <c r="N413" t="s">
        <v>37</v>
      </c>
      <c r="O413" t="s">
        <v>38</v>
      </c>
      <c r="R413" t="s">
        <v>98</v>
      </c>
      <c r="S413" t="s">
        <v>39</v>
      </c>
      <c r="T413">
        <v>0</v>
      </c>
      <c r="U413">
        <v>79707983</v>
      </c>
      <c r="V413">
        <v>0</v>
      </c>
      <c r="W413">
        <v>1</v>
      </c>
      <c r="X413" t="s">
        <v>163</v>
      </c>
      <c r="Y413" s="10">
        <v>45890</v>
      </c>
      <c r="AD413" t="s">
        <v>41</v>
      </c>
      <c r="AX413" t="s">
        <v>164</v>
      </c>
      <c r="AY413" t="s">
        <v>565</v>
      </c>
    </row>
    <row r="414" spans="1:51" x14ac:dyDescent="0.25">
      <c r="A414" t="str">
        <f t="shared" si="26"/>
        <v>5000016930108021971</v>
      </c>
      <c r="B414">
        <v>1</v>
      </c>
      <c r="C414">
        <v>10802197</v>
      </c>
      <c r="D414">
        <v>1</v>
      </c>
      <c r="E414">
        <v>5000016930</v>
      </c>
      <c r="F414" t="s">
        <v>203</v>
      </c>
      <c r="G414">
        <v>1</v>
      </c>
      <c r="H414" t="s">
        <v>93</v>
      </c>
      <c r="I414" s="10">
        <v>45804</v>
      </c>
      <c r="K414" s="23">
        <v>168350</v>
      </c>
      <c r="L414" t="s">
        <v>162</v>
      </c>
      <c r="M414" t="s">
        <v>36</v>
      </c>
      <c r="N414" t="s">
        <v>37</v>
      </c>
      <c r="O414" t="s">
        <v>38</v>
      </c>
      <c r="R414" t="s">
        <v>98</v>
      </c>
      <c r="S414" t="s">
        <v>39</v>
      </c>
      <c r="T414">
        <v>0</v>
      </c>
      <c r="U414">
        <v>79707984</v>
      </c>
      <c r="V414">
        <v>0</v>
      </c>
      <c r="W414">
        <v>1</v>
      </c>
      <c r="X414" t="s">
        <v>163</v>
      </c>
      <c r="Y414" s="10">
        <v>45890</v>
      </c>
      <c r="AD414" t="s">
        <v>41</v>
      </c>
      <c r="AX414" t="s">
        <v>164</v>
      </c>
      <c r="AY414" t="s">
        <v>494</v>
      </c>
    </row>
    <row r="415" spans="1:51" x14ac:dyDescent="0.25">
      <c r="A415" t="str">
        <f t="shared" si="26"/>
        <v>5000017216108038731</v>
      </c>
      <c r="B415">
        <v>1</v>
      </c>
      <c r="C415">
        <v>10803873</v>
      </c>
      <c r="D415">
        <v>1</v>
      </c>
      <c r="E415">
        <v>5000017216</v>
      </c>
      <c r="F415" t="s">
        <v>183</v>
      </c>
      <c r="G415">
        <v>1</v>
      </c>
      <c r="H415" t="s">
        <v>35</v>
      </c>
      <c r="I415" s="10">
        <v>45897</v>
      </c>
      <c r="K415" s="23">
        <v>1120000</v>
      </c>
      <c r="L415" t="s">
        <v>162</v>
      </c>
      <c r="M415" t="s">
        <v>36</v>
      </c>
      <c r="N415" t="s">
        <v>37</v>
      </c>
      <c r="O415" t="s">
        <v>38</v>
      </c>
      <c r="R415" t="s">
        <v>98</v>
      </c>
      <c r="S415" t="s">
        <v>39</v>
      </c>
      <c r="T415">
        <v>0</v>
      </c>
      <c r="U415">
        <v>79708069</v>
      </c>
      <c r="V415">
        <v>1</v>
      </c>
      <c r="W415">
        <v>0</v>
      </c>
      <c r="X415" t="s">
        <v>163</v>
      </c>
      <c r="Y415" s="10">
        <v>45892</v>
      </c>
      <c r="AD415" t="s">
        <v>41</v>
      </c>
      <c r="AY415" t="s">
        <v>647</v>
      </c>
    </row>
    <row r="416" spans="1:51" x14ac:dyDescent="0.25">
      <c r="A416" t="str">
        <f t="shared" si="26"/>
        <v>5000005059108038733</v>
      </c>
      <c r="B416">
        <v>2</v>
      </c>
      <c r="C416">
        <v>10803873</v>
      </c>
      <c r="D416">
        <v>3</v>
      </c>
      <c r="E416">
        <v>5000005059</v>
      </c>
      <c r="F416" t="s">
        <v>153</v>
      </c>
      <c r="G416">
        <v>1</v>
      </c>
      <c r="H416" t="s">
        <v>93</v>
      </c>
      <c r="I416" s="10">
        <v>45897</v>
      </c>
      <c r="K416" s="23">
        <v>95000</v>
      </c>
      <c r="L416" t="s">
        <v>162</v>
      </c>
      <c r="M416" t="s">
        <v>36</v>
      </c>
      <c r="N416" t="s">
        <v>37</v>
      </c>
      <c r="O416" t="s">
        <v>38</v>
      </c>
      <c r="R416" t="s">
        <v>98</v>
      </c>
      <c r="S416" t="s">
        <v>39</v>
      </c>
      <c r="T416">
        <v>0</v>
      </c>
      <c r="U416">
        <v>79708069</v>
      </c>
      <c r="V416">
        <v>1</v>
      </c>
      <c r="W416">
        <v>0</v>
      </c>
      <c r="X416" t="s">
        <v>163</v>
      </c>
      <c r="Y416" s="10">
        <v>45892</v>
      </c>
      <c r="AD416" t="s">
        <v>41</v>
      </c>
      <c r="AY416" t="s">
        <v>647</v>
      </c>
    </row>
    <row r="417" spans="1:51" x14ac:dyDescent="0.25">
      <c r="A417" t="str">
        <f t="shared" si="26"/>
        <v>5000004248108038734</v>
      </c>
      <c r="B417">
        <v>3</v>
      </c>
      <c r="C417">
        <v>10803873</v>
      </c>
      <c r="D417">
        <v>4</v>
      </c>
      <c r="E417">
        <v>5000004248</v>
      </c>
      <c r="F417" t="s">
        <v>155</v>
      </c>
      <c r="G417">
        <v>1</v>
      </c>
      <c r="H417" t="s">
        <v>93</v>
      </c>
      <c r="I417" s="10">
        <v>45897</v>
      </c>
      <c r="K417" s="23">
        <v>65000</v>
      </c>
      <c r="L417" t="s">
        <v>162</v>
      </c>
      <c r="M417" t="s">
        <v>36</v>
      </c>
      <c r="N417" t="s">
        <v>37</v>
      </c>
      <c r="O417" t="s">
        <v>38</v>
      </c>
      <c r="R417" t="s">
        <v>98</v>
      </c>
      <c r="S417" t="s">
        <v>39</v>
      </c>
      <c r="T417">
        <v>0</v>
      </c>
      <c r="U417">
        <v>79708069</v>
      </c>
      <c r="V417">
        <v>1</v>
      </c>
      <c r="W417">
        <v>0</v>
      </c>
      <c r="X417" t="s">
        <v>163</v>
      </c>
      <c r="Y417" s="10">
        <v>45892</v>
      </c>
      <c r="AD417" t="s">
        <v>41</v>
      </c>
      <c r="AY417" t="s">
        <v>647</v>
      </c>
    </row>
    <row r="418" spans="1:51" x14ac:dyDescent="0.25">
      <c r="A418" t="str">
        <f t="shared" si="26"/>
        <v>5000012021108038735</v>
      </c>
      <c r="B418">
        <v>4</v>
      </c>
      <c r="C418">
        <v>10803873</v>
      </c>
      <c r="D418">
        <v>5</v>
      </c>
      <c r="E418">
        <v>5000012021</v>
      </c>
      <c r="F418" t="s">
        <v>188</v>
      </c>
      <c r="G418">
        <v>1</v>
      </c>
      <c r="H418" t="s">
        <v>93</v>
      </c>
      <c r="I418" s="10">
        <v>45897</v>
      </c>
      <c r="K418" s="23">
        <v>30000</v>
      </c>
      <c r="L418" t="s">
        <v>162</v>
      </c>
      <c r="M418" t="s">
        <v>36</v>
      </c>
      <c r="N418" t="s">
        <v>37</v>
      </c>
      <c r="O418" t="s">
        <v>38</v>
      </c>
      <c r="R418" t="s">
        <v>98</v>
      </c>
      <c r="S418" t="s">
        <v>39</v>
      </c>
      <c r="T418">
        <v>0</v>
      </c>
      <c r="U418">
        <v>79708069</v>
      </c>
      <c r="V418">
        <v>1</v>
      </c>
      <c r="W418">
        <v>0</v>
      </c>
      <c r="X418" t="s">
        <v>163</v>
      </c>
      <c r="Y418" s="10">
        <v>45892</v>
      </c>
      <c r="AD418" t="s">
        <v>41</v>
      </c>
      <c r="AY418" t="s">
        <v>648</v>
      </c>
    </row>
    <row r="419" spans="1:51" x14ac:dyDescent="0.25">
      <c r="A419" t="str">
        <f t="shared" si="26"/>
        <v>5000009730108030471</v>
      </c>
      <c r="B419">
        <v>1</v>
      </c>
      <c r="C419">
        <v>10803047</v>
      </c>
      <c r="D419">
        <v>1</v>
      </c>
      <c r="E419">
        <v>5000009730</v>
      </c>
      <c r="F419" t="s">
        <v>588</v>
      </c>
      <c r="G419">
        <v>1</v>
      </c>
      <c r="H419" t="s">
        <v>35</v>
      </c>
      <c r="I419" s="10">
        <v>45852</v>
      </c>
      <c r="K419" s="23">
        <v>9450000</v>
      </c>
      <c r="L419" t="s">
        <v>162</v>
      </c>
      <c r="M419" t="s">
        <v>36</v>
      </c>
      <c r="N419" t="s">
        <v>37</v>
      </c>
      <c r="O419" t="s">
        <v>38</v>
      </c>
      <c r="R419" t="s">
        <v>98</v>
      </c>
      <c r="S419" t="s">
        <v>39</v>
      </c>
      <c r="T419">
        <v>0</v>
      </c>
      <c r="U419">
        <v>79708199</v>
      </c>
      <c r="V419">
        <v>1</v>
      </c>
      <c r="W419">
        <v>0</v>
      </c>
      <c r="X419" t="s">
        <v>163</v>
      </c>
      <c r="Y419" s="10">
        <v>45895</v>
      </c>
      <c r="AD419" t="s">
        <v>41</v>
      </c>
      <c r="AY419" t="s">
        <v>668</v>
      </c>
    </row>
    <row r="420" spans="1:51" x14ac:dyDescent="0.25">
      <c r="A420" t="str">
        <f t="shared" si="26"/>
        <v>5000017856108039334</v>
      </c>
      <c r="B420">
        <v>1</v>
      </c>
      <c r="C420">
        <v>10803933</v>
      </c>
      <c r="D420">
        <v>4</v>
      </c>
      <c r="E420">
        <v>5000017856</v>
      </c>
      <c r="F420" t="s">
        <v>566</v>
      </c>
      <c r="G420">
        <v>1</v>
      </c>
      <c r="H420" t="s">
        <v>35</v>
      </c>
      <c r="I420" s="10">
        <v>45902</v>
      </c>
      <c r="K420" s="23">
        <v>11261261.300000001</v>
      </c>
      <c r="L420" t="s">
        <v>162</v>
      </c>
      <c r="M420" t="s">
        <v>36</v>
      </c>
      <c r="N420" t="s">
        <v>37</v>
      </c>
      <c r="O420" t="s">
        <v>38</v>
      </c>
      <c r="R420" t="s">
        <v>98</v>
      </c>
      <c r="S420" t="s">
        <v>39</v>
      </c>
      <c r="T420">
        <v>0</v>
      </c>
      <c r="U420">
        <v>79708290</v>
      </c>
      <c r="V420">
        <v>1</v>
      </c>
      <c r="W420">
        <v>0</v>
      </c>
      <c r="X420" t="s">
        <v>163</v>
      </c>
      <c r="Y420" s="10">
        <v>45897</v>
      </c>
      <c r="Z420" t="s">
        <v>163</v>
      </c>
      <c r="AA420" s="25">
        <v>45898</v>
      </c>
      <c r="AD420" t="s">
        <v>41</v>
      </c>
      <c r="AY420" t="s">
        <v>669</v>
      </c>
    </row>
    <row r="421" spans="1:51" x14ac:dyDescent="0.25">
      <c r="A421" t="str">
        <f t="shared" si="26"/>
        <v>5000011960108039335</v>
      </c>
      <c r="B421">
        <v>2</v>
      </c>
      <c r="C421">
        <v>10803933</v>
      </c>
      <c r="D421">
        <v>5</v>
      </c>
      <c r="E421">
        <v>5000011960</v>
      </c>
      <c r="F421" t="s">
        <v>478</v>
      </c>
      <c r="G421">
        <v>1</v>
      </c>
      <c r="H421" t="s">
        <v>93</v>
      </c>
      <c r="I421" s="10">
        <v>45902</v>
      </c>
      <c r="K421" s="23">
        <v>1621621.7</v>
      </c>
      <c r="L421" t="s">
        <v>162</v>
      </c>
      <c r="M421" t="s">
        <v>36</v>
      </c>
      <c r="N421" t="s">
        <v>37</v>
      </c>
      <c r="O421" t="s">
        <v>38</v>
      </c>
      <c r="R421" t="s">
        <v>98</v>
      </c>
      <c r="S421" t="s">
        <v>39</v>
      </c>
      <c r="T421">
        <v>0</v>
      </c>
      <c r="U421">
        <v>79708290</v>
      </c>
      <c r="V421">
        <v>1</v>
      </c>
      <c r="W421">
        <v>0</v>
      </c>
      <c r="X421" t="s">
        <v>163</v>
      </c>
      <c r="Y421" s="10">
        <v>45897</v>
      </c>
      <c r="Z421" t="s">
        <v>163</v>
      </c>
      <c r="AA421" s="25">
        <v>45898</v>
      </c>
      <c r="AD421" t="s">
        <v>41</v>
      </c>
      <c r="AY421" t="s">
        <v>670</v>
      </c>
    </row>
    <row r="422" spans="1:51" x14ac:dyDescent="0.25">
      <c r="A422" t="str">
        <f t="shared" si="26"/>
        <v>5000016255108038941</v>
      </c>
      <c r="B422">
        <v>1</v>
      </c>
      <c r="C422">
        <v>10803894</v>
      </c>
      <c r="D422">
        <v>1</v>
      </c>
      <c r="E422">
        <v>5000016255</v>
      </c>
      <c r="F422" t="s">
        <v>110</v>
      </c>
      <c r="G422">
        <v>2</v>
      </c>
      <c r="H422" t="s">
        <v>93</v>
      </c>
      <c r="I422" s="10">
        <v>45899</v>
      </c>
      <c r="K422" s="23">
        <v>343000</v>
      </c>
      <c r="L422" t="s">
        <v>162</v>
      </c>
      <c r="M422" t="s">
        <v>36</v>
      </c>
      <c r="N422" t="s">
        <v>37</v>
      </c>
      <c r="O422" t="s">
        <v>38</v>
      </c>
      <c r="R422" t="s">
        <v>98</v>
      </c>
      <c r="S422" t="s">
        <v>39</v>
      </c>
      <c r="T422">
        <v>0</v>
      </c>
      <c r="U422">
        <v>79708291</v>
      </c>
      <c r="V422">
        <v>2</v>
      </c>
      <c r="W422">
        <v>0</v>
      </c>
      <c r="X422" t="s">
        <v>163</v>
      </c>
      <c r="Y422" s="10">
        <v>45897</v>
      </c>
      <c r="AD422" t="s">
        <v>41</v>
      </c>
      <c r="AY422" t="s">
        <v>650</v>
      </c>
    </row>
    <row r="423" spans="1:51" x14ac:dyDescent="0.25">
      <c r="A423" t="str">
        <f t="shared" si="26"/>
        <v>5000015919108038942</v>
      </c>
      <c r="B423">
        <v>2</v>
      </c>
      <c r="C423">
        <v>10803894</v>
      </c>
      <c r="D423">
        <v>2</v>
      </c>
      <c r="E423">
        <v>5000015919</v>
      </c>
      <c r="F423" t="s">
        <v>425</v>
      </c>
      <c r="G423">
        <v>1</v>
      </c>
      <c r="H423" t="s">
        <v>35</v>
      </c>
      <c r="I423" s="10">
        <v>45899</v>
      </c>
      <c r="K423" s="23">
        <v>369500</v>
      </c>
      <c r="L423" t="s">
        <v>162</v>
      </c>
      <c r="M423" t="s">
        <v>36</v>
      </c>
      <c r="N423" t="s">
        <v>37</v>
      </c>
      <c r="O423" t="s">
        <v>38</v>
      </c>
      <c r="R423" t="s">
        <v>98</v>
      </c>
      <c r="S423" t="s">
        <v>39</v>
      </c>
      <c r="T423">
        <v>0</v>
      </c>
      <c r="U423">
        <v>79708291</v>
      </c>
      <c r="V423">
        <v>1</v>
      </c>
      <c r="W423">
        <v>0</v>
      </c>
      <c r="X423" t="s">
        <v>163</v>
      </c>
      <c r="Y423" s="10">
        <v>45897</v>
      </c>
      <c r="AD423" t="s">
        <v>41</v>
      </c>
      <c r="AY423" t="s">
        <v>651</v>
      </c>
    </row>
    <row r="424" spans="1:51" x14ac:dyDescent="0.25">
      <c r="A424" t="str">
        <f t="shared" si="26"/>
        <v>5000015970108038943</v>
      </c>
      <c r="B424">
        <v>3</v>
      </c>
      <c r="C424">
        <v>10803894</v>
      </c>
      <c r="D424">
        <v>3</v>
      </c>
      <c r="E424">
        <v>5000015970</v>
      </c>
      <c r="F424" t="s">
        <v>427</v>
      </c>
      <c r="G424">
        <v>1</v>
      </c>
      <c r="H424" t="s">
        <v>35</v>
      </c>
      <c r="I424" s="10">
        <v>45899</v>
      </c>
      <c r="K424" s="23">
        <v>180000</v>
      </c>
      <c r="L424" t="s">
        <v>162</v>
      </c>
      <c r="M424" t="s">
        <v>36</v>
      </c>
      <c r="N424" t="s">
        <v>37</v>
      </c>
      <c r="O424" t="s">
        <v>38</v>
      </c>
      <c r="R424" t="s">
        <v>98</v>
      </c>
      <c r="S424" t="s">
        <v>39</v>
      </c>
      <c r="T424">
        <v>0</v>
      </c>
      <c r="U424">
        <v>79708291</v>
      </c>
      <c r="V424">
        <v>1</v>
      </c>
      <c r="W424">
        <v>0</v>
      </c>
      <c r="X424" t="s">
        <v>163</v>
      </c>
      <c r="Y424" s="10">
        <v>45897</v>
      </c>
      <c r="AD424" t="s">
        <v>41</v>
      </c>
      <c r="AY424" t="s">
        <v>652</v>
      </c>
    </row>
    <row r="425" spans="1:51" x14ac:dyDescent="0.25">
      <c r="A425" t="str">
        <f t="shared" si="26"/>
        <v>5000014291108039336</v>
      </c>
      <c r="B425">
        <v>4</v>
      </c>
      <c r="C425">
        <v>10803933</v>
      </c>
      <c r="D425">
        <v>6</v>
      </c>
      <c r="E425">
        <v>5000014291</v>
      </c>
      <c r="F425" t="s">
        <v>406</v>
      </c>
      <c r="G425">
        <v>1</v>
      </c>
      <c r="H425" t="s">
        <v>296</v>
      </c>
      <c r="I425" s="10">
        <v>45902</v>
      </c>
      <c r="K425" s="23">
        <v>92500</v>
      </c>
      <c r="L425" t="s">
        <v>162</v>
      </c>
      <c r="M425" t="s">
        <v>36</v>
      </c>
      <c r="N425" t="s">
        <v>37</v>
      </c>
      <c r="O425" t="s">
        <v>38</v>
      </c>
      <c r="R425" t="s">
        <v>98</v>
      </c>
      <c r="S425" t="s">
        <v>39</v>
      </c>
      <c r="T425">
        <v>0</v>
      </c>
      <c r="U425">
        <v>79708291</v>
      </c>
      <c r="V425">
        <v>1</v>
      </c>
      <c r="W425">
        <v>0</v>
      </c>
      <c r="X425" t="s">
        <v>163</v>
      </c>
      <c r="Y425" s="10">
        <v>45897</v>
      </c>
      <c r="AD425" t="s">
        <v>41</v>
      </c>
      <c r="AY425" t="s">
        <v>655</v>
      </c>
    </row>
    <row r="426" spans="1:51" x14ac:dyDescent="0.25">
      <c r="A426" t="str">
        <f t="shared" si="26"/>
        <v>5000017216108039331</v>
      </c>
      <c r="B426">
        <v>1</v>
      </c>
      <c r="C426">
        <v>10803933</v>
      </c>
      <c r="D426">
        <v>1</v>
      </c>
      <c r="E426">
        <v>5000017216</v>
      </c>
      <c r="F426" t="s">
        <v>183</v>
      </c>
      <c r="G426">
        <v>1</v>
      </c>
      <c r="H426" t="s">
        <v>35</v>
      </c>
      <c r="I426" s="10">
        <v>45902</v>
      </c>
      <c r="K426" s="23">
        <v>1120000</v>
      </c>
      <c r="L426" t="s">
        <v>162</v>
      </c>
      <c r="M426" t="s">
        <v>36</v>
      </c>
      <c r="N426" t="s">
        <v>37</v>
      </c>
      <c r="O426" t="s">
        <v>38</v>
      </c>
      <c r="R426" t="s">
        <v>98</v>
      </c>
      <c r="S426" t="s">
        <v>39</v>
      </c>
      <c r="T426">
        <v>0</v>
      </c>
      <c r="U426">
        <v>79708292</v>
      </c>
      <c r="V426">
        <v>1</v>
      </c>
      <c r="W426">
        <v>0</v>
      </c>
      <c r="X426" t="s">
        <v>163</v>
      </c>
      <c r="Y426" s="10">
        <v>45897</v>
      </c>
      <c r="AD426" t="s">
        <v>41</v>
      </c>
      <c r="AY426" t="s">
        <v>653</v>
      </c>
    </row>
    <row r="427" spans="1:51" x14ac:dyDescent="0.25">
      <c r="A427" t="str">
        <f t="shared" si="26"/>
        <v>5000012006108039332</v>
      </c>
      <c r="B427">
        <v>2</v>
      </c>
      <c r="C427">
        <v>10803933</v>
      </c>
      <c r="D427">
        <v>2</v>
      </c>
      <c r="E427">
        <v>5000012006</v>
      </c>
      <c r="F427" t="s">
        <v>328</v>
      </c>
      <c r="G427">
        <v>1</v>
      </c>
      <c r="H427" t="s">
        <v>35</v>
      </c>
      <c r="I427" s="10">
        <v>45902</v>
      </c>
      <c r="K427" s="23">
        <v>1750000</v>
      </c>
      <c r="L427" t="s">
        <v>162</v>
      </c>
      <c r="M427" t="s">
        <v>36</v>
      </c>
      <c r="N427" t="s">
        <v>37</v>
      </c>
      <c r="O427" t="s">
        <v>38</v>
      </c>
      <c r="R427" t="s">
        <v>98</v>
      </c>
      <c r="S427" t="s">
        <v>39</v>
      </c>
      <c r="T427">
        <v>0</v>
      </c>
      <c r="U427">
        <v>79708292</v>
      </c>
      <c r="V427">
        <v>1</v>
      </c>
      <c r="W427">
        <v>0</v>
      </c>
      <c r="X427" t="s">
        <v>163</v>
      </c>
      <c r="Y427" s="10">
        <v>45897</v>
      </c>
      <c r="AD427" t="s">
        <v>41</v>
      </c>
      <c r="AY427" t="s">
        <v>654</v>
      </c>
    </row>
    <row r="428" spans="1:51" x14ac:dyDescent="0.25">
      <c r="A428" t="str">
        <f t="shared" si="26"/>
        <v>5000016583108038732</v>
      </c>
      <c r="B428">
        <v>1</v>
      </c>
      <c r="C428">
        <v>10803873</v>
      </c>
      <c r="D428">
        <v>2</v>
      </c>
      <c r="E428">
        <v>5000016583</v>
      </c>
      <c r="F428" t="s">
        <v>324</v>
      </c>
      <c r="G428">
        <v>1</v>
      </c>
      <c r="H428" t="s">
        <v>35</v>
      </c>
      <c r="I428" s="10">
        <v>45897</v>
      </c>
      <c r="K428" s="23">
        <v>8450000</v>
      </c>
      <c r="L428" t="s">
        <v>162</v>
      </c>
      <c r="M428" t="s">
        <v>36</v>
      </c>
      <c r="N428" t="s">
        <v>37</v>
      </c>
      <c r="O428" t="s">
        <v>38</v>
      </c>
      <c r="R428" t="s">
        <v>98</v>
      </c>
      <c r="S428" t="s">
        <v>39</v>
      </c>
      <c r="T428">
        <v>0</v>
      </c>
      <c r="U428">
        <v>79708339</v>
      </c>
      <c r="V428">
        <v>1</v>
      </c>
      <c r="W428">
        <v>0</v>
      </c>
      <c r="X428" t="s">
        <v>163</v>
      </c>
      <c r="Y428" s="10">
        <v>45898</v>
      </c>
      <c r="AD428" t="s">
        <v>41</v>
      </c>
      <c r="AY428" t="s">
        <v>671</v>
      </c>
    </row>
    <row r="429" spans="1:51" x14ac:dyDescent="0.25">
      <c r="A429" t="str">
        <f t="shared" si="26"/>
        <v>5000005340108039731</v>
      </c>
      <c r="B429">
        <v>3</v>
      </c>
      <c r="C429">
        <v>10803973</v>
      </c>
      <c r="D429">
        <v>1</v>
      </c>
      <c r="E429">
        <v>5000005340</v>
      </c>
      <c r="F429" t="s">
        <v>199</v>
      </c>
      <c r="G429">
        <v>1</v>
      </c>
      <c r="H429" t="s">
        <v>35</v>
      </c>
      <c r="I429" s="10">
        <v>45903</v>
      </c>
      <c r="K429" s="23">
        <v>155000</v>
      </c>
      <c r="L429" t="s">
        <v>162</v>
      </c>
      <c r="M429" t="s">
        <v>36</v>
      </c>
      <c r="N429" t="s">
        <v>37</v>
      </c>
      <c r="O429" t="s">
        <v>38</v>
      </c>
      <c r="R429" t="s">
        <v>98</v>
      </c>
      <c r="S429" t="s">
        <v>39</v>
      </c>
      <c r="T429">
        <v>0</v>
      </c>
      <c r="U429">
        <v>79708292</v>
      </c>
      <c r="V429">
        <v>1</v>
      </c>
      <c r="W429">
        <v>0</v>
      </c>
      <c r="X429" t="s">
        <v>163</v>
      </c>
      <c r="Y429" s="10">
        <v>45898</v>
      </c>
      <c r="AD429" t="s">
        <v>41</v>
      </c>
      <c r="AY429" t="s">
        <v>659</v>
      </c>
    </row>
    <row r="430" spans="1:51" x14ac:dyDescent="0.25">
      <c r="A430" t="str">
        <f t="shared" si="26"/>
        <v>5000017216108040123</v>
      </c>
      <c r="B430">
        <v>1</v>
      </c>
      <c r="C430">
        <v>10804012</v>
      </c>
      <c r="D430">
        <v>3</v>
      </c>
      <c r="E430">
        <v>5000017216</v>
      </c>
      <c r="F430" t="s">
        <v>183</v>
      </c>
      <c r="G430">
        <v>1</v>
      </c>
      <c r="H430" t="s">
        <v>35</v>
      </c>
      <c r="I430" s="10">
        <v>45905</v>
      </c>
      <c r="K430" s="23">
        <v>1120000</v>
      </c>
      <c r="L430" t="s">
        <v>162</v>
      </c>
      <c r="M430" t="s">
        <v>36</v>
      </c>
      <c r="N430" t="s">
        <v>37</v>
      </c>
      <c r="O430" t="s">
        <v>38</v>
      </c>
      <c r="R430" t="s">
        <v>98</v>
      </c>
      <c r="S430" t="s">
        <v>39</v>
      </c>
      <c r="T430">
        <v>0</v>
      </c>
      <c r="U430">
        <v>79708373</v>
      </c>
      <c r="V430">
        <v>1</v>
      </c>
      <c r="W430">
        <v>0</v>
      </c>
      <c r="X430" t="s">
        <v>163</v>
      </c>
      <c r="Y430" s="10">
        <v>45899</v>
      </c>
      <c r="AD430" t="s">
        <v>41</v>
      </c>
      <c r="AY430" t="s">
        <v>664</v>
      </c>
    </row>
    <row r="431" spans="1:51" x14ac:dyDescent="0.25">
      <c r="A431" t="str">
        <f t="shared" si="26"/>
        <v>5000005059108040125</v>
      </c>
      <c r="B431">
        <v>2</v>
      </c>
      <c r="C431">
        <v>10804012</v>
      </c>
      <c r="D431">
        <v>5</v>
      </c>
      <c r="E431">
        <v>5000005059</v>
      </c>
      <c r="F431" t="s">
        <v>153</v>
      </c>
      <c r="G431">
        <v>1</v>
      </c>
      <c r="H431" t="s">
        <v>93</v>
      </c>
      <c r="I431" s="10">
        <v>45905</v>
      </c>
      <c r="K431" s="23">
        <v>95000</v>
      </c>
      <c r="L431" t="s">
        <v>162</v>
      </c>
      <c r="M431" t="s">
        <v>36</v>
      </c>
      <c r="N431" t="s">
        <v>37</v>
      </c>
      <c r="O431" t="s">
        <v>38</v>
      </c>
      <c r="R431" t="s">
        <v>98</v>
      </c>
      <c r="S431" t="s">
        <v>39</v>
      </c>
      <c r="T431">
        <v>0</v>
      </c>
      <c r="U431">
        <v>79708373</v>
      </c>
      <c r="V431">
        <v>1</v>
      </c>
      <c r="W431">
        <v>0</v>
      </c>
      <c r="X431" t="s">
        <v>163</v>
      </c>
      <c r="Y431" s="10">
        <v>45899</v>
      </c>
      <c r="AD431" t="s">
        <v>41</v>
      </c>
      <c r="AY431" t="s">
        <v>663</v>
      </c>
    </row>
    <row r="432" spans="1:51" x14ac:dyDescent="0.25">
      <c r="A432" t="str">
        <f t="shared" si="26"/>
        <v>5000004248108040126</v>
      </c>
      <c r="B432">
        <v>3</v>
      </c>
      <c r="C432">
        <v>10804012</v>
      </c>
      <c r="D432">
        <v>6</v>
      </c>
      <c r="E432">
        <v>5000004248</v>
      </c>
      <c r="F432" t="s">
        <v>155</v>
      </c>
      <c r="G432">
        <v>1</v>
      </c>
      <c r="H432" t="s">
        <v>93</v>
      </c>
      <c r="I432" s="10">
        <v>45905</v>
      </c>
      <c r="K432" s="23">
        <v>65000</v>
      </c>
      <c r="L432" t="s">
        <v>162</v>
      </c>
      <c r="M432" t="s">
        <v>36</v>
      </c>
      <c r="N432" t="s">
        <v>37</v>
      </c>
      <c r="O432" t="s">
        <v>38</v>
      </c>
      <c r="R432" t="s">
        <v>98</v>
      </c>
      <c r="S432" t="s">
        <v>39</v>
      </c>
      <c r="T432">
        <v>0</v>
      </c>
      <c r="U432">
        <v>79708373</v>
      </c>
      <c r="V432">
        <v>1</v>
      </c>
      <c r="W432">
        <v>0</v>
      </c>
      <c r="X432" t="s">
        <v>163</v>
      </c>
      <c r="Y432" s="10">
        <v>45899</v>
      </c>
      <c r="AD432" t="s">
        <v>41</v>
      </c>
      <c r="AY432" t="s">
        <v>660</v>
      </c>
    </row>
    <row r="433" spans="1:51" x14ac:dyDescent="0.25">
      <c r="A433" t="str">
        <f t="shared" si="26"/>
        <v>5000012021108040127</v>
      </c>
      <c r="B433">
        <v>4</v>
      </c>
      <c r="C433">
        <v>10804012</v>
      </c>
      <c r="D433">
        <v>7</v>
      </c>
      <c r="E433">
        <v>5000012021</v>
      </c>
      <c r="F433" t="s">
        <v>188</v>
      </c>
      <c r="G433">
        <v>1</v>
      </c>
      <c r="H433" t="s">
        <v>93</v>
      </c>
      <c r="I433" s="10">
        <v>45905</v>
      </c>
      <c r="K433" s="23">
        <v>30000</v>
      </c>
      <c r="L433" t="s">
        <v>162</v>
      </c>
      <c r="M433" t="s">
        <v>36</v>
      </c>
      <c r="N433" t="s">
        <v>37</v>
      </c>
      <c r="O433" t="s">
        <v>38</v>
      </c>
      <c r="R433" t="s">
        <v>98</v>
      </c>
      <c r="S433" t="s">
        <v>39</v>
      </c>
      <c r="T433">
        <v>0</v>
      </c>
      <c r="U433">
        <v>79708373</v>
      </c>
      <c r="V433">
        <v>1</v>
      </c>
      <c r="W433">
        <v>0</v>
      </c>
      <c r="X433" t="s">
        <v>163</v>
      </c>
      <c r="Y433" s="10">
        <v>45899</v>
      </c>
      <c r="AD433" t="s">
        <v>41</v>
      </c>
      <c r="AY433" t="s">
        <v>661</v>
      </c>
    </row>
    <row r="434" spans="1:51" x14ac:dyDescent="0.25">
      <c r="A434" t="str">
        <f t="shared" si="26"/>
        <v>5000017927108040122</v>
      </c>
      <c r="B434">
        <v>1</v>
      </c>
      <c r="C434">
        <v>10804012</v>
      </c>
      <c r="D434">
        <v>2</v>
      </c>
      <c r="E434">
        <v>5000017927</v>
      </c>
      <c r="F434" t="s">
        <v>666</v>
      </c>
      <c r="G434">
        <v>1</v>
      </c>
      <c r="H434" t="s">
        <v>93</v>
      </c>
      <c r="I434" s="10">
        <v>45905</v>
      </c>
      <c r="K434" s="23">
        <v>264000</v>
      </c>
      <c r="L434" t="s">
        <v>162</v>
      </c>
      <c r="M434" t="s">
        <v>36</v>
      </c>
      <c r="N434" t="s">
        <v>37</v>
      </c>
      <c r="O434" t="s">
        <v>38</v>
      </c>
      <c r="R434" t="s">
        <v>98</v>
      </c>
      <c r="S434" t="s">
        <v>39</v>
      </c>
      <c r="T434">
        <v>0</v>
      </c>
      <c r="U434">
        <v>79708376</v>
      </c>
      <c r="V434">
        <v>1</v>
      </c>
      <c r="W434">
        <v>0</v>
      </c>
      <c r="X434" t="s">
        <v>163</v>
      </c>
      <c r="Y434" s="10">
        <v>45899</v>
      </c>
      <c r="AD434" t="s">
        <v>41</v>
      </c>
      <c r="AY434" t="s">
        <v>667</v>
      </c>
    </row>
    <row r="435" spans="1:51" x14ac:dyDescent="0.25">
      <c r="A435" t="str">
        <f t="shared" si="26"/>
        <v>5000016308108040124</v>
      </c>
      <c r="B435">
        <v>1</v>
      </c>
      <c r="C435">
        <v>10804012</v>
      </c>
      <c r="D435">
        <v>4</v>
      </c>
      <c r="E435">
        <v>5000016308</v>
      </c>
      <c r="F435" t="s">
        <v>143</v>
      </c>
      <c r="G435">
        <v>1</v>
      </c>
      <c r="H435" t="s">
        <v>35</v>
      </c>
      <c r="I435" s="10">
        <v>45905</v>
      </c>
      <c r="K435" s="23">
        <v>2980000</v>
      </c>
      <c r="L435" t="s">
        <v>162</v>
      </c>
      <c r="M435" t="s">
        <v>36</v>
      </c>
      <c r="N435" t="s">
        <v>37</v>
      </c>
      <c r="O435" t="s">
        <v>38</v>
      </c>
      <c r="R435" t="s">
        <v>98</v>
      </c>
      <c r="S435" t="s">
        <v>39</v>
      </c>
      <c r="T435">
        <v>0</v>
      </c>
      <c r="U435">
        <v>79708378</v>
      </c>
      <c r="V435">
        <v>1</v>
      </c>
      <c r="W435">
        <v>0</v>
      </c>
      <c r="X435" t="s">
        <v>163</v>
      </c>
      <c r="Y435" s="10">
        <v>45899</v>
      </c>
      <c r="AD435" t="s">
        <v>41</v>
      </c>
      <c r="AY435" t="s">
        <v>665</v>
      </c>
    </row>
    <row r="436" spans="1:51" x14ac:dyDescent="0.25">
      <c r="A436" t="str">
        <f t="shared" si="26"/>
        <v>5000016728108040121</v>
      </c>
      <c r="B436">
        <v>1</v>
      </c>
      <c r="C436">
        <v>10804012</v>
      </c>
      <c r="D436">
        <v>1</v>
      </c>
      <c r="E436">
        <v>5000016728</v>
      </c>
      <c r="F436" t="s">
        <v>146</v>
      </c>
      <c r="G436">
        <v>1</v>
      </c>
      <c r="H436" t="s">
        <v>35</v>
      </c>
      <c r="I436" s="10">
        <v>45905</v>
      </c>
      <c r="K436" s="23">
        <v>346847</v>
      </c>
      <c r="L436" t="s">
        <v>162</v>
      </c>
      <c r="M436" t="s">
        <v>36</v>
      </c>
      <c r="N436" t="s">
        <v>37</v>
      </c>
      <c r="O436" t="s">
        <v>38</v>
      </c>
      <c r="R436" t="s">
        <v>98</v>
      </c>
      <c r="S436" t="s">
        <v>39</v>
      </c>
      <c r="T436">
        <v>0</v>
      </c>
      <c r="U436">
        <v>79708400</v>
      </c>
      <c r="V436">
        <v>1</v>
      </c>
      <c r="W436">
        <v>0</v>
      </c>
      <c r="X436" t="s">
        <v>163</v>
      </c>
      <c r="Y436" s="10">
        <v>45901</v>
      </c>
      <c r="AD436" t="s">
        <v>41</v>
      </c>
      <c r="AY436" t="s">
        <v>679</v>
      </c>
    </row>
    <row r="437" spans="1:51" x14ac:dyDescent="0.25">
      <c r="A437" t="str">
        <f t="shared" si="26"/>
        <v>5000016308108040362</v>
      </c>
      <c r="B437">
        <v>2</v>
      </c>
      <c r="C437">
        <v>10804036</v>
      </c>
      <c r="D437">
        <v>2</v>
      </c>
      <c r="E437">
        <v>5000016308</v>
      </c>
      <c r="F437" t="s">
        <v>143</v>
      </c>
      <c r="G437">
        <v>1</v>
      </c>
      <c r="H437" t="s">
        <v>35</v>
      </c>
      <c r="I437" s="10">
        <v>45908</v>
      </c>
      <c r="K437" s="23">
        <v>2980000</v>
      </c>
      <c r="L437" t="s">
        <v>162</v>
      </c>
      <c r="M437" t="s">
        <v>36</v>
      </c>
      <c r="N437" t="s">
        <v>37</v>
      </c>
      <c r="O437" t="s">
        <v>38</v>
      </c>
      <c r="R437" t="s">
        <v>98</v>
      </c>
      <c r="S437" t="s">
        <v>39</v>
      </c>
      <c r="T437">
        <v>0</v>
      </c>
      <c r="U437">
        <v>79708378</v>
      </c>
      <c r="V437">
        <v>1</v>
      </c>
      <c r="W437">
        <v>0</v>
      </c>
      <c r="X437" t="s">
        <v>163</v>
      </c>
      <c r="Y437" s="10">
        <v>45902</v>
      </c>
      <c r="AD437" t="s">
        <v>41</v>
      </c>
      <c r="AY437" t="s">
        <v>680</v>
      </c>
    </row>
    <row r="438" spans="1:51" x14ac:dyDescent="0.25">
      <c r="A438" t="str">
        <f t="shared" si="26"/>
        <v>5000005340108040361</v>
      </c>
      <c r="B438">
        <v>1</v>
      </c>
      <c r="C438">
        <v>10804036</v>
      </c>
      <c r="D438">
        <v>1</v>
      </c>
      <c r="E438">
        <v>5000005340</v>
      </c>
      <c r="F438" t="s">
        <v>199</v>
      </c>
      <c r="G438">
        <v>2</v>
      </c>
      <c r="H438" t="s">
        <v>35</v>
      </c>
      <c r="I438" s="10">
        <v>45908</v>
      </c>
      <c r="K438" s="23">
        <v>155000</v>
      </c>
      <c r="L438" t="s">
        <v>162</v>
      </c>
      <c r="M438" t="s">
        <v>36</v>
      </c>
      <c r="N438" t="s">
        <v>37</v>
      </c>
      <c r="O438" t="s">
        <v>38</v>
      </c>
      <c r="R438" t="s">
        <v>98</v>
      </c>
      <c r="S438" t="s">
        <v>39</v>
      </c>
      <c r="T438">
        <v>0</v>
      </c>
      <c r="U438">
        <v>79708501</v>
      </c>
      <c r="V438">
        <v>2</v>
      </c>
      <c r="W438">
        <v>0</v>
      </c>
      <c r="X438" t="s">
        <v>163</v>
      </c>
      <c r="Y438" s="10">
        <v>45902</v>
      </c>
      <c r="AD438" t="s">
        <v>41</v>
      </c>
      <c r="AY438" t="s">
        <v>672</v>
      </c>
    </row>
    <row r="439" spans="1:51" x14ac:dyDescent="0.25">
      <c r="A439" t="str">
        <f t="shared" ref="A439:A487" si="27">E439&amp;C439&amp;D439</f>
        <v>5000017216108040732</v>
      </c>
      <c r="B439">
        <v>1</v>
      </c>
      <c r="C439">
        <v>10804073</v>
      </c>
      <c r="D439">
        <v>2</v>
      </c>
      <c r="E439">
        <v>5000017216</v>
      </c>
      <c r="F439" t="s">
        <v>183</v>
      </c>
      <c r="G439">
        <v>1</v>
      </c>
      <c r="H439" t="s">
        <v>35</v>
      </c>
      <c r="I439" s="10">
        <v>45910</v>
      </c>
      <c r="K439" s="23">
        <v>1120000</v>
      </c>
      <c r="L439" t="s">
        <v>162</v>
      </c>
      <c r="M439" t="s">
        <v>36</v>
      </c>
      <c r="N439" t="s">
        <v>37</v>
      </c>
      <c r="O439" t="s">
        <v>38</v>
      </c>
      <c r="R439" t="s">
        <v>98</v>
      </c>
      <c r="S439" t="s">
        <v>39</v>
      </c>
      <c r="T439">
        <v>0</v>
      </c>
      <c r="U439">
        <v>79708755</v>
      </c>
      <c r="V439">
        <v>1</v>
      </c>
      <c r="W439">
        <v>0</v>
      </c>
      <c r="X439" t="s">
        <v>163</v>
      </c>
      <c r="Y439" s="10">
        <v>45909</v>
      </c>
      <c r="AD439" t="s">
        <v>41</v>
      </c>
      <c r="AY439" t="s">
        <v>675</v>
      </c>
    </row>
    <row r="440" spans="1:51" x14ac:dyDescent="0.25">
      <c r="A440" t="str">
        <f t="shared" si="27"/>
        <v>5000005059108040733</v>
      </c>
      <c r="B440">
        <v>2</v>
      </c>
      <c r="C440">
        <v>10804073</v>
      </c>
      <c r="D440">
        <v>3</v>
      </c>
      <c r="E440">
        <v>5000005059</v>
      </c>
      <c r="F440" t="s">
        <v>153</v>
      </c>
      <c r="G440">
        <v>1</v>
      </c>
      <c r="H440" t="s">
        <v>93</v>
      </c>
      <c r="I440" s="10">
        <v>45910</v>
      </c>
      <c r="K440" s="23">
        <v>95000</v>
      </c>
      <c r="L440" t="s">
        <v>162</v>
      </c>
      <c r="M440" t="s">
        <v>36</v>
      </c>
      <c r="N440" t="s">
        <v>37</v>
      </c>
      <c r="O440" t="s">
        <v>38</v>
      </c>
      <c r="R440" t="s">
        <v>98</v>
      </c>
      <c r="S440" t="s">
        <v>39</v>
      </c>
      <c r="T440">
        <v>0</v>
      </c>
      <c r="U440">
        <v>79708755</v>
      </c>
      <c r="V440">
        <v>1</v>
      </c>
      <c r="W440">
        <v>0</v>
      </c>
      <c r="X440" t="s">
        <v>163</v>
      </c>
      <c r="Y440" s="10">
        <v>45909</v>
      </c>
      <c r="AD440" t="s">
        <v>41</v>
      </c>
      <c r="AY440" t="s">
        <v>676</v>
      </c>
    </row>
    <row r="441" spans="1:51" x14ac:dyDescent="0.25">
      <c r="A441" t="str">
        <f t="shared" si="27"/>
        <v>5000004248108040734</v>
      </c>
      <c r="B441">
        <v>3</v>
      </c>
      <c r="C441">
        <v>10804073</v>
      </c>
      <c r="D441">
        <v>4</v>
      </c>
      <c r="E441">
        <v>5000004248</v>
      </c>
      <c r="F441" t="s">
        <v>155</v>
      </c>
      <c r="G441">
        <v>1</v>
      </c>
      <c r="H441" t="s">
        <v>93</v>
      </c>
      <c r="I441" s="10">
        <v>45910</v>
      </c>
      <c r="K441" s="23">
        <v>65000</v>
      </c>
      <c r="L441" t="s">
        <v>162</v>
      </c>
      <c r="M441" t="s">
        <v>36</v>
      </c>
      <c r="N441" t="s">
        <v>37</v>
      </c>
      <c r="O441" t="s">
        <v>38</v>
      </c>
      <c r="R441" t="s">
        <v>98</v>
      </c>
      <c r="S441" t="s">
        <v>39</v>
      </c>
      <c r="T441">
        <v>0</v>
      </c>
      <c r="U441">
        <v>79708755</v>
      </c>
      <c r="V441">
        <v>1</v>
      </c>
      <c r="W441">
        <v>0</v>
      </c>
      <c r="X441" t="s">
        <v>163</v>
      </c>
      <c r="Y441" s="10">
        <v>45909</v>
      </c>
      <c r="AD441" t="s">
        <v>41</v>
      </c>
      <c r="AY441" t="s">
        <v>677</v>
      </c>
    </row>
    <row r="442" spans="1:51" x14ac:dyDescent="0.25">
      <c r="A442" t="str">
        <f t="shared" si="27"/>
        <v>5000012021108040735</v>
      </c>
      <c r="B442">
        <v>4</v>
      </c>
      <c r="C442">
        <v>10804073</v>
      </c>
      <c r="D442">
        <v>5</v>
      </c>
      <c r="E442">
        <v>5000012021</v>
      </c>
      <c r="F442" t="s">
        <v>188</v>
      </c>
      <c r="G442">
        <v>1</v>
      </c>
      <c r="H442" t="s">
        <v>93</v>
      </c>
      <c r="I442" s="10">
        <v>45910</v>
      </c>
      <c r="K442" s="23">
        <v>30000</v>
      </c>
      <c r="L442" t="s">
        <v>162</v>
      </c>
      <c r="M442" t="s">
        <v>36</v>
      </c>
      <c r="N442" t="s">
        <v>37</v>
      </c>
      <c r="O442" t="s">
        <v>38</v>
      </c>
      <c r="R442" t="s">
        <v>98</v>
      </c>
      <c r="S442" t="s">
        <v>39</v>
      </c>
      <c r="T442">
        <v>0</v>
      </c>
      <c r="U442">
        <v>79708755</v>
      </c>
      <c r="V442">
        <v>1</v>
      </c>
      <c r="W442">
        <v>0</v>
      </c>
      <c r="X442" t="s">
        <v>163</v>
      </c>
      <c r="Y442" s="10">
        <v>45909</v>
      </c>
      <c r="AD442" t="s">
        <v>41</v>
      </c>
      <c r="AY442" t="s">
        <v>678</v>
      </c>
    </row>
    <row r="443" spans="1:51" x14ac:dyDescent="0.25">
      <c r="A443" t="str">
        <f t="shared" si="27"/>
        <v>5000004248108041521</v>
      </c>
      <c r="B443">
        <v>5</v>
      </c>
      <c r="C443">
        <v>10804152</v>
      </c>
      <c r="D443">
        <v>1</v>
      </c>
      <c r="E443">
        <v>5000004248</v>
      </c>
      <c r="F443" t="s">
        <v>155</v>
      </c>
      <c r="G443">
        <v>12</v>
      </c>
      <c r="H443" t="s">
        <v>93</v>
      </c>
      <c r="I443" s="10">
        <v>45915</v>
      </c>
      <c r="K443" s="23">
        <v>65000</v>
      </c>
      <c r="L443" t="s">
        <v>162</v>
      </c>
      <c r="M443" t="s">
        <v>36</v>
      </c>
      <c r="N443" t="s">
        <v>37</v>
      </c>
      <c r="O443" t="s">
        <v>38</v>
      </c>
      <c r="R443" t="s">
        <v>98</v>
      </c>
      <c r="S443" t="s">
        <v>39</v>
      </c>
      <c r="T443">
        <v>0</v>
      </c>
      <c r="U443">
        <v>79708755</v>
      </c>
      <c r="V443">
        <v>12</v>
      </c>
      <c r="W443">
        <v>0</v>
      </c>
      <c r="X443" t="s">
        <v>163</v>
      </c>
      <c r="Y443" s="10">
        <v>45909</v>
      </c>
      <c r="AD443" t="s">
        <v>41</v>
      </c>
      <c r="AY443" t="s">
        <v>686</v>
      </c>
    </row>
    <row r="444" spans="1:51" x14ac:dyDescent="0.25">
      <c r="A444" t="str">
        <f t="shared" si="27"/>
        <v>5000016308108040731</v>
      </c>
      <c r="B444">
        <v>1</v>
      </c>
      <c r="C444">
        <v>10804073</v>
      </c>
      <c r="D444">
        <v>1</v>
      </c>
      <c r="E444">
        <v>5000016308</v>
      </c>
      <c r="F444" t="s">
        <v>143</v>
      </c>
      <c r="G444">
        <v>2</v>
      </c>
      <c r="H444" t="s">
        <v>35</v>
      </c>
      <c r="I444" s="10">
        <v>45910</v>
      </c>
      <c r="K444" s="23">
        <v>2980000</v>
      </c>
      <c r="L444" t="s">
        <v>162</v>
      </c>
      <c r="M444" t="s">
        <v>36</v>
      </c>
      <c r="N444" t="s">
        <v>37</v>
      </c>
      <c r="O444" t="s">
        <v>38</v>
      </c>
      <c r="R444" t="s">
        <v>98</v>
      </c>
      <c r="S444" t="s">
        <v>39</v>
      </c>
      <c r="T444">
        <v>0</v>
      </c>
      <c r="U444">
        <v>79708758</v>
      </c>
      <c r="V444">
        <v>2</v>
      </c>
      <c r="W444">
        <v>0</v>
      </c>
      <c r="X444" t="s">
        <v>163</v>
      </c>
      <c r="Y444" s="10">
        <v>45909</v>
      </c>
      <c r="AD444" t="s">
        <v>41</v>
      </c>
      <c r="AY444" t="s">
        <v>689</v>
      </c>
    </row>
    <row r="445" spans="1:51" x14ac:dyDescent="0.25">
      <c r="A445" t="str">
        <f t="shared" si="27"/>
        <v>5000016255108041523</v>
      </c>
      <c r="B445">
        <v>2</v>
      </c>
      <c r="C445">
        <v>10804152</v>
      </c>
      <c r="D445">
        <v>3</v>
      </c>
      <c r="E445">
        <v>5000016255</v>
      </c>
      <c r="F445" t="s">
        <v>110</v>
      </c>
      <c r="G445">
        <v>1</v>
      </c>
      <c r="H445" t="s">
        <v>93</v>
      </c>
      <c r="I445" s="10">
        <v>45915</v>
      </c>
      <c r="K445" s="23">
        <v>343000</v>
      </c>
      <c r="L445" t="s">
        <v>162</v>
      </c>
      <c r="M445" t="s">
        <v>36</v>
      </c>
      <c r="N445" t="s">
        <v>37</v>
      </c>
      <c r="O445" t="s">
        <v>38</v>
      </c>
      <c r="R445" t="s">
        <v>98</v>
      </c>
      <c r="S445" t="s">
        <v>39</v>
      </c>
      <c r="T445">
        <v>0</v>
      </c>
      <c r="U445">
        <v>79708758</v>
      </c>
      <c r="V445">
        <v>1</v>
      </c>
      <c r="W445">
        <v>0</v>
      </c>
      <c r="X445" t="s">
        <v>163</v>
      </c>
      <c r="Y445" s="10">
        <v>45909</v>
      </c>
      <c r="AD445" t="s">
        <v>41</v>
      </c>
      <c r="AY445" t="s">
        <v>688</v>
      </c>
    </row>
    <row r="446" spans="1:51" x14ac:dyDescent="0.25">
      <c r="A446" t="str">
        <f t="shared" si="27"/>
        <v>5000008242108040911</v>
      </c>
      <c r="B446">
        <v>6</v>
      </c>
      <c r="C446">
        <v>10804091</v>
      </c>
      <c r="D446">
        <v>1</v>
      </c>
      <c r="E446">
        <v>5000008242</v>
      </c>
      <c r="F446" t="s">
        <v>593</v>
      </c>
      <c r="G446">
        <v>1</v>
      </c>
      <c r="H446" t="s">
        <v>296</v>
      </c>
      <c r="I446" s="10">
        <v>45911</v>
      </c>
      <c r="K446" s="23">
        <v>225000</v>
      </c>
      <c r="L446" t="s">
        <v>162</v>
      </c>
      <c r="M446" t="s">
        <v>36</v>
      </c>
      <c r="N446" t="s">
        <v>37</v>
      </c>
      <c r="O446" t="s">
        <v>38</v>
      </c>
      <c r="R446" t="s">
        <v>98</v>
      </c>
      <c r="S446" t="s">
        <v>39</v>
      </c>
      <c r="T446">
        <v>0</v>
      </c>
      <c r="U446">
        <v>79708755</v>
      </c>
      <c r="V446">
        <v>0</v>
      </c>
      <c r="W446">
        <v>1</v>
      </c>
      <c r="X446" t="s">
        <v>695</v>
      </c>
      <c r="Y446" s="10">
        <v>45910</v>
      </c>
      <c r="AD446" t="s">
        <v>41</v>
      </c>
      <c r="AX446" t="s">
        <v>164</v>
      </c>
      <c r="AY446" t="s">
        <v>594</v>
      </c>
    </row>
    <row r="447" spans="1:51" x14ac:dyDescent="0.25">
      <c r="A447" t="str">
        <f t="shared" si="27"/>
        <v>5000017216108040912</v>
      </c>
      <c r="B447">
        <v>7</v>
      </c>
      <c r="C447">
        <v>10804091</v>
      </c>
      <c r="D447">
        <v>2</v>
      </c>
      <c r="E447">
        <v>5000017216</v>
      </c>
      <c r="F447" t="s">
        <v>183</v>
      </c>
      <c r="G447">
        <v>1</v>
      </c>
      <c r="H447" t="s">
        <v>35</v>
      </c>
      <c r="I447" s="10">
        <v>45911</v>
      </c>
      <c r="K447" s="23">
        <v>1120000</v>
      </c>
      <c r="L447" t="s">
        <v>162</v>
      </c>
      <c r="M447" t="s">
        <v>36</v>
      </c>
      <c r="N447" t="s">
        <v>37</v>
      </c>
      <c r="O447" t="s">
        <v>38</v>
      </c>
      <c r="R447" t="s">
        <v>98</v>
      </c>
      <c r="S447" t="s">
        <v>39</v>
      </c>
      <c r="T447">
        <v>0</v>
      </c>
      <c r="U447">
        <v>79708755</v>
      </c>
      <c r="V447">
        <v>0</v>
      </c>
      <c r="W447">
        <v>1</v>
      </c>
      <c r="X447" t="s">
        <v>695</v>
      </c>
      <c r="Y447" s="10">
        <v>45910</v>
      </c>
      <c r="AD447" t="s">
        <v>41</v>
      </c>
      <c r="AX447" t="s">
        <v>164</v>
      </c>
      <c r="AY447" t="s">
        <v>681</v>
      </c>
    </row>
    <row r="448" spans="1:51" x14ac:dyDescent="0.25">
      <c r="A448" t="str">
        <f t="shared" si="27"/>
        <v>5000005059108040914</v>
      </c>
      <c r="B448">
        <v>8</v>
      </c>
      <c r="C448">
        <v>10804091</v>
      </c>
      <c r="D448">
        <v>4</v>
      </c>
      <c r="E448">
        <v>5000005059</v>
      </c>
      <c r="F448" t="s">
        <v>153</v>
      </c>
      <c r="G448">
        <v>1</v>
      </c>
      <c r="H448" t="s">
        <v>93</v>
      </c>
      <c r="I448" s="10">
        <v>45911</v>
      </c>
      <c r="K448" s="23">
        <v>95000</v>
      </c>
      <c r="L448" t="s">
        <v>162</v>
      </c>
      <c r="M448" t="s">
        <v>36</v>
      </c>
      <c r="N448" t="s">
        <v>37</v>
      </c>
      <c r="O448" t="s">
        <v>38</v>
      </c>
      <c r="R448" t="s">
        <v>98</v>
      </c>
      <c r="S448" t="s">
        <v>39</v>
      </c>
      <c r="T448">
        <v>0</v>
      </c>
      <c r="U448">
        <v>79708755</v>
      </c>
      <c r="V448">
        <v>0</v>
      </c>
      <c r="W448">
        <v>1</v>
      </c>
      <c r="X448" t="s">
        <v>695</v>
      </c>
      <c r="Y448" s="10">
        <v>45910</v>
      </c>
      <c r="AD448" t="s">
        <v>41</v>
      </c>
      <c r="AX448" t="s">
        <v>164</v>
      </c>
      <c r="AY448" t="s">
        <v>683</v>
      </c>
    </row>
    <row r="449" spans="1:51" x14ac:dyDescent="0.25">
      <c r="A449" t="str">
        <f t="shared" si="27"/>
        <v>5000004248108040915</v>
      </c>
      <c r="B449">
        <v>9</v>
      </c>
      <c r="C449">
        <v>10804091</v>
      </c>
      <c r="D449">
        <v>5</v>
      </c>
      <c r="E449">
        <v>5000004248</v>
      </c>
      <c r="F449" t="s">
        <v>155</v>
      </c>
      <c r="G449">
        <v>1</v>
      </c>
      <c r="H449" t="s">
        <v>93</v>
      </c>
      <c r="I449" s="10">
        <v>45911</v>
      </c>
      <c r="K449" s="23">
        <v>65000</v>
      </c>
      <c r="L449" t="s">
        <v>162</v>
      </c>
      <c r="M449" t="s">
        <v>36</v>
      </c>
      <c r="N449" t="s">
        <v>37</v>
      </c>
      <c r="O449" t="s">
        <v>38</v>
      </c>
      <c r="R449" t="s">
        <v>98</v>
      </c>
      <c r="S449" t="s">
        <v>39</v>
      </c>
      <c r="T449">
        <v>0</v>
      </c>
      <c r="U449">
        <v>79708755</v>
      </c>
      <c r="V449">
        <v>0</v>
      </c>
      <c r="W449">
        <v>1</v>
      </c>
      <c r="X449" t="s">
        <v>695</v>
      </c>
      <c r="Y449" s="10">
        <v>45910</v>
      </c>
      <c r="AD449" t="s">
        <v>41</v>
      </c>
      <c r="AX449" t="s">
        <v>164</v>
      </c>
      <c r="AY449" t="s">
        <v>684</v>
      </c>
    </row>
    <row r="450" spans="1:51" x14ac:dyDescent="0.25">
      <c r="A450" t="str">
        <f t="shared" si="27"/>
        <v>5000012021108040916</v>
      </c>
      <c r="B450">
        <v>10</v>
      </c>
      <c r="C450">
        <v>10804091</v>
      </c>
      <c r="D450">
        <v>6</v>
      </c>
      <c r="E450">
        <v>5000012021</v>
      </c>
      <c r="F450" t="s">
        <v>188</v>
      </c>
      <c r="G450">
        <v>1</v>
      </c>
      <c r="H450" t="s">
        <v>93</v>
      </c>
      <c r="I450" s="10">
        <v>45911</v>
      </c>
      <c r="K450" s="23">
        <v>30000</v>
      </c>
      <c r="L450" t="s">
        <v>162</v>
      </c>
      <c r="M450" t="s">
        <v>36</v>
      </c>
      <c r="N450" t="s">
        <v>37</v>
      </c>
      <c r="O450" t="s">
        <v>38</v>
      </c>
      <c r="R450" t="s">
        <v>98</v>
      </c>
      <c r="S450" t="s">
        <v>39</v>
      </c>
      <c r="T450">
        <v>0</v>
      </c>
      <c r="U450">
        <v>79708755</v>
      </c>
      <c r="V450">
        <v>0</v>
      </c>
      <c r="W450">
        <v>1</v>
      </c>
      <c r="X450" t="s">
        <v>695</v>
      </c>
      <c r="Y450" s="10">
        <v>45910</v>
      </c>
      <c r="AD450" t="s">
        <v>41</v>
      </c>
      <c r="AX450" t="s">
        <v>164</v>
      </c>
      <c r="AY450" t="s">
        <v>685</v>
      </c>
    </row>
    <row r="451" spans="1:51" x14ac:dyDescent="0.25">
      <c r="A451" t="str">
        <f t="shared" si="27"/>
        <v>5000016308108040913</v>
      </c>
      <c r="B451">
        <v>3</v>
      </c>
      <c r="C451">
        <v>10804091</v>
      </c>
      <c r="D451">
        <v>3</v>
      </c>
      <c r="E451">
        <v>5000016308</v>
      </c>
      <c r="F451" t="s">
        <v>143</v>
      </c>
      <c r="G451">
        <v>1</v>
      </c>
      <c r="H451" t="s">
        <v>35</v>
      </c>
      <c r="I451" s="10">
        <v>45911</v>
      </c>
      <c r="K451" s="23">
        <v>2980000</v>
      </c>
      <c r="L451" t="s">
        <v>162</v>
      </c>
      <c r="M451" t="s">
        <v>36</v>
      </c>
      <c r="N451" t="s">
        <v>37</v>
      </c>
      <c r="O451" t="s">
        <v>38</v>
      </c>
      <c r="R451" t="s">
        <v>98</v>
      </c>
      <c r="S451" t="s">
        <v>39</v>
      </c>
      <c r="T451">
        <v>0</v>
      </c>
      <c r="U451">
        <v>79708758</v>
      </c>
      <c r="V451">
        <v>0</v>
      </c>
      <c r="W451">
        <v>1</v>
      </c>
      <c r="X451" t="s">
        <v>695</v>
      </c>
      <c r="Y451" s="10">
        <v>45910</v>
      </c>
      <c r="AD451" t="s">
        <v>41</v>
      </c>
      <c r="AX451" t="s">
        <v>164</v>
      </c>
      <c r="AY451" t="s">
        <v>682</v>
      </c>
    </row>
    <row r="452" spans="1:51" x14ac:dyDescent="0.25">
      <c r="A452" t="str">
        <f t="shared" si="27"/>
        <v>5000013080108041522</v>
      </c>
      <c r="B452">
        <v>1</v>
      </c>
      <c r="C452">
        <v>10804152</v>
      </c>
      <c r="D452">
        <v>2</v>
      </c>
      <c r="E452">
        <v>5000013080</v>
      </c>
      <c r="F452" t="s">
        <v>441</v>
      </c>
      <c r="G452">
        <v>1</v>
      </c>
      <c r="H452" t="s">
        <v>35</v>
      </c>
      <c r="I452" s="10">
        <v>45915</v>
      </c>
      <c r="K452" s="23">
        <v>125000</v>
      </c>
      <c r="L452" t="s">
        <v>162</v>
      </c>
      <c r="M452" t="s">
        <v>36</v>
      </c>
      <c r="N452" t="s">
        <v>37</v>
      </c>
      <c r="O452" t="s">
        <v>38</v>
      </c>
      <c r="R452" t="s">
        <v>98</v>
      </c>
      <c r="S452" t="s">
        <v>39</v>
      </c>
      <c r="T452">
        <v>0</v>
      </c>
      <c r="U452">
        <v>79708847</v>
      </c>
      <c r="V452">
        <v>0</v>
      </c>
      <c r="W452">
        <v>1</v>
      </c>
      <c r="X452" t="s">
        <v>163</v>
      </c>
      <c r="Y452" s="10">
        <v>45911</v>
      </c>
      <c r="AD452" t="s">
        <v>41</v>
      </c>
      <c r="AX452" t="s">
        <v>164</v>
      </c>
      <c r="AY452" t="s">
        <v>687</v>
      </c>
    </row>
    <row r="453" spans="1:51" x14ac:dyDescent="0.25">
      <c r="A453" t="str">
        <f t="shared" si="27"/>
        <v>5000014291108018421</v>
      </c>
      <c r="B453">
        <v>4</v>
      </c>
      <c r="C453">
        <v>10801842</v>
      </c>
      <c r="D453">
        <v>1</v>
      </c>
      <c r="E453">
        <v>5000014291</v>
      </c>
      <c r="F453" t="s">
        <v>406</v>
      </c>
      <c r="G453">
        <v>1</v>
      </c>
      <c r="H453" t="s">
        <v>296</v>
      </c>
      <c r="I453" s="10">
        <v>45782</v>
      </c>
      <c r="K453" s="23">
        <v>92500</v>
      </c>
      <c r="L453" t="s">
        <v>162</v>
      </c>
      <c r="M453" t="s">
        <v>36</v>
      </c>
      <c r="N453" t="s">
        <v>37</v>
      </c>
      <c r="O453" t="s">
        <v>38</v>
      </c>
      <c r="R453" t="s">
        <v>98</v>
      </c>
      <c r="S453" t="s">
        <v>39</v>
      </c>
      <c r="T453">
        <v>0</v>
      </c>
      <c r="U453">
        <v>79704089</v>
      </c>
      <c r="V453">
        <v>0</v>
      </c>
      <c r="W453">
        <v>1</v>
      </c>
      <c r="X453" t="s">
        <v>163</v>
      </c>
      <c r="Y453" s="10">
        <v>45782</v>
      </c>
      <c r="AD453" t="s">
        <v>41</v>
      </c>
      <c r="AX453" t="s">
        <v>164</v>
      </c>
      <c r="AY453" t="s">
        <v>466</v>
      </c>
    </row>
    <row r="454" spans="1:51" x14ac:dyDescent="0.25">
      <c r="A454" t="str">
        <f t="shared" si="27"/>
        <v>5000017786108018422</v>
      </c>
      <c r="B454">
        <v>5</v>
      </c>
      <c r="C454">
        <v>10801842</v>
      </c>
      <c r="D454">
        <v>2</v>
      </c>
      <c r="E454">
        <v>5000017786</v>
      </c>
      <c r="F454" t="s">
        <v>433</v>
      </c>
      <c r="G454">
        <v>1</v>
      </c>
      <c r="H454" t="s">
        <v>93</v>
      </c>
      <c r="I454" s="10">
        <v>45782</v>
      </c>
      <c r="K454" s="23">
        <v>59500</v>
      </c>
      <c r="L454" t="s">
        <v>162</v>
      </c>
      <c r="M454" t="s">
        <v>36</v>
      </c>
      <c r="N454" t="s">
        <v>37</v>
      </c>
      <c r="O454" t="s">
        <v>38</v>
      </c>
      <c r="R454" t="s">
        <v>98</v>
      </c>
      <c r="S454" t="s">
        <v>39</v>
      </c>
      <c r="T454">
        <v>0</v>
      </c>
      <c r="U454">
        <v>79704089</v>
      </c>
      <c r="V454">
        <v>0</v>
      </c>
      <c r="W454">
        <v>1</v>
      </c>
      <c r="X454" t="s">
        <v>163</v>
      </c>
      <c r="Y454" s="10">
        <v>45782</v>
      </c>
      <c r="AD454" t="s">
        <v>41</v>
      </c>
      <c r="AX454" t="s">
        <v>164</v>
      </c>
      <c r="AY454" t="s">
        <v>434</v>
      </c>
    </row>
    <row r="455" spans="1:51" x14ac:dyDescent="0.25">
      <c r="A455" t="str">
        <f t="shared" si="27"/>
        <v>5000016255108018425</v>
      </c>
      <c r="B455">
        <v>6</v>
      </c>
      <c r="C455">
        <v>10801842</v>
      </c>
      <c r="D455">
        <v>5</v>
      </c>
      <c r="E455">
        <v>5000016255</v>
      </c>
      <c r="F455" t="s">
        <v>110</v>
      </c>
      <c r="G455">
        <v>1</v>
      </c>
      <c r="H455" t="s">
        <v>93</v>
      </c>
      <c r="I455" s="10">
        <v>45783</v>
      </c>
      <c r="K455" s="23">
        <v>343000</v>
      </c>
      <c r="L455" t="s">
        <v>162</v>
      </c>
      <c r="M455" t="s">
        <v>36</v>
      </c>
      <c r="N455" t="s">
        <v>37</v>
      </c>
      <c r="O455" t="s">
        <v>38</v>
      </c>
      <c r="R455" t="s">
        <v>98</v>
      </c>
      <c r="S455" t="s">
        <v>39</v>
      </c>
      <c r="T455">
        <v>0</v>
      </c>
      <c r="U455">
        <v>79704089</v>
      </c>
      <c r="V455">
        <v>0</v>
      </c>
      <c r="W455">
        <v>1</v>
      </c>
      <c r="X455" t="s">
        <v>163</v>
      </c>
      <c r="Y455" s="10">
        <v>45782</v>
      </c>
      <c r="AD455" t="s">
        <v>41</v>
      </c>
      <c r="AX455" t="s">
        <v>164</v>
      </c>
      <c r="AY455" t="s">
        <v>443</v>
      </c>
    </row>
    <row r="456" spans="1:51" x14ac:dyDescent="0.25">
      <c r="A456" t="str">
        <f t="shared" si="27"/>
        <v>5000008843108018423</v>
      </c>
      <c r="B456">
        <v>2</v>
      </c>
      <c r="C456">
        <v>10801842</v>
      </c>
      <c r="D456">
        <v>3</v>
      </c>
      <c r="E456">
        <v>5000008843</v>
      </c>
      <c r="F456" t="s">
        <v>150</v>
      </c>
      <c r="G456">
        <v>1</v>
      </c>
      <c r="H456" t="s">
        <v>35</v>
      </c>
      <c r="I456" s="10">
        <v>45782</v>
      </c>
      <c r="K456" s="23">
        <v>1025000</v>
      </c>
      <c r="L456" t="s">
        <v>162</v>
      </c>
      <c r="M456" t="s">
        <v>36</v>
      </c>
      <c r="N456" t="s">
        <v>37</v>
      </c>
      <c r="O456" t="s">
        <v>38</v>
      </c>
      <c r="R456" t="s">
        <v>98</v>
      </c>
      <c r="S456" t="s">
        <v>39</v>
      </c>
      <c r="T456">
        <v>0</v>
      </c>
      <c r="U456">
        <v>79704092</v>
      </c>
      <c r="V456">
        <v>0</v>
      </c>
      <c r="W456">
        <v>1</v>
      </c>
      <c r="X456" t="s">
        <v>163</v>
      </c>
      <c r="Y456" s="10">
        <v>45782</v>
      </c>
      <c r="AD456" t="s">
        <v>41</v>
      </c>
      <c r="AX456" t="s">
        <v>164</v>
      </c>
      <c r="AY456" t="s">
        <v>440</v>
      </c>
    </row>
    <row r="457" spans="1:51" x14ac:dyDescent="0.25">
      <c r="A457" t="str">
        <f t="shared" si="27"/>
        <v>5000017082108033621</v>
      </c>
      <c r="B457">
        <v>1</v>
      </c>
      <c r="C457">
        <v>10803362</v>
      </c>
      <c r="D457">
        <v>1</v>
      </c>
      <c r="E457">
        <v>5000017082</v>
      </c>
      <c r="F457" t="s">
        <v>609</v>
      </c>
      <c r="G457">
        <v>1</v>
      </c>
      <c r="H457" t="s">
        <v>35</v>
      </c>
      <c r="I457" s="10">
        <v>45867</v>
      </c>
      <c r="K457" s="23">
        <v>2072072.1</v>
      </c>
      <c r="L457" t="s">
        <v>162</v>
      </c>
      <c r="M457" t="s">
        <v>36</v>
      </c>
      <c r="N457" t="s">
        <v>37</v>
      </c>
      <c r="O457" t="s">
        <v>38</v>
      </c>
      <c r="R457" t="s">
        <v>98</v>
      </c>
      <c r="S457" t="s">
        <v>39</v>
      </c>
      <c r="T457">
        <v>0</v>
      </c>
      <c r="U457">
        <v>79707003</v>
      </c>
      <c r="V457">
        <v>0</v>
      </c>
      <c r="W457">
        <v>1</v>
      </c>
      <c r="X457" t="s">
        <v>163</v>
      </c>
      <c r="Y457" s="10">
        <v>45862</v>
      </c>
      <c r="AD457" t="s">
        <v>41</v>
      </c>
      <c r="AX457" t="s">
        <v>164</v>
      </c>
      <c r="AY457" t="s">
        <v>613</v>
      </c>
    </row>
    <row r="458" spans="1:51" x14ac:dyDescent="0.25">
      <c r="A458" t="str">
        <f t="shared" si="27"/>
        <v>5000017856108039334</v>
      </c>
      <c r="B458">
        <v>1</v>
      </c>
      <c r="C458">
        <v>10803933</v>
      </c>
      <c r="D458">
        <v>4</v>
      </c>
      <c r="E458">
        <v>5000017856</v>
      </c>
      <c r="F458" t="s">
        <v>566</v>
      </c>
      <c r="G458">
        <v>1</v>
      </c>
      <c r="H458" t="s">
        <v>35</v>
      </c>
      <c r="I458" s="10">
        <v>45902</v>
      </c>
      <c r="K458" s="23">
        <v>11261261.300000001</v>
      </c>
      <c r="L458" t="s">
        <v>162</v>
      </c>
      <c r="M458" t="s">
        <v>36</v>
      </c>
      <c r="N458" t="s">
        <v>37</v>
      </c>
      <c r="O458" t="s">
        <v>38</v>
      </c>
      <c r="R458" t="s">
        <v>98</v>
      </c>
      <c r="S458" t="s">
        <v>39</v>
      </c>
      <c r="T458">
        <v>0</v>
      </c>
      <c r="U458">
        <v>79708290</v>
      </c>
      <c r="V458">
        <v>0</v>
      </c>
      <c r="W458">
        <v>1</v>
      </c>
      <c r="X458" t="s">
        <v>163</v>
      </c>
      <c r="Y458" s="10">
        <v>45897</v>
      </c>
      <c r="Z458" t="s">
        <v>163</v>
      </c>
      <c r="AA458" s="25">
        <v>45898</v>
      </c>
      <c r="AD458" t="s">
        <v>41</v>
      </c>
      <c r="AX458" t="s">
        <v>164</v>
      </c>
      <c r="AY458" t="s">
        <v>669</v>
      </c>
    </row>
    <row r="459" spans="1:51" x14ac:dyDescent="0.25">
      <c r="A459" t="str">
        <f t="shared" si="27"/>
        <v>5000011960108039335</v>
      </c>
      <c r="B459">
        <v>2</v>
      </c>
      <c r="C459">
        <v>10803933</v>
      </c>
      <c r="D459">
        <v>5</v>
      </c>
      <c r="E459">
        <v>5000011960</v>
      </c>
      <c r="F459" t="s">
        <v>478</v>
      </c>
      <c r="G459">
        <v>1</v>
      </c>
      <c r="H459" t="s">
        <v>93</v>
      </c>
      <c r="I459" s="10">
        <v>45902</v>
      </c>
      <c r="K459" s="23">
        <v>1621621.7</v>
      </c>
      <c r="L459" t="s">
        <v>162</v>
      </c>
      <c r="M459" t="s">
        <v>36</v>
      </c>
      <c r="N459" t="s">
        <v>37</v>
      </c>
      <c r="O459" t="s">
        <v>38</v>
      </c>
      <c r="R459" t="s">
        <v>98</v>
      </c>
      <c r="S459" t="s">
        <v>39</v>
      </c>
      <c r="T459">
        <v>0</v>
      </c>
      <c r="U459">
        <v>79708290</v>
      </c>
      <c r="V459">
        <v>0</v>
      </c>
      <c r="W459">
        <v>1</v>
      </c>
      <c r="X459" t="s">
        <v>163</v>
      </c>
      <c r="Y459" s="10">
        <v>45897</v>
      </c>
      <c r="Z459" t="s">
        <v>163</v>
      </c>
      <c r="AA459" s="25">
        <v>45898</v>
      </c>
      <c r="AD459" t="s">
        <v>41</v>
      </c>
      <c r="AX459" t="s">
        <v>164</v>
      </c>
      <c r="AY459" t="s">
        <v>670</v>
      </c>
    </row>
    <row r="460" spans="1:51" x14ac:dyDescent="0.25">
      <c r="A460" t="str">
        <f t="shared" si="27"/>
        <v>5000014291108039336</v>
      </c>
      <c r="B460">
        <v>4</v>
      </c>
      <c r="C460">
        <v>10803933</v>
      </c>
      <c r="D460">
        <v>6</v>
      </c>
      <c r="E460">
        <v>5000014291</v>
      </c>
      <c r="F460" t="s">
        <v>406</v>
      </c>
      <c r="G460">
        <v>1</v>
      </c>
      <c r="H460" t="s">
        <v>296</v>
      </c>
      <c r="I460" s="10">
        <v>45902</v>
      </c>
      <c r="K460" s="23">
        <v>92500</v>
      </c>
      <c r="L460" t="s">
        <v>162</v>
      </c>
      <c r="M460" t="s">
        <v>36</v>
      </c>
      <c r="N460" t="s">
        <v>37</v>
      </c>
      <c r="O460" t="s">
        <v>38</v>
      </c>
      <c r="R460" t="s">
        <v>98</v>
      </c>
      <c r="S460" t="s">
        <v>39</v>
      </c>
      <c r="T460">
        <v>0</v>
      </c>
      <c r="U460">
        <v>79708291</v>
      </c>
      <c r="V460">
        <v>0</v>
      </c>
      <c r="W460">
        <v>1</v>
      </c>
      <c r="X460" t="s">
        <v>163</v>
      </c>
      <c r="Y460" s="10">
        <v>45897</v>
      </c>
      <c r="AD460" t="s">
        <v>41</v>
      </c>
      <c r="AX460" t="s">
        <v>164</v>
      </c>
      <c r="AY460" t="s">
        <v>655</v>
      </c>
    </row>
    <row r="461" spans="1:51" x14ac:dyDescent="0.25">
      <c r="A461" t="str">
        <f t="shared" si="27"/>
        <v>5000017216108039331</v>
      </c>
      <c r="B461">
        <v>1</v>
      </c>
      <c r="C461">
        <v>10803933</v>
      </c>
      <c r="D461">
        <v>1</v>
      </c>
      <c r="E461">
        <v>5000017216</v>
      </c>
      <c r="F461" t="s">
        <v>183</v>
      </c>
      <c r="G461">
        <v>1</v>
      </c>
      <c r="H461" t="s">
        <v>35</v>
      </c>
      <c r="I461" s="10">
        <v>45902</v>
      </c>
      <c r="K461" s="23">
        <v>1120000</v>
      </c>
      <c r="L461" t="s">
        <v>162</v>
      </c>
      <c r="M461" t="s">
        <v>36</v>
      </c>
      <c r="N461" t="s">
        <v>37</v>
      </c>
      <c r="O461" t="s">
        <v>38</v>
      </c>
      <c r="R461" t="s">
        <v>98</v>
      </c>
      <c r="S461" t="s">
        <v>39</v>
      </c>
      <c r="T461">
        <v>0</v>
      </c>
      <c r="U461">
        <v>79708292</v>
      </c>
      <c r="V461">
        <v>0</v>
      </c>
      <c r="W461">
        <v>1</v>
      </c>
      <c r="X461" t="s">
        <v>163</v>
      </c>
      <c r="Y461" s="10">
        <v>45897</v>
      </c>
      <c r="AD461" t="s">
        <v>41</v>
      </c>
      <c r="AX461" t="s">
        <v>164</v>
      </c>
      <c r="AY461" t="s">
        <v>653</v>
      </c>
    </row>
    <row r="462" spans="1:51" x14ac:dyDescent="0.25">
      <c r="A462" t="str">
        <f t="shared" si="27"/>
        <v>5000012006108039332</v>
      </c>
      <c r="B462">
        <v>2</v>
      </c>
      <c r="C462">
        <v>10803933</v>
      </c>
      <c r="D462">
        <v>2</v>
      </c>
      <c r="E462">
        <v>5000012006</v>
      </c>
      <c r="F462" t="s">
        <v>328</v>
      </c>
      <c r="G462">
        <v>1</v>
      </c>
      <c r="H462" t="s">
        <v>35</v>
      </c>
      <c r="I462" s="10">
        <v>45902</v>
      </c>
      <c r="K462" s="23">
        <v>1750000</v>
      </c>
      <c r="L462" t="s">
        <v>162</v>
      </c>
      <c r="M462" t="s">
        <v>36</v>
      </c>
      <c r="N462" t="s">
        <v>37</v>
      </c>
      <c r="O462" t="s">
        <v>38</v>
      </c>
      <c r="R462" t="s">
        <v>98</v>
      </c>
      <c r="S462" t="s">
        <v>39</v>
      </c>
      <c r="T462">
        <v>0</v>
      </c>
      <c r="U462">
        <v>79708292</v>
      </c>
      <c r="V462">
        <v>0</v>
      </c>
      <c r="W462">
        <v>1</v>
      </c>
      <c r="X462" t="s">
        <v>163</v>
      </c>
      <c r="Y462" s="10">
        <v>45897</v>
      </c>
      <c r="AD462" t="s">
        <v>41</v>
      </c>
      <c r="AX462" t="s">
        <v>164</v>
      </c>
      <c r="AY462" t="s">
        <v>654</v>
      </c>
    </row>
    <row r="463" spans="1:51" x14ac:dyDescent="0.25">
      <c r="A463" t="str">
        <f t="shared" si="27"/>
        <v>5000015861108043346</v>
      </c>
      <c r="B463">
        <v>1</v>
      </c>
      <c r="C463">
        <v>10804334</v>
      </c>
      <c r="D463">
        <v>6</v>
      </c>
      <c r="E463">
        <v>5000015861</v>
      </c>
      <c r="F463" t="s">
        <v>174</v>
      </c>
      <c r="G463">
        <v>2</v>
      </c>
      <c r="H463" t="s">
        <v>35</v>
      </c>
      <c r="I463" s="10">
        <v>45925</v>
      </c>
      <c r="K463" s="23">
        <v>1000000</v>
      </c>
      <c r="L463" t="s">
        <v>162</v>
      </c>
      <c r="M463" t="s">
        <v>36</v>
      </c>
      <c r="N463" t="s">
        <v>37</v>
      </c>
      <c r="O463" t="s">
        <v>38</v>
      </c>
      <c r="R463" t="s">
        <v>98</v>
      </c>
      <c r="S463" t="s">
        <v>39</v>
      </c>
      <c r="T463">
        <v>0</v>
      </c>
      <c r="U463">
        <v>79709233</v>
      </c>
      <c r="V463">
        <v>2</v>
      </c>
      <c r="W463">
        <v>0</v>
      </c>
      <c r="X463" t="s">
        <v>163</v>
      </c>
      <c r="Y463" s="10">
        <v>45922</v>
      </c>
      <c r="AD463" t="s">
        <v>41</v>
      </c>
      <c r="AY463" t="s">
        <v>701</v>
      </c>
    </row>
    <row r="464" spans="1:51" x14ac:dyDescent="0.25">
      <c r="A464" t="str">
        <f t="shared" si="27"/>
        <v>5000015000108043347</v>
      </c>
      <c r="B464">
        <v>2</v>
      </c>
      <c r="C464">
        <v>10804334</v>
      </c>
      <c r="D464">
        <v>7</v>
      </c>
      <c r="E464">
        <v>5000015000</v>
      </c>
      <c r="F464" t="s">
        <v>176</v>
      </c>
      <c r="G464">
        <v>2</v>
      </c>
      <c r="H464" t="s">
        <v>35</v>
      </c>
      <c r="I464" s="10">
        <v>45925</v>
      </c>
      <c r="K464" s="23">
        <v>350000</v>
      </c>
      <c r="L464" t="s">
        <v>162</v>
      </c>
      <c r="M464" t="s">
        <v>36</v>
      </c>
      <c r="N464" t="s">
        <v>37</v>
      </c>
      <c r="O464" t="s">
        <v>38</v>
      </c>
      <c r="R464" t="s">
        <v>98</v>
      </c>
      <c r="S464" t="s">
        <v>39</v>
      </c>
      <c r="T464">
        <v>0</v>
      </c>
      <c r="U464">
        <v>79709233</v>
      </c>
      <c r="V464">
        <v>2</v>
      </c>
      <c r="W464">
        <v>0</v>
      </c>
      <c r="X464" t="s">
        <v>163</v>
      </c>
      <c r="Y464" s="10">
        <v>45922</v>
      </c>
      <c r="AD464" t="s">
        <v>41</v>
      </c>
      <c r="AY464" t="s">
        <v>702</v>
      </c>
    </row>
    <row r="465" spans="1:51" x14ac:dyDescent="0.25">
      <c r="A465" t="str">
        <f t="shared" si="27"/>
        <v>5000000739108043581</v>
      </c>
      <c r="B465">
        <v>1</v>
      </c>
      <c r="C465">
        <v>10804358</v>
      </c>
      <c r="D465">
        <v>1</v>
      </c>
      <c r="E465">
        <v>5000000739</v>
      </c>
      <c r="F465" t="s">
        <v>261</v>
      </c>
      <c r="G465">
        <v>2</v>
      </c>
      <c r="H465" t="s">
        <v>262</v>
      </c>
      <c r="I465" s="10">
        <v>45926</v>
      </c>
      <c r="K465" s="23">
        <v>2072072.1</v>
      </c>
      <c r="L465" t="s">
        <v>162</v>
      </c>
      <c r="M465" t="s">
        <v>36</v>
      </c>
      <c r="N465" t="s">
        <v>37</v>
      </c>
      <c r="O465" t="s">
        <v>38</v>
      </c>
      <c r="R465" t="s">
        <v>98</v>
      </c>
      <c r="S465" t="s">
        <v>39</v>
      </c>
      <c r="T465">
        <v>0</v>
      </c>
      <c r="U465">
        <v>79709234</v>
      </c>
      <c r="V465">
        <v>2</v>
      </c>
      <c r="W465">
        <v>0</v>
      </c>
      <c r="X465" t="s">
        <v>163</v>
      </c>
      <c r="Y465" s="10">
        <v>45922</v>
      </c>
      <c r="AD465" t="s">
        <v>41</v>
      </c>
      <c r="AY465" t="s">
        <v>722</v>
      </c>
    </row>
    <row r="466" spans="1:51" x14ac:dyDescent="0.25">
      <c r="A466" t="str">
        <f t="shared" si="27"/>
        <v>5000016931108043231</v>
      </c>
      <c r="B466">
        <v>1</v>
      </c>
      <c r="C466">
        <v>10804323</v>
      </c>
      <c r="D466">
        <v>1</v>
      </c>
      <c r="E466">
        <v>5000016931</v>
      </c>
      <c r="F466" t="s">
        <v>693</v>
      </c>
      <c r="G466">
        <v>1</v>
      </c>
      <c r="H466" t="s">
        <v>93</v>
      </c>
      <c r="I466" s="10">
        <v>45924</v>
      </c>
      <c r="K466" s="23">
        <v>150000</v>
      </c>
      <c r="L466" t="s">
        <v>162</v>
      </c>
      <c r="M466" t="s">
        <v>36</v>
      </c>
      <c r="N466" t="s">
        <v>37</v>
      </c>
      <c r="O466" t="s">
        <v>38</v>
      </c>
      <c r="R466" t="s">
        <v>98</v>
      </c>
      <c r="S466" t="s">
        <v>39</v>
      </c>
      <c r="T466">
        <v>0</v>
      </c>
      <c r="U466">
        <v>79709237</v>
      </c>
      <c r="V466">
        <v>1</v>
      </c>
      <c r="W466">
        <v>0</v>
      </c>
      <c r="X466" t="s">
        <v>163</v>
      </c>
      <c r="Y466" s="10">
        <v>45922</v>
      </c>
      <c r="AD466" t="s">
        <v>41</v>
      </c>
      <c r="AY466" t="s">
        <v>694</v>
      </c>
    </row>
    <row r="467" spans="1:51" x14ac:dyDescent="0.25">
      <c r="A467" t="str">
        <f t="shared" si="27"/>
        <v>5000016308108043342</v>
      </c>
      <c r="B467">
        <v>2</v>
      </c>
      <c r="C467">
        <v>10804334</v>
      </c>
      <c r="D467">
        <v>2</v>
      </c>
      <c r="E467">
        <v>5000016308</v>
      </c>
      <c r="F467" t="s">
        <v>143</v>
      </c>
      <c r="G467">
        <v>2</v>
      </c>
      <c r="H467" t="s">
        <v>35</v>
      </c>
      <c r="I467" s="10">
        <v>45925</v>
      </c>
      <c r="K467" s="23">
        <v>2980000</v>
      </c>
      <c r="L467" t="s">
        <v>162</v>
      </c>
      <c r="M467" t="s">
        <v>36</v>
      </c>
      <c r="N467" t="s">
        <v>37</v>
      </c>
      <c r="O467" t="s">
        <v>38</v>
      </c>
      <c r="R467" t="s">
        <v>98</v>
      </c>
      <c r="S467" t="s">
        <v>39</v>
      </c>
      <c r="T467">
        <v>0</v>
      </c>
      <c r="U467">
        <v>79709237</v>
      </c>
      <c r="V467">
        <v>2</v>
      </c>
      <c r="W467">
        <v>0</v>
      </c>
      <c r="X467" t="s">
        <v>163</v>
      </c>
      <c r="Y467" s="10">
        <v>45922</v>
      </c>
      <c r="AD467" t="s">
        <v>41</v>
      </c>
      <c r="AY467" t="s">
        <v>723</v>
      </c>
    </row>
    <row r="468" spans="1:51" x14ac:dyDescent="0.25">
      <c r="A468" t="str">
        <f t="shared" si="27"/>
        <v>5000017216108043341</v>
      </c>
      <c r="B468">
        <v>1</v>
      </c>
      <c r="C468">
        <v>10804334</v>
      </c>
      <c r="D468">
        <v>1</v>
      </c>
      <c r="E468">
        <v>5000017216</v>
      </c>
      <c r="F468" t="s">
        <v>183</v>
      </c>
      <c r="G468">
        <v>2</v>
      </c>
      <c r="H468" t="s">
        <v>35</v>
      </c>
      <c r="I468" s="10">
        <v>45925</v>
      </c>
      <c r="K468" s="23">
        <v>1120000</v>
      </c>
      <c r="L468" t="s">
        <v>162</v>
      </c>
      <c r="M468" t="s">
        <v>36</v>
      </c>
      <c r="N468" t="s">
        <v>37</v>
      </c>
      <c r="O468" t="s">
        <v>38</v>
      </c>
      <c r="R468" t="s">
        <v>98</v>
      </c>
      <c r="S468" t="s">
        <v>39</v>
      </c>
      <c r="T468">
        <v>0</v>
      </c>
      <c r="U468">
        <v>79709254</v>
      </c>
      <c r="V468">
        <v>2</v>
      </c>
      <c r="W468">
        <v>0</v>
      </c>
      <c r="X468" t="s">
        <v>163</v>
      </c>
      <c r="Y468" s="10">
        <v>45922</v>
      </c>
      <c r="AD468" t="s">
        <v>41</v>
      </c>
      <c r="AY468" t="s">
        <v>696</v>
      </c>
    </row>
    <row r="469" spans="1:51" x14ac:dyDescent="0.25">
      <c r="A469" t="str">
        <f t="shared" si="27"/>
        <v>5000005059108043343</v>
      </c>
      <c r="B469">
        <v>2</v>
      </c>
      <c r="C469">
        <v>10804334</v>
      </c>
      <c r="D469">
        <v>3</v>
      </c>
      <c r="E469">
        <v>5000005059</v>
      </c>
      <c r="F469" t="s">
        <v>153</v>
      </c>
      <c r="G469">
        <v>2</v>
      </c>
      <c r="H469" t="s">
        <v>93</v>
      </c>
      <c r="I469" s="10">
        <v>45925</v>
      </c>
      <c r="K469" s="23">
        <v>95000</v>
      </c>
      <c r="L469" t="s">
        <v>162</v>
      </c>
      <c r="M469" t="s">
        <v>36</v>
      </c>
      <c r="N469" t="s">
        <v>37</v>
      </c>
      <c r="O469" t="s">
        <v>38</v>
      </c>
      <c r="R469" t="s">
        <v>98</v>
      </c>
      <c r="S469" t="s">
        <v>39</v>
      </c>
      <c r="T469">
        <v>0</v>
      </c>
      <c r="U469">
        <v>79709254</v>
      </c>
      <c r="V469">
        <v>2</v>
      </c>
      <c r="W469">
        <v>0</v>
      </c>
      <c r="X469" t="s">
        <v>163</v>
      </c>
      <c r="Y469" s="10">
        <v>45922</v>
      </c>
      <c r="AD469" t="s">
        <v>41</v>
      </c>
      <c r="AY469" t="s">
        <v>698</v>
      </c>
    </row>
    <row r="470" spans="1:51" x14ac:dyDescent="0.25">
      <c r="A470" t="str">
        <f t="shared" si="27"/>
        <v>5000004248108043344</v>
      </c>
      <c r="B470">
        <v>3</v>
      </c>
      <c r="C470">
        <v>10804334</v>
      </c>
      <c r="D470">
        <v>4</v>
      </c>
      <c r="E470">
        <v>5000004248</v>
      </c>
      <c r="F470" t="s">
        <v>155</v>
      </c>
      <c r="G470">
        <v>2</v>
      </c>
      <c r="H470" t="s">
        <v>93</v>
      </c>
      <c r="I470" s="10">
        <v>45925</v>
      </c>
      <c r="K470" s="23">
        <v>65000</v>
      </c>
      <c r="L470" t="s">
        <v>162</v>
      </c>
      <c r="M470" t="s">
        <v>36</v>
      </c>
      <c r="N470" t="s">
        <v>37</v>
      </c>
      <c r="O470" t="s">
        <v>38</v>
      </c>
      <c r="R470" t="s">
        <v>98</v>
      </c>
      <c r="S470" t="s">
        <v>39</v>
      </c>
      <c r="T470">
        <v>0</v>
      </c>
      <c r="U470">
        <v>79709254</v>
      </c>
      <c r="V470">
        <v>2</v>
      </c>
      <c r="W470">
        <v>0</v>
      </c>
      <c r="X470" t="s">
        <v>163</v>
      </c>
      <c r="Y470" s="10">
        <v>45922</v>
      </c>
      <c r="AD470" t="s">
        <v>41</v>
      </c>
      <c r="AY470" t="s">
        <v>699</v>
      </c>
    </row>
    <row r="471" spans="1:51" x14ac:dyDescent="0.25">
      <c r="A471" t="str">
        <f t="shared" si="27"/>
        <v>5000012021108043345</v>
      </c>
      <c r="B471">
        <v>4</v>
      </c>
      <c r="C471">
        <v>10804334</v>
      </c>
      <c r="D471">
        <v>5</v>
      </c>
      <c r="E471">
        <v>5000012021</v>
      </c>
      <c r="F471" t="s">
        <v>188</v>
      </c>
      <c r="G471">
        <v>2</v>
      </c>
      <c r="H471" t="s">
        <v>93</v>
      </c>
      <c r="I471" s="10">
        <v>45925</v>
      </c>
      <c r="K471" s="23">
        <v>30000</v>
      </c>
      <c r="L471" t="s">
        <v>162</v>
      </c>
      <c r="M471" t="s">
        <v>36</v>
      </c>
      <c r="N471" t="s">
        <v>37</v>
      </c>
      <c r="O471" t="s">
        <v>38</v>
      </c>
      <c r="R471" t="s">
        <v>98</v>
      </c>
      <c r="S471" t="s">
        <v>39</v>
      </c>
      <c r="T471">
        <v>0</v>
      </c>
      <c r="U471">
        <v>79709254</v>
      </c>
      <c r="V471">
        <v>2</v>
      </c>
      <c r="W471">
        <v>0</v>
      </c>
      <c r="X471" t="s">
        <v>163</v>
      </c>
      <c r="Y471" s="10">
        <v>45922</v>
      </c>
      <c r="AD471" t="s">
        <v>41</v>
      </c>
      <c r="AY471" t="s">
        <v>700</v>
      </c>
    </row>
    <row r="472" spans="1:51" x14ac:dyDescent="0.25">
      <c r="A472" t="str">
        <f t="shared" si="27"/>
        <v>5000017216108043951</v>
      </c>
      <c r="B472">
        <v>1</v>
      </c>
      <c r="C472">
        <v>10804395</v>
      </c>
      <c r="D472">
        <v>1</v>
      </c>
      <c r="E472">
        <v>5000017216</v>
      </c>
      <c r="F472" t="s">
        <v>183</v>
      </c>
      <c r="G472">
        <v>2</v>
      </c>
      <c r="H472" t="s">
        <v>35</v>
      </c>
      <c r="I472" s="10">
        <v>45929</v>
      </c>
      <c r="K472" s="23">
        <v>1120000</v>
      </c>
      <c r="L472" t="s">
        <v>162</v>
      </c>
      <c r="M472" t="s">
        <v>36</v>
      </c>
      <c r="N472" t="s">
        <v>37</v>
      </c>
      <c r="O472" t="s">
        <v>38</v>
      </c>
      <c r="R472" t="s">
        <v>98</v>
      </c>
      <c r="S472" t="s">
        <v>39</v>
      </c>
      <c r="T472">
        <v>0</v>
      </c>
      <c r="U472">
        <v>79709304</v>
      </c>
      <c r="V472">
        <v>2</v>
      </c>
      <c r="W472">
        <v>0</v>
      </c>
      <c r="X472" t="s">
        <v>163</v>
      </c>
      <c r="Y472" s="10">
        <v>45923</v>
      </c>
      <c r="AD472" t="s">
        <v>41</v>
      </c>
      <c r="AY472" t="s">
        <v>704</v>
      </c>
    </row>
    <row r="473" spans="1:51" x14ac:dyDescent="0.25">
      <c r="A473" t="str">
        <f t="shared" si="27"/>
        <v>5000005059108043953</v>
      </c>
      <c r="B473">
        <v>2</v>
      </c>
      <c r="C473">
        <v>10804395</v>
      </c>
      <c r="D473">
        <v>3</v>
      </c>
      <c r="E473">
        <v>5000005059</v>
      </c>
      <c r="F473" t="s">
        <v>153</v>
      </c>
      <c r="G473">
        <v>4</v>
      </c>
      <c r="H473" t="s">
        <v>93</v>
      </c>
      <c r="I473" s="10">
        <v>45929</v>
      </c>
      <c r="K473" s="23">
        <v>95000</v>
      </c>
      <c r="L473" t="s">
        <v>162</v>
      </c>
      <c r="M473" t="s">
        <v>36</v>
      </c>
      <c r="N473" t="s">
        <v>37</v>
      </c>
      <c r="O473" t="s">
        <v>38</v>
      </c>
      <c r="R473" t="s">
        <v>98</v>
      </c>
      <c r="S473" t="s">
        <v>39</v>
      </c>
      <c r="T473">
        <v>0</v>
      </c>
      <c r="U473">
        <v>79709304</v>
      </c>
      <c r="V473">
        <v>4</v>
      </c>
      <c r="W473">
        <v>0</v>
      </c>
      <c r="X473" t="s">
        <v>163</v>
      </c>
      <c r="Y473" s="10">
        <v>45923</v>
      </c>
      <c r="AD473" t="s">
        <v>41</v>
      </c>
      <c r="AY473" t="s">
        <v>706</v>
      </c>
    </row>
    <row r="474" spans="1:51" x14ac:dyDescent="0.25">
      <c r="A474" t="str">
        <f t="shared" si="27"/>
        <v>5000004248108043954</v>
      </c>
      <c r="B474">
        <v>3</v>
      </c>
      <c r="C474">
        <v>10804395</v>
      </c>
      <c r="D474">
        <v>4</v>
      </c>
      <c r="E474">
        <v>5000004248</v>
      </c>
      <c r="F474" t="s">
        <v>155</v>
      </c>
      <c r="G474">
        <v>4</v>
      </c>
      <c r="H474" t="s">
        <v>93</v>
      </c>
      <c r="I474" s="10">
        <v>45929</v>
      </c>
      <c r="K474" s="23">
        <v>65000</v>
      </c>
      <c r="L474" t="s">
        <v>162</v>
      </c>
      <c r="M474" t="s">
        <v>36</v>
      </c>
      <c r="N474" t="s">
        <v>37</v>
      </c>
      <c r="O474" t="s">
        <v>38</v>
      </c>
      <c r="R474" t="s">
        <v>98</v>
      </c>
      <c r="S474" t="s">
        <v>39</v>
      </c>
      <c r="T474">
        <v>0</v>
      </c>
      <c r="U474">
        <v>79709304</v>
      </c>
      <c r="V474">
        <v>4</v>
      </c>
      <c r="W474">
        <v>0</v>
      </c>
      <c r="X474" t="s">
        <v>163</v>
      </c>
      <c r="Y474" s="10">
        <v>45923</v>
      </c>
      <c r="AD474" t="s">
        <v>41</v>
      </c>
      <c r="AY474" t="s">
        <v>707</v>
      </c>
    </row>
    <row r="475" spans="1:51" x14ac:dyDescent="0.25">
      <c r="A475" t="str">
        <f t="shared" si="27"/>
        <v>5000012021108043955</v>
      </c>
      <c r="B475">
        <v>4</v>
      </c>
      <c r="C475">
        <v>10804395</v>
      </c>
      <c r="D475">
        <v>5</v>
      </c>
      <c r="E475">
        <v>5000012021</v>
      </c>
      <c r="F475" t="s">
        <v>188</v>
      </c>
      <c r="G475">
        <v>1</v>
      </c>
      <c r="H475" t="s">
        <v>93</v>
      </c>
      <c r="I475" s="10">
        <v>45929</v>
      </c>
      <c r="K475" s="23">
        <v>30000</v>
      </c>
      <c r="L475" t="s">
        <v>162</v>
      </c>
      <c r="M475" t="s">
        <v>36</v>
      </c>
      <c r="N475" t="s">
        <v>37</v>
      </c>
      <c r="O475" t="s">
        <v>38</v>
      </c>
      <c r="R475" t="s">
        <v>98</v>
      </c>
      <c r="S475" t="s">
        <v>39</v>
      </c>
      <c r="T475">
        <v>0</v>
      </c>
      <c r="U475">
        <v>79709304</v>
      </c>
      <c r="V475">
        <v>1</v>
      </c>
      <c r="W475">
        <v>0</v>
      </c>
      <c r="X475" t="s">
        <v>163</v>
      </c>
      <c r="Y475" s="10">
        <v>45923</v>
      </c>
      <c r="AD475" t="s">
        <v>41</v>
      </c>
      <c r="AY475" t="s">
        <v>708</v>
      </c>
    </row>
    <row r="476" spans="1:51" x14ac:dyDescent="0.25">
      <c r="A476" t="str">
        <f t="shared" si="27"/>
        <v>5000005512108043956</v>
      </c>
      <c r="B476">
        <v>5</v>
      </c>
      <c r="C476">
        <v>10804395</v>
      </c>
      <c r="D476">
        <v>6</v>
      </c>
      <c r="E476">
        <v>5000005512</v>
      </c>
      <c r="F476" t="s">
        <v>709</v>
      </c>
      <c r="G476">
        <v>5</v>
      </c>
      <c r="H476" t="s">
        <v>35</v>
      </c>
      <c r="I476" s="10">
        <v>45929</v>
      </c>
      <c r="K476" s="23">
        <v>20000</v>
      </c>
      <c r="L476" t="s">
        <v>162</v>
      </c>
      <c r="M476" t="s">
        <v>36</v>
      </c>
      <c r="N476" t="s">
        <v>37</v>
      </c>
      <c r="O476" t="s">
        <v>38</v>
      </c>
      <c r="R476" t="s">
        <v>98</v>
      </c>
      <c r="S476" t="s">
        <v>39</v>
      </c>
      <c r="T476">
        <v>0</v>
      </c>
      <c r="U476">
        <v>79709304</v>
      </c>
      <c r="V476">
        <v>5</v>
      </c>
      <c r="W476">
        <v>0</v>
      </c>
      <c r="X476" t="s">
        <v>163</v>
      </c>
      <c r="Y476" s="10">
        <v>45923</v>
      </c>
      <c r="AD476" t="s">
        <v>41</v>
      </c>
      <c r="AY476" t="s">
        <v>710</v>
      </c>
    </row>
    <row r="477" spans="1:51" x14ac:dyDescent="0.25">
      <c r="A477" t="str">
        <f t="shared" si="27"/>
        <v>5000016308108043952</v>
      </c>
      <c r="B477">
        <v>1</v>
      </c>
      <c r="C477">
        <v>10804395</v>
      </c>
      <c r="D477">
        <v>2</v>
      </c>
      <c r="E477">
        <v>5000016308</v>
      </c>
      <c r="F477" t="s">
        <v>143</v>
      </c>
      <c r="G477">
        <v>1</v>
      </c>
      <c r="H477" t="s">
        <v>35</v>
      </c>
      <c r="I477" s="10">
        <v>45929</v>
      </c>
      <c r="K477" s="23">
        <v>2980000</v>
      </c>
      <c r="L477" t="s">
        <v>162</v>
      </c>
      <c r="M477" t="s">
        <v>36</v>
      </c>
      <c r="N477" t="s">
        <v>37</v>
      </c>
      <c r="O477" t="s">
        <v>38</v>
      </c>
      <c r="R477" t="s">
        <v>98</v>
      </c>
      <c r="S477" t="s">
        <v>39</v>
      </c>
      <c r="T477">
        <v>0</v>
      </c>
      <c r="U477">
        <v>79709305</v>
      </c>
      <c r="V477">
        <v>1</v>
      </c>
      <c r="W477">
        <v>0</v>
      </c>
      <c r="X477" t="s">
        <v>163</v>
      </c>
      <c r="Y477" s="10">
        <v>45923</v>
      </c>
      <c r="AD477" t="s">
        <v>41</v>
      </c>
      <c r="AY477" t="s">
        <v>724</v>
      </c>
    </row>
    <row r="478" spans="1:51" x14ac:dyDescent="0.25">
      <c r="A478" t="str">
        <f t="shared" si="27"/>
        <v>5000014291108018421</v>
      </c>
      <c r="B478">
        <v>4</v>
      </c>
      <c r="C478">
        <v>10801842</v>
      </c>
      <c r="D478">
        <v>1</v>
      </c>
      <c r="E478">
        <v>5000014291</v>
      </c>
      <c r="F478" t="s">
        <v>406</v>
      </c>
      <c r="G478">
        <v>1</v>
      </c>
      <c r="H478" t="s">
        <v>296</v>
      </c>
      <c r="I478" s="10">
        <v>45782</v>
      </c>
      <c r="K478" s="23">
        <v>92500</v>
      </c>
      <c r="L478" t="s">
        <v>162</v>
      </c>
      <c r="M478" t="s">
        <v>36</v>
      </c>
      <c r="N478" t="s">
        <v>37</v>
      </c>
      <c r="O478" t="s">
        <v>38</v>
      </c>
      <c r="R478" t="s">
        <v>98</v>
      </c>
      <c r="S478" t="s">
        <v>39</v>
      </c>
      <c r="T478">
        <v>0</v>
      </c>
      <c r="U478">
        <v>79704089</v>
      </c>
      <c r="V478">
        <v>0</v>
      </c>
      <c r="W478">
        <v>1</v>
      </c>
      <c r="X478" t="s">
        <v>163</v>
      </c>
      <c r="Y478" s="10">
        <v>45782</v>
      </c>
      <c r="AD478" t="s">
        <v>41</v>
      </c>
      <c r="AX478" t="s">
        <v>164</v>
      </c>
      <c r="AY478" t="s">
        <v>466</v>
      </c>
    </row>
    <row r="479" spans="1:51" x14ac:dyDescent="0.25">
      <c r="A479" t="str">
        <f t="shared" si="27"/>
        <v>5000017786108018422</v>
      </c>
      <c r="B479">
        <v>5</v>
      </c>
      <c r="C479">
        <v>10801842</v>
      </c>
      <c r="D479">
        <v>2</v>
      </c>
      <c r="E479">
        <v>5000017786</v>
      </c>
      <c r="F479" t="s">
        <v>433</v>
      </c>
      <c r="G479">
        <v>1</v>
      </c>
      <c r="H479" t="s">
        <v>93</v>
      </c>
      <c r="I479" s="10">
        <v>45782</v>
      </c>
      <c r="K479" s="23">
        <v>59500</v>
      </c>
      <c r="L479" t="s">
        <v>162</v>
      </c>
      <c r="M479" t="s">
        <v>36</v>
      </c>
      <c r="N479" t="s">
        <v>37</v>
      </c>
      <c r="O479" t="s">
        <v>38</v>
      </c>
      <c r="R479" t="s">
        <v>98</v>
      </c>
      <c r="S479" t="s">
        <v>39</v>
      </c>
      <c r="T479">
        <v>0</v>
      </c>
      <c r="U479">
        <v>79704089</v>
      </c>
      <c r="V479">
        <v>0</v>
      </c>
      <c r="W479">
        <v>1</v>
      </c>
      <c r="X479" t="s">
        <v>163</v>
      </c>
      <c r="Y479" s="10">
        <v>45782</v>
      </c>
      <c r="AD479" t="s">
        <v>41</v>
      </c>
      <c r="AX479" t="s">
        <v>164</v>
      </c>
      <c r="AY479" t="s">
        <v>434</v>
      </c>
    </row>
    <row r="480" spans="1:51" x14ac:dyDescent="0.25">
      <c r="A480" t="str">
        <f t="shared" si="27"/>
        <v>5000016255108018425</v>
      </c>
      <c r="B480">
        <v>6</v>
      </c>
      <c r="C480">
        <v>10801842</v>
      </c>
      <c r="D480">
        <v>5</v>
      </c>
      <c r="E480">
        <v>5000016255</v>
      </c>
      <c r="F480" t="s">
        <v>110</v>
      </c>
      <c r="G480">
        <v>1</v>
      </c>
      <c r="H480" t="s">
        <v>93</v>
      </c>
      <c r="I480" s="10">
        <v>45783</v>
      </c>
      <c r="K480" s="23">
        <v>343000</v>
      </c>
      <c r="L480" t="s">
        <v>162</v>
      </c>
      <c r="M480" t="s">
        <v>36</v>
      </c>
      <c r="N480" t="s">
        <v>37</v>
      </c>
      <c r="O480" t="s">
        <v>38</v>
      </c>
      <c r="R480" t="s">
        <v>98</v>
      </c>
      <c r="S480" t="s">
        <v>39</v>
      </c>
      <c r="T480">
        <v>0</v>
      </c>
      <c r="U480">
        <v>79704089</v>
      </c>
      <c r="V480">
        <v>0</v>
      </c>
      <c r="W480">
        <v>1</v>
      </c>
      <c r="X480" t="s">
        <v>163</v>
      </c>
      <c r="Y480" s="10">
        <v>45782</v>
      </c>
      <c r="AD480" t="s">
        <v>41</v>
      </c>
      <c r="AX480" t="s">
        <v>164</v>
      </c>
      <c r="AY480" t="s">
        <v>443</v>
      </c>
    </row>
    <row r="481" spans="1:51" x14ac:dyDescent="0.25">
      <c r="A481" t="str">
        <f t="shared" si="27"/>
        <v>5000008843108018423</v>
      </c>
      <c r="B481">
        <v>2</v>
      </c>
      <c r="C481">
        <v>10801842</v>
      </c>
      <c r="D481">
        <v>3</v>
      </c>
      <c r="E481">
        <v>5000008843</v>
      </c>
      <c r="F481" t="s">
        <v>150</v>
      </c>
      <c r="G481">
        <v>1</v>
      </c>
      <c r="H481" t="s">
        <v>35</v>
      </c>
      <c r="I481" s="10">
        <v>45782</v>
      </c>
      <c r="K481" s="23">
        <v>1025000</v>
      </c>
      <c r="L481" t="s">
        <v>162</v>
      </c>
      <c r="M481" t="s">
        <v>36</v>
      </c>
      <c r="N481" t="s">
        <v>37</v>
      </c>
      <c r="O481" t="s">
        <v>38</v>
      </c>
      <c r="R481" t="s">
        <v>98</v>
      </c>
      <c r="S481" t="s">
        <v>39</v>
      </c>
      <c r="T481">
        <v>0</v>
      </c>
      <c r="U481">
        <v>79704092</v>
      </c>
      <c r="V481">
        <v>0</v>
      </c>
      <c r="W481">
        <v>1</v>
      </c>
      <c r="X481" t="s">
        <v>163</v>
      </c>
      <c r="Y481" s="10">
        <v>45782</v>
      </c>
      <c r="AD481" t="s">
        <v>41</v>
      </c>
      <c r="AX481" t="s">
        <v>164</v>
      </c>
      <c r="AY481" t="s">
        <v>440</v>
      </c>
    </row>
    <row r="482" spans="1:51" x14ac:dyDescent="0.25">
      <c r="A482" t="str">
        <f t="shared" si="27"/>
        <v>5000017082108033621</v>
      </c>
      <c r="B482">
        <v>1</v>
      </c>
      <c r="C482">
        <v>10803362</v>
      </c>
      <c r="D482">
        <v>1</v>
      </c>
      <c r="E482">
        <v>5000017082</v>
      </c>
      <c r="F482" t="s">
        <v>609</v>
      </c>
      <c r="G482">
        <v>1</v>
      </c>
      <c r="H482" t="s">
        <v>35</v>
      </c>
      <c r="I482" s="10">
        <v>45867</v>
      </c>
      <c r="K482" s="23">
        <v>2072072.1</v>
      </c>
      <c r="L482" t="s">
        <v>162</v>
      </c>
      <c r="M482" t="s">
        <v>36</v>
      </c>
      <c r="N482" t="s">
        <v>37</v>
      </c>
      <c r="O482" t="s">
        <v>38</v>
      </c>
      <c r="R482" t="s">
        <v>98</v>
      </c>
      <c r="S482" t="s">
        <v>39</v>
      </c>
      <c r="T482">
        <v>0</v>
      </c>
      <c r="U482">
        <v>79707003</v>
      </c>
      <c r="V482">
        <v>0</v>
      </c>
      <c r="W482">
        <v>1</v>
      </c>
      <c r="X482" t="s">
        <v>163</v>
      </c>
      <c r="Y482" s="10">
        <v>45862</v>
      </c>
      <c r="AD482" t="s">
        <v>41</v>
      </c>
      <c r="AX482" t="s">
        <v>164</v>
      </c>
      <c r="AY482" t="s">
        <v>613</v>
      </c>
    </row>
    <row r="483" spans="1:51" x14ac:dyDescent="0.25">
      <c r="A483" t="str">
        <f t="shared" si="27"/>
        <v>5000017856108039334</v>
      </c>
      <c r="B483">
        <v>1</v>
      </c>
      <c r="C483">
        <v>10803933</v>
      </c>
      <c r="D483">
        <v>4</v>
      </c>
      <c r="E483">
        <v>5000017856</v>
      </c>
      <c r="F483" t="s">
        <v>566</v>
      </c>
      <c r="G483">
        <v>1</v>
      </c>
      <c r="H483" t="s">
        <v>35</v>
      </c>
      <c r="I483" s="10">
        <v>45902</v>
      </c>
      <c r="K483" s="23">
        <v>11261261.300000001</v>
      </c>
      <c r="L483" t="s">
        <v>162</v>
      </c>
      <c r="M483" t="s">
        <v>36</v>
      </c>
      <c r="N483" t="s">
        <v>37</v>
      </c>
      <c r="O483" t="s">
        <v>38</v>
      </c>
      <c r="R483" t="s">
        <v>98</v>
      </c>
      <c r="S483" t="s">
        <v>39</v>
      </c>
      <c r="T483">
        <v>0</v>
      </c>
      <c r="U483">
        <v>79708290</v>
      </c>
      <c r="V483">
        <v>0</v>
      </c>
      <c r="W483">
        <v>1</v>
      </c>
      <c r="X483" t="s">
        <v>163</v>
      </c>
      <c r="Y483" s="10">
        <v>45897</v>
      </c>
      <c r="Z483" t="s">
        <v>163</v>
      </c>
      <c r="AA483" s="25">
        <v>45898</v>
      </c>
      <c r="AD483" t="s">
        <v>41</v>
      </c>
      <c r="AX483" t="s">
        <v>164</v>
      </c>
      <c r="AY483" t="s">
        <v>669</v>
      </c>
    </row>
    <row r="484" spans="1:51" x14ac:dyDescent="0.25">
      <c r="A484" t="str">
        <f t="shared" si="27"/>
        <v>5000011960108039335</v>
      </c>
      <c r="B484">
        <v>2</v>
      </c>
      <c r="C484">
        <v>10803933</v>
      </c>
      <c r="D484">
        <v>5</v>
      </c>
      <c r="E484">
        <v>5000011960</v>
      </c>
      <c r="F484" t="s">
        <v>478</v>
      </c>
      <c r="G484">
        <v>1</v>
      </c>
      <c r="H484" t="s">
        <v>93</v>
      </c>
      <c r="I484" s="10">
        <v>45902</v>
      </c>
      <c r="K484" s="23">
        <v>1621621.7</v>
      </c>
      <c r="L484" t="s">
        <v>162</v>
      </c>
      <c r="M484" t="s">
        <v>36</v>
      </c>
      <c r="N484" t="s">
        <v>37</v>
      </c>
      <c r="O484" t="s">
        <v>38</v>
      </c>
      <c r="R484" t="s">
        <v>98</v>
      </c>
      <c r="S484" t="s">
        <v>39</v>
      </c>
      <c r="T484">
        <v>0</v>
      </c>
      <c r="U484">
        <v>79708290</v>
      </c>
      <c r="V484">
        <v>0</v>
      </c>
      <c r="W484">
        <v>1</v>
      </c>
      <c r="X484" t="s">
        <v>163</v>
      </c>
      <c r="Y484" s="10">
        <v>45897</v>
      </c>
      <c r="Z484" t="s">
        <v>163</v>
      </c>
      <c r="AA484" s="25">
        <v>45898</v>
      </c>
      <c r="AD484" t="s">
        <v>41</v>
      </c>
      <c r="AX484" t="s">
        <v>164</v>
      </c>
      <c r="AY484" t="s">
        <v>670</v>
      </c>
    </row>
    <row r="485" spans="1:51" x14ac:dyDescent="0.25">
      <c r="A485" t="str">
        <f t="shared" si="27"/>
        <v>5000014291108039336</v>
      </c>
      <c r="B485">
        <v>4</v>
      </c>
      <c r="C485">
        <v>10803933</v>
      </c>
      <c r="D485">
        <v>6</v>
      </c>
      <c r="E485">
        <v>5000014291</v>
      </c>
      <c r="F485" t="s">
        <v>406</v>
      </c>
      <c r="G485">
        <v>1</v>
      </c>
      <c r="H485" t="s">
        <v>296</v>
      </c>
      <c r="I485" s="10">
        <v>45902</v>
      </c>
      <c r="K485" s="23">
        <v>92500</v>
      </c>
      <c r="L485" t="s">
        <v>162</v>
      </c>
      <c r="M485" t="s">
        <v>36</v>
      </c>
      <c r="N485" t="s">
        <v>37</v>
      </c>
      <c r="O485" t="s">
        <v>38</v>
      </c>
      <c r="R485" t="s">
        <v>98</v>
      </c>
      <c r="S485" t="s">
        <v>39</v>
      </c>
      <c r="T485">
        <v>0</v>
      </c>
      <c r="U485">
        <v>79708291</v>
      </c>
      <c r="V485">
        <v>0</v>
      </c>
      <c r="W485">
        <v>1</v>
      </c>
      <c r="X485" t="s">
        <v>163</v>
      </c>
      <c r="Y485" s="10">
        <v>45897</v>
      </c>
      <c r="AD485" t="s">
        <v>41</v>
      </c>
      <c r="AX485" t="s">
        <v>164</v>
      </c>
      <c r="AY485" t="s">
        <v>655</v>
      </c>
    </row>
    <row r="486" spans="1:51" x14ac:dyDescent="0.25">
      <c r="A486" t="str">
        <f t="shared" si="27"/>
        <v>5000017216108039331</v>
      </c>
      <c r="B486">
        <v>1</v>
      </c>
      <c r="C486">
        <v>10803933</v>
      </c>
      <c r="D486">
        <v>1</v>
      </c>
      <c r="E486">
        <v>5000017216</v>
      </c>
      <c r="F486" t="s">
        <v>183</v>
      </c>
      <c r="G486">
        <v>1</v>
      </c>
      <c r="H486" t="s">
        <v>35</v>
      </c>
      <c r="I486" s="10">
        <v>45902</v>
      </c>
      <c r="K486" s="23">
        <v>1120000</v>
      </c>
      <c r="L486" t="s">
        <v>162</v>
      </c>
      <c r="M486" t="s">
        <v>36</v>
      </c>
      <c r="N486" t="s">
        <v>37</v>
      </c>
      <c r="O486" t="s">
        <v>38</v>
      </c>
      <c r="R486" t="s">
        <v>98</v>
      </c>
      <c r="S486" t="s">
        <v>39</v>
      </c>
      <c r="T486">
        <v>0</v>
      </c>
      <c r="U486">
        <v>79708292</v>
      </c>
      <c r="V486">
        <v>0</v>
      </c>
      <c r="W486">
        <v>1</v>
      </c>
      <c r="X486" t="s">
        <v>163</v>
      </c>
      <c r="Y486" s="10">
        <v>45897</v>
      </c>
      <c r="AD486" t="s">
        <v>41</v>
      </c>
      <c r="AX486" t="s">
        <v>164</v>
      </c>
      <c r="AY486" t="s">
        <v>653</v>
      </c>
    </row>
    <row r="487" spans="1:51" x14ac:dyDescent="0.25">
      <c r="A487" t="str">
        <f t="shared" si="27"/>
        <v>5000012006108039332</v>
      </c>
      <c r="B487">
        <v>2</v>
      </c>
      <c r="C487">
        <v>10803933</v>
      </c>
      <c r="D487">
        <v>2</v>
      </c>
      <c r="E487">
        <v>5000012006</v>
      </c>
      <c r="F487" t="s">
        <v>328</v>
      </c>
      <c r="G487">
        <v>1</v>
      </c>
      <c r="H487" t="s">
        <v>35</v>
      </c>
      <c r="I487" s="10">
        <v>45902</v>
      </c>
      <c r="K487" s="23">
        <v>1750000</v>
      </c>
      <c r="L487" t="s">
        <v>162</v>
      </c>
      <c r="M487" t="s">
        <v>36</v>
      </c>
      <c r="N487" t="s">
        <v>37</v>
      </c>
      <c r="O487" t="s">
        <v>38</v>
      </c>
      <c r="R487" t="s">
        <v>98</v>
      </c>
      <c r="S487" t="s">
        <v>39</v>
      </c>
      <c r="T487">
        <v>0</v>
      </c>
      <c r="U487">
        <v>79708292</v>
      </c>
      <c r="V487">
        <v>0</v>
      </c>
      <c r="W487">
        <v>1</v>
      </c>
      <c r="X487" t="s">
        <v>163</v>
      </c>
      <c r="Y487" s="10">
        <v>45897</v>
      </c>
      <c r="AD487" t="s">
        <v>41</v>
      </c>
      <c r="AX487" t="s">
        <v>164</v>
      </c>
      <c r="AY487" t="s">
        <v>654</v>
      </c>
    </row>
    <row r="488" spans="1:51" x14ac:dyDescent="0.25">
      <c r="A488" t="str">
        <f t="shared" ref="A488:A534" si="28">E488&amp;C488&amp;D488</f>
        <v>5000015861108044831</v>
      </c>
      <c r="B488">
        <v>1</v>
      </c>
      <c r="C488">
        <v>10804483</v>
      </c>
      <c r="D488">
        <v>1</v>
      </c>
      <c r="E488">
        <v>5000015861</v>
      </c>
      <c r="F488" t="s">
        <v>174</v>
      </c>
      <c r="G488">
        <v>1</v>
      </c>
      <c r="H488" t="s">
        <v>35</v>
      </c>
      <c r="I488" s="10">
        <v>45933</v>
      </c>
      <c r="K488" s="23">
        <v>1000000</v>
      </c>
      <c r="L488" t="s">
        <v>162</v>
      </c>
      <c r="M488" t="s">
        <v>36</v>
      </c>
      <c r="N488" t="s">
        <v>37</v>
      </c>
      <c r="O488" t="s">
        <v>38</v>
      </c>
      <c r="R488" t="s">
        <v>98</v>
      </c>
      <c r="S488" t="s">
        <v>39</v>
      </c>
      <c r="T488">
        <v>0</v>
      </c>
      <c r="U488">
        <v>79709467</v>
      </c>
      <c r="V488">
        <v>1</v>
      </c>
      <c r="W488">
        <v>0</v>
      </c>
      <c r="X488" t="s">
        <v>163</v>
      </c>
      <c r="Y488" s="10">
        <v>45927</v>
      </c>
      <c r="AD488" t="s">
        <v>41</v>
      </c>
      <c r="AY488" t="s">
        <v>714</v>
      </c>
    </row>
    <row r="489" spans="1:51" x14ac:dyDescent="0.25">
      <c r="A489" t="str">
        <f t="shared" si="28"/>
        <v>5000015000108044832</v>
      </c>
      <c r="B489">
        <v>2</v>
      </c>
      <c r="C489">
        <v>10804483</v>
      </c>
      <c r="D489">
        <v>2</v>
      </c>
      <c r="E489">
        <v>5000015000</v>
      </c>
      <c r="F489" t="s">
        <v>176</v>
      </c>
      <c r="G489">
        <v>1</v>
      </c>
      <c r="H489" t="s">
        <v>35</v>
      </c>
      <c r="I489" s="10">
        <v>45933</v>
      </c>
      <c r="K489" s="23">
        <v>350000</v>
      </c>
      <c r="L489" t="s">
        <v>162</v>
      </c>
      <c r="M489" t="s">
        <v>36</v>
      </c>
      <c r="N489" t="s">
        <v>37</v>
      </c>
      <c r="O489" t="s">
        <v>38</v>
      </c>
      <c r="R489" t="s">
        <v>98</v>
      </c>
      <c r="S489" t="s">
        <v>39</v>
      </c>
      <c r="T489">
        <v>0</v>
      </c>
      <c r="U489">
        <v>79709467</v>
      </c>
      <c r="V489">
        <v>1</v>
      </c>
      <c r="W489">
        <v>0</v>
      </c>
      <c r="X489" t="s">
        <v>163</v>
      </c>
      <c r="Y489" s="10">
        <v>45927</v>
      </c>
      <c r="AD489" t="s">
        <v>41</v>
      </c>
      <c r="AY489" t="s">
        <v>715</v>
      </c>
    </row>
    <row r="490" spans="1:51" x14ac:dyDescent="0.25">
      <c r="A490" t="str">
        <f t="shared" si="28"/>
        <v>5000017857108044411</v>
      </c>
      <c r="B490">
        <v>1</v>
      </c>
      <c r="C490">
        <v>10804441</v>
      </c>
      <c r="D490">
        <v>1</v>
      </c>
      <c r="E490">
        <v>5000017857</v>
      </c>
      <c r="F490" t="s">
        <v>568</v>
      </c>
      <c r="G490">
        <v>1</v>
      </c>
      <c r="H490" t="s">
        <v>35</v>
      </c>
      <c r="I490" s="10">
        <v>45931</v>
      </c>
      <c r="K490" s="23">
        <v>20720721</v>
      </c>
      <c r="L490" t="s">
        <v>162</v>
      </c>
      <c r="M490" t="s">
        <v>36</v>
      </c>
      <c r="N490" t="s">
        <v>37</v>
      </c>
      <c r="O490" t="s">
        <v>38</v>
      </c>
      <c r="R490" t="s">
        <v>98</v>
      </c>
      <c r="S490" t="s">
        <v>39</v>
      </c>
      <c r="T490">
        <v>0</v>
      </c>
      <c r="U490">
        <v>79709468</v>
      </c>
      <c r="V490">
        <v>0</v>
      </c>
      <c r="W490">
        <v>1</v>
      </c>
      <c r="X490" t="s">
        <v>163</v>
      </c>
      <c r="Y490" s="10">
        <v>45927</v>
      </c>
      <c r="AD490" t="s">
        <v>41</v>
      </c>
      <c r="AX490" t="s">
        <v>164</v>
      </c>
      <c r="AY490" t="s">
        <v>740</v>
      </c>
    </row>
    <row r="491" spans="1:51" x14ac:dyDescent="0.25">
      <c r="A491" t="str">
        <f t="shared" si="28"/>
        <v>5000011960108044412</v>
      </c>
      <c r="B491">
        <v>2</v>
      </c>
      <c r="C491">
        <v>10804441</v>
      </c>
      <c r="D491">
        <v>2</v>
      </c>
      <c r="E491">
        <v>5000011960</v>
      </c>
      <c r="F491" t="s">
        <v>478</v>
      </c>
      <c r="G491">
        <v>1</v>
      </c>
      <c r="H491" t="s">
        <v>93</v>
      </c>
      <c r="I491" s="10">
        <v>45931</v>
      </c>
      <c r="K491" s="23">
        <v>2117117.2000000002</v>
      </c>
      <c r="L491" t="s">
        <v>162</v>
      </c>
      <c r="M491" t="s">
        <v>36</v>
      </c>
      <c r="N491" t="s">
        <v>37</v>
      </c>
      <c r="O491" t="s">
        <v>38</v>
      </c>
      <c r="R491" t="s">
        <v>98</v>
      </c>
      <c r="S491" t="s">
        <v>39</v>
      </c>
      <c r="T491">
        <v>0</v>
      </c>
      <c r="U491">
        <v>79709468</v>
      </c>
      <c r="V491">
        <v>0</v>
      </c>
      <c r="W491">
        <v>1</v>
      </c>
      <c r="X491" t="s">
        <v>163</v>
      </c>
      <c r="Y491" s="10">
        <v>45927</v>
      </c>
      <c r="AD491" t="s">
        <v>41</v>
      </c>
      <c r="AX491" t="s">
        <v>164</v>
      </c>
      <c r="AY491" t="s">
        <v>741</v>
      </c>
    </row>
    <row r="492" spans="1:51" x14ac:dyDescent="0.25">
      <c r="A492" t="str">
        <f t="shared" si="28"/>
        <v>5000014291108044413</v>
      </c>
      <c r="B492">
        <v>1</v>
      </c>
      <c r="C492">
        <v>10804441</v>
      </c>
      <c r="D492">
        <v>3</v>
      </c>
      <c r="E492">
        <v>5000014291</v>
      </c>
      <c r="F492" t="s">
        <v>406</v>
      </c>
      <c r="G492">
        <v>1</v>
      </c>
      <c r="H492" t="s">
        <v>296</v>
      </c>
      <c r="I492" s="10">
        <v>45931</v>
      </c>
      <c r="K492" s="23">
        <v>340000</v>
      </c>
      <c r="L492" t="s">
        <v>162</v>
      </c>
      <c r="M492" t="s">
        <v>36</v>
      </c>
      <c r="N492" t="s">
        <v>37</v>
      </c>
      <c r="O492" t="s">
        <v>38</v>
      </c>
      <c r="R492" t="s">
        <v>98</v>
      </c>
      <c r="S492" t="s">
        <v>39</v>
      </c>
      <c r="T492">
        <v>0</v>
      </c>
      <c r="U492">
        <v>79709469</v>
      </c>
      <c r="V492">
        <v>1</v>
      </c>
      <c r="W492">
        <v>0</v>
      </c>
      <c r="X492" t="s">
        <v>163</v>
      </c>
      <c r="Y492" s="10">
        <v>45927</v>
      </c>
      <c r="AD492" t="s">
        <v>41</v>
      </c>
      <c r="AY492" t="s">
        <v>713</v>
      </c>
    </row>
    <row r="493" spans="1:51" x14ac:dyDescent="0.25">
      <c r="A493" t="str">
        <f t="shared" si="28"/>
        <v>5000016308108044834</v>
      </c>
      <c r="B493">
        <v>1</v>
      </c>
      <c r="C493">
        <v>10804483</v>
      </c>
      <c r="D493">
        <v>4</v>
      </c>
      <c r="E493">
        <v>5000016308</v>
      </c>
      <c r="F493" t="s">
        <v>143</v>
      </c>
      <c r="G493">
        <v>1</v>
      </c>
      <c r="H493" t="s">
        <v>35</v>
      </c>
      <c r="I493" s="10">
        <v>45933</v>
      </c>
      <c r="K493" s="23">
        <v>2980000</v>
      </c>
      <c r="L493" t="s">
        <v>162</v>
      </c>
      <c r="M493" t="s">
        <v>36</v>
      </c>
      <c r="N493" t="s">
        <v>37</v>
      </c>
      <c r="O493" t="s">
        <v>38</v>
      </c>
      <c r="R493" t="s">
        <v>98</v>
      </c>
      <c r="S493" t="s">
        <v>39</v>
      </c>
      <c r="T493">
        <v>0</v>
      </c>
      <c r="U493">
        <v>79709470</v>
      </c>
      <c r="V493">
        <v>1</v>
      </c>
      <c r="W493">
        <v>0</v>
      </c>
      <c r="X493" t="s">
        <v>163</v>
      </c>
      <c r="Y493" s="10">
        <v>45927</v>
      </c>
      <c r="AD493" t="s">
        <v>41</v>
      </c>
      <c r="AY493" t="s">
        <v>742</v>
      </c>
    </row>
    <row r="494" spans="1:51" x14ac:dyDescent="0.25">
      <c r="A494" t="str">
        <f t="shared" si="28"/>
        <v>5000016428108044838</v>
      </c>
      <c r="B494">
        <v>1</v>
      </c>
      <c r="C494">
        <v>10804483</v>
      </c>
      <c r="D494">
        <v>8</v>
      </c>
      <c r="E494">
        <v>5000016428</v>
      </c>
      <c r="F494" t="s">
        <v>157</v>
      </c>
      <c r="G494">
        <v>1</v>
      </c>
      <c r="H494" t="s">
        <v>35</v>
      </c>
      <c r="I494" s="10">
        <v>45933</v>
      </c>
      <c r="K494" s="23">
        <v>1486486.5</v>
      </c>
      <c r="L494" t="s">
        <v>162</v>
      </c>
      <c r="M494" t="s">
        <v>36</v>
      </c>
      <c r="N494" t="s">
        <v>37</v>
      </c>
      <c r="O494" t="s">
        <v>38</v>
      </c>
      <c r="R494" t="s">
        <v>98</v>
      </c>
      <c r="S494" t="s">
        <v>39</v>
      </c>
      <c r="T494">
        <v>0</v>
      </c>
      <c r="U494">
        <v>79709490</v>
      </c>
      <c r="V494">
        <v>0</v>
      </c>
      <c r="W494">
        <v>1</v>
      </c>
      <c r="X494" t="s">
        <v>163</v>
      </c>
      <c r="Y494" s="10">
        <v>45929</v>
      </c>
      <c r="AD494" t="s">
        <v>41</v>
      </c>
      <c r="AX494" t="s">
        <v>164</v>
      </c>
      <c r="AY494" t="s">
        <v>743</v>
      </c>
    </row>
    <row r="495" spans="1:51" x14ac:dyDescent="0.25">
      <c r="A495" t="str">
        <f t="shared" si="28"/>
        <v>5000017216108044833</v>
      </c>
      <c r="B495">
        <v>2</v>
      </c>
      <c r="C495">
        <v>10804483</v>
      </c>
      <c r="D495">
        <v>3</v>
      </c>
      <c r="E495">
        <v>5000017216</v>
      </c>
      <c r="F495" t="s">
        <v>183</v>
      </c>
      <c r="G495">
        <v>1</v>
      </c>
      <c r="H495" t="s">
        <v>35</v>
      </c>
      <c r="I495" s="10">
        <v>45933</v>
      </c>
      <c r="K495" s="23">
        <v>1120000</v>
      </c>
      <c r="L495" t="s">
        <v>162</v>
      </c>
      <c r="M495" t="s">
        <v>36</v>
      </c>
      <c r="N495" t="s">
        <v>37</v>
      </c>
      <c r="O495" t="s">
        <v>38</v>
      </c>
      <c r="R495" t="s">
        <v>98</v>
      </c>
      <c r="S495" t="s">
        <v>39</v>
      </c>
      <c r="T495">
        <v>0</v>
      </c>
      <c r="U495">
        <v>79709517</v>
      </c>
      <c r="V495">
        <v>0</v>
      </c>
      <c r="W495">
        <v>1</v>
      </c>
      <c r="X495" t="s">
        <v>163</v>
      </c>
      <c r="Y495" s="10">
        <v>45929</v>
      </c>
      <c r="AD495" t="s">
        <v>41</v>
      </c>
      <c r="AX495" t="s">
        <v>164</v>
      </c>
      <c r="AY495" t="s">
        <v>716</v>
      </c>
    </row>
    <row r="496" spans="1:51" x14ac:dyDescent="0.25">
      <c r="A496" t="str">
        <f t="shared" si="28"/>
        <v>5000005059108044835</v>
      </c>
      <c r="B496">
        <v>3</v>
      </c>
      <c r="C496">
        <v>10804483</v>
      </c>
      <c r="D496">
        <v>5</v>
      </c>
      <c r="E496">
        <v>5000005059</v>
      </c>
      <c r="F496" t="s">
        <v>153</v>
      </c>
      <c r="G496">
        <v>1</v>
      </c>
      <c r="H496" t="s">
        <v>93</v>
      </c>
      <c r="I496" s="10">
        <v>45933</v>
      </c>
      <c r="K496" s="23">
        <v>95000</v>
      </c>
      <c r="L496" t="s">
        <v>162</v>
      </c>
      <c r="M496" t="s">
        <v>36</v>
      </c>
      <c r="N496" t="s">
        <v>37</v>
      </c>
      <c r="O496" t="s">
        <v>38</v>
      </c>
      <c r="R496" t="s">
        <v>98</v>
      </c>
      <c r="S496" t="s">
        <v>39</v>
      </c>
      <c r="T496">
        <v>0</v>
      </c>
      <c r="U496">
        <v>79709517</v>
      </c>
      <c r="V496">
        <v>0</v>
      </c>
      <c r="W496">
        <v>1</v>
      </c>
      <c r="X496" t="s">
        <v>163</v>
      </c>
      <c r="Y496" s="10">
        <v>45929</v>
      </c>
      <c r="AD496" t="s">
        <v>41</v>
      </c>
      <c r="AX496" t="s">
        <v>164</v>
      </c>
      <c r="AY496" t="s">
        <v>718</v>
      </c>
    </row>
    <row r="497" spans="1:51" x14ac:dyDescent="0.25">
      <c r="A497" t="str">
        <f t="shared" si="28"/>
        <v>5000004248108044836</v>
      </c>
      <c r="B497">
        <v>4</v>
      </c>
      <c r="C497">
        <v>10804483</v>
      </c>
      <c r="D497">
        <v>6</v>
      </c>
      <c r="E497">
        <v>5000004248</v>
      </c>
      <c r="F497" t="s">
        <v>155</v>
      </c>
      <c r="G497">
        <v>1</v>
      </c>
      <c r="H497" t="s">
        <v>93</v>
      </c>
      <c r="I497" s="10">
        <v>45933</v>
      </c>
      <c r="K497" s="23">
        <v>65000</v>
      </c>
      <c r="L497" t="s">
        <v>162</v>
      </c>
      <c r="M497" t="s">
        <v>36</v>
      </c>
      <c r="N497" t="s">
        <v>37</v>
      </c>
      <c r="O497" t="s">
        <v>38</v>
      </c>
      <c r="R497" t="s">
        <v>98</v>
      </c>
      <c r="S497" t="s">
        <v>39</v>
      </c>
      <c r="T497">
        <v>0</v>
      </c>
      <c r="U497">
        <v>79709517</v>
      </c>
      <c r="V497">
        <v>0</v>
      </c>
      <c r="W497">
        <v>1</v>
      </c>
      <c r="X497" t="s">
        <v>163</v>
      </c>
      <c r="Y497" s="10">
        <v>45929</v>
      </c>
      <c r="AD497" t="s">
        <v>41</v>
      </c>
      <c r="AX497" t="s">
        <v>164</v>
      </c>
      <c r="AY497" t="s">
        <v>719</v>
      </c>
    </row>
    <row r="498" spans="1:51" x14ac:dyDescent="0.25">
      <c r="A498" t="str">
        <f t="shared" si="28"/>
        <v>5000012021108044837</v>
      </c>
      <c r="B498">
        <v>5</v>
      </c>
      <c r="C498">
        <v>10804483</v>
      </c>
      <c r="D498">
        <v>7</v>
      </c>
      <c r="E498">
        <v>5000012021</v>
      </c>
      <c r="F498" t="s">
        <v>188</v>
      </c>
      <c r="G498">
        <v>1</v>
      </c>
      <c r="H498" t="s">
        <v>93</v>
      </c>
      <c r="I498" s="10">
        <v>45933</v>
      </c>
      <c r="K498" s="23">
        <v>30000</v>
      </c>
      <c r="L498" t="s">
        <v>162</v>
      </c>
      <c r="M498" t="s">
        <v>36</v>
      </c>
      <c r="N498" t="s">
        <v>37</v>
      </c>
      <c r="O498" t="s">
        <v>38</v>
      </c>
      <c r="R498" t="s">
        <v>98</v>
      </c>
      <c r="S498" t="s">
        <v>39</v>
      </c>
      <c r="T498">
        <v>0</v>
      </c>
      <c r="U498">
        <v>79709517</v>
      </c>
      <c r="V498">
        <v>0</v>
      </c>
      <c r="W498">
        <v>1</v>
      </c>
      <c r="X498" t="s">
        <v>163</v>
      </c>
      <c r="Y498" s="10">
        <v>45929</v>
      </c>
      <c r="AD498" t="s">
        <v>41</v>
      </c>
      <c r="AX498" t="s">
        <v>164</v>
      </c>
      <c r="AY498" t="s">
        <v>720</v>
      </c>
    </row>
    <row r="499" spans="1:51" x14ac:dyDescent="0.25">
      <c r="A499" t="str">
        <f t="shared" si="28"/>
        <v>5000012021108039333</v>
      </c>
      <c r="B499">
        <v>1</v>
      </c>
      <c r="C499">
        <v>10803933</v>
      </c>
      <c r="D499">
        <v>3</v>
      </c>
      <c r="E499">
        <v>5000012021</v>
      </c>
      <c r="F499" t="s">
        <v>188</v>
      </c>
      <c r="G499">
        <v>1</v>
      </c>
      <c r="H499" t="s">
        <v>93</v>
      </c>
      <c r="I499" s="10">
        <v>45902</v>
      </c>
      <c r="K499" s="23">
        <v>85000</v>
      </c>
      <c r="L499" t="s">
        <v>162</v>
      </c>
      <c r="M499" t="s">
        <v>36</v>
      </c>
      <c r="N499" t="s">
        <v>37</v>
      </c>
      <c r="O499" t="s">
        <v>38</v>
      </c>
      <c r="R499" t="s">
        <v>98</v>
      </c>
      <c r="S499" t="s">
        <v>39</v>
      </c>
      <c r="T499">
        <v>0</v>
      </c>
      <c r="U499">
        <v>79709541</v>
      </c>
      <c r="V499">
        <v>0</v>
      </c>
      <c r="W499">
        <v>1</v>
      </c>
      <c r="X499" t="s">
        <v>163</v>
      </c>
      <c r="Y499" s="10">
        <v>45930</v>
      </c>
      <c r="AD499" t="s">
        <v>41</v>
      </c>
      <c r="AX499" t="s">
        <v>164</v>
      </c>
      <c r="AY499" t="s">
        <v>658</v>
      </c>
    </row>
    <row r="500" spans="1:51" x14ac:dyDescent="0.25">
      <c r="A500" t="str">
        <f t="shared" si="28"/>
        <v>5000013080108045372</v>
      </c>
      <c r="B500">
        <v>1</v>
      </c>
      <c r="C500">
        <v>10804537</v>
      </c>
      <c r="D500">
        <v>2</v>
      </c>
      <c r="E500">
        <v>5000013080</v>
      </c>
      <c r="F500" t="s">
        <v>441</v>
      </c>
      <c r="G500">
        <v>1</v>
      </c>
      <c r="H500" t="s">
        <v>35</v>
      </c>
      <c r="I500" s="10">
        <v>45936</v>
      </c>
      <c r="K500" s="23">
        <v>125000</v>
      </c>
      <c r="L500" t="s">
        <v>162</v>
      </c>
      <c r="M500" t="s">
        <v>36</v>
      </c>
      <c r="N500" t="s">
        <v>37</v>
      </c>
      <c r="O500" t="s">
        <v>38</v>
      </c>
      <c r="R500" t="s">
        <v>98</v>
      </c>
      <c r="S500" t="s">
        <v>39</v>
      </c>
      <c r="T500">
        <v>0</v>
      </c>
      <c r="U500">
        <v>79709638</v>
      </c>
      <c r="V500">
        <v>1</v>
      </c>
      <c r="W500">
        <v>0</v>
      </c>
      <c r="X500" t="s">
        <v>163</v>
      </c>
      <c r="Y500" s="10">
        <v>45932</v>
      </c>
      <c r="AD500" t="s">
        <v>41</v>
      </c>
      <c r="AY500" t="s">
        <v>726</v>
      </c>
    </row>
    <row r="501" spans="1:51" x14ac:dyDescent="0.25">
      <c r="A501" t="str">
        <f t="shared" si="28"/>
        <v>5000013499108045531</v>
      </c>
      <c r="B501">
        <v>1</v>
      </c>
      <c r="C501">
        <v>10804553</v>
      </c>
      <c r="D501">
        <v>1</v>
      </c>
      <c r="E501">
        <v>5000013499</v>
      </c>
      <c r="F501" t="s">
        <v>244</v>
      </c>
      <c r="G501">
        <v>1</v>
      </c>
      <c r="H501" t="s">
        <v>35</v>
      </c>
      <c r="I501" s="10">
        <v>45937</v>
      </c>
      <c r="K501" s="23">
        <v>290000</v>
      </c>
      <c r="L501" t="s">
        <v>162</v>
      </c>
      <c r="M501" t="s">
        <v>160</v>
      </c>
      <c r="N501" t="s">
        <v>37</v>
      </c>
      <c r="O501" t="s">
        <v>38</v>
      </c>
      <c r="R501" t="s">
        <v>98</v>
      </c>
      <c r="S501" t="s">
        <v>39</v>
      </c>
      <c r="T501">
        <v>0</v>
      </c>
      <c r="U501">
        <v>79709642</v>
      </c>
      <c r="V501">
        <v>1</v>
      </c>
      <c r="W501">
        <v>0</v>
      </c>
      <c r="X501" t="s">
        <v>163</v>
      </c>
      <c r="Y501" s="10">
        <v>45932</v>
      </c>
      <c r="AD501" t="s">
        <v>41</v>
      </c>
      <c r="AY501" t="s">
        <v>728</v>
      </c>
    </row>
    <row r="502" spans="1:51" x14ac:dyDescent="0.25">
      <c r="A502" t="str">
        <f t="shared" si="28"/>
        <v>5000016671108045371</v>
      </c>
      <c r="B502">
        <v>1</v>
      </c>
      <c r="C502">
        <v>10804537</v>
      </c>
      <c r="D502">
        <v>1</v>
      </c>
      <c r="E502">
        <v>5000016671</v>
      </c>
      <c r="F502" t="s">
        <v>216</v>
      </c>
      <c r="G502">
        <v>1</v>
      </c>
      <c r="H502" t="s">
        <v>93</v>
      </c>
      <c r="I502" s="10">
        <v>45936</v>
      </c>
      <c r="K502" s="23">
        <v>90000</v>
      </c>
      <c r="L502" t="s">
        <v>162</v>
      </c>
      <c r="M502" t="s">
        <v>36</v>
      </c>
      <c r="N502" t="s">
        <v>37</v>
      </c>
      <c r="O502" t="s">
        <v>38</v>
      </c>
      <c r="R502" t="s">
        <v>98</v>
      </c>
      <c r="S502" t="s">
        <v>39</v>
      </c>
      <c r="T502">
        <v>0</v>
      </c>
      <c r="U502">
        <v>79709647</v>
      </c>
      <c r="V502">
        <v>0</v>
      </c>
      <c r="W502">
        <v>1</v>
      </c>
      <c r="X502" t="s">
        <v>163</v>
      </c>
      <c r="Y502" s="10">
        <v>45932</v>
      </c>
      <c r="AD502" t="s">
        <v>41</v>
      </c>
      <c r="AX502" t="s">
        <v>164</v>
      </c>
      <c r="AY502" t="s">
        <v>725</v>
      </c>
    </row>
    <row r="503" spans="1:51" x14ac:dyDescent="0.25">
      <c r="A503" t="str">
        <f t="shared" si="28"/>
        <v>5000004248108045532</v>
      </c>
      <c r="B503">
        <v>2</v>
      </c>
      <c r="C503">
        <v>10804553</v>
      </c>
      <c r="D503">
        <v>2</v>
      </c>
      <c r="E503">
        <v>5000004248</v>
      </c>
      <c r="F503" t="s">
        <v>155</v>
      </c>
      <c r="G503">
        <v>12</v>
      </c>
      <c r="H503" t="s">
        <v>93</v>
      </c>
      <c r="I503" s="10">
        <v>45937</v>
      </c>
      <c r="K503" s="23">
        <v>65000</v>
      </c>
      <c r="L503" t="s">
        <v>162</v>
      </c>
      <c r="M503" t="s">
        <v>36</v>
      </c>
      <c r="N503" t="s">
        <v>37</v>
      </c>
      <c r="O503" t="s">
        <v>38</v>
      </c>
      <c r="R503" t="s">
        <v>98</v>
      </c>
      <c r="S503" t="s">
        <v>39</v>
      </c>
      <c r="T503">
        <v>0</v>
      </c>
      <c r="U503">
        <v>79709647</v>
      </c>
      <c r="V503">
        <v>0</v>
      </c>
      <c r="W503">
        <v>12</v>
      </c>
      <c r="X503" t="s">
        <v>163</v>
      </c>
      <c r="Y503" s="10">
        <v>45932</v>
      </c>
      <c r="AD503" t="s">
        <v>41</v>
      </c>
      <c r="AX503" t="s">
        <v>164</v>
      </c>
      <c r="AY503" t="s">
        <v>729</v>
      </c>
    </row>
    <row r="504" spans="1:51" x14ac:dyDescent="0.25">
      <c r="A504" t="str">
        <f t="shared" si="28"/>
        <v>5000016930108038481</v>
      </c>
      <c r="B504">
        <v>1</v>
      </c>
      <c r="C504">
        <v>10803848</v>
      </c>
      <c r="D504">
        <v>1</v>
      </c>
      <c r="E504">
        <v>5000016930</v>
      </c>
      <c r="F504" t="s">
        <v>203</v>
      </c>
      <c r="G504">
        <v>1</v>
      </c>
      <c r="H504" t="s">
        <v>93</v>
      </c>
      <c r="I504" s="10">
        <v>45896</v>
      </c>
      <c r="K504" s="23">
        <v>169000</v>
      </c>
      <c r="L504" t="s">
        <v>162</v>
      </c>
      <c r="M504" t="s">
        <v>36</v>
      </c>
      <c r="N504" t="s">
        <v>37</v>
      </c>
      <c r="O504" t="s">
        <v>38</v>
      </c>
      <c r="R504" t="s">
        <v>98</v>
      </c>
      <c r="S504" t="s">
        <v>39</v>
      </c>
      <c r="T504">
        <v>0</v>
      </c>
      <c r="U504">
        <v>79709886</v>
      </c>
      <c r="V504">
        <v>1</v>
      </c>
      <c r="W504">
        <v>0</v>
      </c>
      <c r="X504" t="s">
        <v>163</v>
      </c>
      <c r="Y504" s="10">
        <v>45938</v>
      </c>
      <c r="AD504" t="s">
        <v>41</v>
      </c>
      <c r="AY504" t="s">
        <v>646</v>
      </c>
    </row>
    <row r="505" spans="1:51" x14ac:dyDescent="0.25">
      <c r="A505" t="str">
        <f t="shared" si="28"/>
        <v>5000016930108045373</v>
      </c>
      <c r="B505">
        <v>1</v>
      </c>
      <c r="C505">
        <v>10804537</v>
      </c>
      <c r="D505">
        <v>3</v>
      </c>
      <c r="E505">
        <v>5000016930</v>
      </c>
      <c r="F505" t="s">
        <v>203</v>
      </c>
      <c r="G505">
        <v>1</v>
      </c>
      <c r="H505" t="s">
        <v>93</v>
      </c>
      <c r="I505" s="10">
        <v>45936</v>
      </c>
      <c r="K505" s="23">
        <v>169000</v>
      </c>
      <c r="L505" t="s">
        <v>162</v>
      </c>
      <c r="M505" t="s">
        <v>36</v>
      </c>
      <c r="N505" t="s">
        <v>37</v>
      </c>
      <c r="O505" t="s">
        <v>38</v>
      </c>
      <c r="R505" t="s">
        <v>98</v>
      </c>
      <c r="S505" t="s">
        <v>39</v>
      </c>
      <c r="T505">
        <v>0</v>
      </c>
      <c r="U505">
        <v>79709887</v>
      </c>
      <c r="V505">
        <v>1</v>
      </c>
      <c r="W505">
        <v>0</v>
      </c>
      <c r="X505" t="s">
        <v>163</v>
      </c>
      <c r="Y505" s="10">
        <v>45938</v>
      </c>
      <c r="AD505" t="s">
        <v>41</v>
      </c>
      <c r="AY505" t="s">
        <v>727</v>
      </c>
    </row>
    <row r="506" spans="1:51" x14ac:dyDescent="0.25">
      <c r="A506" t="str">
        <f t="shared" si="28"/>
        <v>5000013080108042202</v>
      </c>
      <c r="B506">
        <v>1</v>
      </c>
      <c r="C506">
        <v>10804220</v>
      </c>
      <c r="D506">
        <v>2</v>
      </c>
      <c r="E506">
        <v>5000013080</v>
      </c>
      <c r="F506" t="s">
        <v>441</v>
      </c>
      <c r="G506">
        <v>3</v>
      </c>
      <c r="H506" t="s">
        <v>35</v>
      </c>
      <c r="I506" s="10">
        <v>45918</v>
      </c>
      <c r="K506" s="23">
        <v>125000</v>
      </c>
      <c r="L506" t="s">
        <v>162</v>
      </c>
      <c r="M506" t="s">
        <v>36</v>
      </c>
      <c r="N506" t="s">
        <v>37</v>
      </c>
      <c r="O506" t="s">
        <v>38</v>
      </c>
      <c r="R506" t="s">
        <v>98</v>
      </c>
      <c r="S506" t="s">
        <v>39</v>
      </c>
      <c r="T506">
        <v>0</v>
      </c>
      <c r="U506">
        <v>79709890</v>
      </c>
      <c r="V506">
        <v>3</v>
      </c>
      <c r="W506">
        <v>0</v>
      </c>
      <c r="X506" t="s">
        <v>163</v>
      </c>
      <c r="Y506" s="10">
        <v>45938</v>
      </c>
      <c r="AD506" t="s">
        <v>41</v>
      </c>
      <c r="AY506" t="s">
        <v>692</v>
      </c>
    </row>
    <row r="507" spans="1:51" x14ac:dyDescent="0.25">
      <c r="A507" t="str">
        <f t="shared" si="28"/>
        <v>5000005340108046252</v>
      </c>
      <c r="B507">
        <v>1</v>
      </c>
      <c r="C507">
        <v>10804625</v>
      </c>
      <c r="D507">
        <v>2</v>
      </c>
      <c r="E507">
        <v>5000005340</v>
      </c>
      <c r="F507" t="s">
        <v>199</v>
      </c>
      <c r="G507">
        <v>1</v>
      </c>
      <c r="H507" t="s">
        <v>35</v>
      </c>
      <c r="I507" s="10">
        <v>45941</v>
      </c>
      <c r="K507" s="23">
        <v>155000</v>
      </c>
      <c r="L507" t="s">
        <v>162</v>
      </c>
      <c r="M507" t="s">
        <v>36</v>
      </c>
      <c r="N507" t="s">
        <v>37</v>
      </c>
      <c r="O507" t="s">
        <v>38</v>
      </c>
      <c r="R507" t="s">
        <v>98</v>
      </c>
      <c r="S507" t="s">
        <v>39</v>
      </c>
      <c r="T507">
        <v>0</v>
      </c>
      <c r="U507">
        <v>79709896</v>
      </c>
      <c r="V507">
        <v>1</v>
      </c>
      <c r="W507">
        <v>0</v>
      </c>
      <c r="X507" t="s">
        <v>163</v>
      </c>
      <c r="Y507" s="10">
        <v>45938</v>
      </c>
      <c r="AD507" t="s">
        <v>41</v>
      </c>
      <c r="AY507" t="s">
        <v>737</v>
      </c>
    </row>
    <row r="508" spans="1:51" x14ac:dyDescent="0.25">
      <c r="A508" t="str">
        <f t="shared" si="28"/>
        <v>5000017216108041801</v>
      </c>
      <c r="B508">
        <v>2</v>
      </c>
      <c r="C508">
        <v>10804180</v>
      </c>
      <c r="D508">
        <v>1</v>
      </c>
      <c r="E508">
        <v>5000017216</v>
      </c>
      <c r="F508" t="s">
        <v>183</v>
      </c>
      <c r="G508">
        <v>1</v>
      </c>
      <c r="H508" t="s">
        <v>35</v>
      </c>
      <c r="I508" s="10">
        <v>45917</v>
      </c>
      <c r="K508" s="23">
        <v>1120000</v>
      </c>
      <c r="L508" t="s">
        <v>162</v>
      </c>
      <c r="M508" t="s">
        <v>36</v>
      </c>
      <c r="N508" t="s">
        <v>37</v>
      </c>
      <c r="O508" t="s">
        <v>38</v>
      </c>
      <c r="R508" t="s">
        <v>98</v>
      </c>
      <c r="S508" t="s">
        <v>39</v>
      </c>
      <c r="T508">
        <v>0</v>
      </c>
      <c r="U508">
        <v>79709896</v>
      </c>
      <c r="V508">
        <v>1</v>
      </c>
      <c r="W508">
        <v>0</v>
      </c>
      <c r="X508" t="s">
        <v>163</v>
      </c>
      <c r="Y508" s="10">
        <v>45938</v>
      </c>
      <c r="AD508" t="s">
        <v>41</v>
      </c>
      <c r="AY508" t="s">
        <v>690</v>
      </c>
    </row>
    <row r="509" spans="1:51" x14ac:dyDescent="0.25">
      <c r="A509" t="str">
        <f t="shared" si="28"/>
        <v>5000016255108045861</v>
      </c>
      <c r="B509">
        <v>1</v>
      </c>
      <c r="C509">
        <v>10804586</v>
      </c>
      <c r="D509">
        <v>1</v>
      </c>
      <c r="E509">
        <v>5000016255</v>
      </c>
      <c r="F509" t="s">
        <v>110</v>
      </c>
      <c r="G509">
        <v>1</v>
      </c>
      <c r="H509" t="s">
        <v>93</v>
      </c>
      <c r="I509" s="10">
        <v>45939</v>
      </c>
      <c r="K509" s="23">
        <v>343000</v>
      </c>
      <c r="L509" t="s">
        <v>162</v>
      </c>
      <c r="M509" t="s">
        <v>36</v>
      </c>
      <c r="N509" t="s">
        <v>37</v>
      </c>
      <c r="O509" t="s">
        <v>38</v>
      </c>
      <c r="R509" t="s">
        <v>98</v>
      </c>
      <c r="S509" t="s">
        <v>39</v>
      </c>
      <c r="T509">
        <v>0</v>
      </c>
      <c r="U509">
        <v>79709897</v>
      </c>
      <c r="V509">
        <v>1</v>
      </c>
      <c r="W509">
        <v>0</v>
      </c>
      <c r="X509" t="s">
        <v>163</v>
      </c>
      <c r="Y509" s="10">
        <v>45938</v>
      </c>
      <c r="AD509" t="s">
        <v>41</v>
      </c>
      <c r="AY509" t="s">
        <v>730</v>
      </c>
    </row>
    <row r="510" spans="1:51" x14ac:dyDescent="0.25">
      <c r="A510" t="str">
        <f t="shared" si="28"/>
        <v>5000015919108045991</v>
      </c>
      <c r="B510">
        <v>2</v>
      </c>
      <c r="C510">
        <v>10804599</v>
      </c>
      <c r="D510">
        <v>1</v>
      </c>
      <c r="E510">
        <v>5000015919</v>
      </c>
      <c r="F510" t="s">
        <v>425</v>
      </c>
      <c r="G510">
        <v>1</v>
      </c>
      <c r="H510" t="s">
        <v>35</v>
      </c>
      <c r="I510" s="10">
        <v>45940</v>
      </c>
      <c r="K510" s="23">
        <v>369500</v>
      </c>
      <c r="L510" t="s">
        <v>162</v>
      </c>
      <c r="M510" t="s">
        <v>36</v>
      </c>
      <c r="N510" t="s">
        <v>37</v>
      </c>
      <c r="O510" t="s">
        <v>38</v>
      </c>
      <c r="R510" t="s">
        <v>98</v>
      </c>
      <c r="S510" t="s">
        <v>39</v>
      </c>
      <c r="T510">
        <v>0</v>
      </c>
      <c r="U510">
        <v>79709897</v>
      </c>
      <c r="V510">
        <v>1</v>
      </c>
      <c r="W510">
        <v>0</v>
      </c>
      <c r="X510" t="s">
        <v>163</v>
      </c>
      <c r="Y510" s="10">
        <v>45938</v>
      </c>
      <c r="AD510" t="s">
        <v>41</v>
      </c>
      <c r="AY510" t="s">
        <v>731</v>
      </c>
    </row>
    <row r="511" spans="1:51" x14ac:dyDescent="0.25">
      <c r="A511" t="str">
        <f t="shared" si="28"/>
        <v>5000015970108045992</v>
      </c>
      <c r="B511">
        <v>3</v>
      </c>
      <c r="C511">
        <v>10804599</v>
      </c>
      <c r="D511">
        <v>2</v>
      </c>
      <c r="E511">
        <v>5000015970</v>
      </c>
      <c r="F511" t="s">
        <v>427</v>
      </c>
      <c r="G511">
        <v>1</v>
      </c>
      <c r="H511" t="s">
        <v>35</v>
      </c>
      <c r="I511" s="10">
        <v>45940</v>
      </c>
      <c r="K511" s="23">
        <v>48000</v>
      </c>
      <c r="L511" t="s">
        <v>162</v>
      </c>
      <c r="M511" t="s">
        <v>36</v>
      </c>
      <c r="N511" t="s">
        <v>37</v>
      </c>
      <c r="O511" t="s">
        <v>38</v>
      </c>
      <c r="R511" t="s">
        <v>98</v>
      </c>
      <c r="S511" t="s">
        <v>39</v>
      </c>
      <c r="T511">
        <v>0</v>
      </c>
      <c r="U511">
        <v>79709897</v>
      </c>
      <c r="V511">
        <v>1</v>
      </c>
      <c r="W511">
        <v>0</v>
      </c>
      <c r="X511" t="s">
        <v>163</v>
      </c>
      <c r="Y511" s="10">
        <v>45938</v>
      </c>
      <c r="AD511" t="s">
        <v>41</v>
      </c>
      <c r="AY511" t="s">
        <v>732</v>
      </c>
    </row>
    <row r="512" spans="1:51" x14ac:dyDescent="0.25">
      <c r="A512" t="str">
        <f t="shared" si="28"/>
        <v>5000016185108045993</v>
      </c>
      <c r="B512">
        <v>4</v>
      </c>
      <c r="C512">
        <v>10804599</v>
      </c>
      <c r="D512">
        <v>3</v>
      </c>
      <c r="E512">
        <v>5000016185</v>
      </c>
      <c r="F512" t="s">
        <v>191</v>
      </c>
      <c r="G512">
        <v>1</v>
      </c>
      <c r="H512" t="s">
        <v>93</v>
      </c>
      <c r="I512" s="10">
        <v>45940</v>
      </c>
      <c r="K512" s="23">
        <v>1625000</v>
      </c>
      <c r="L512" t="s">
        <v>162</v>
      </c>
      <c r="M512" t="s">
        <v>160</v>
      </c>
      <c r="N512" t="s">
        <v>37</v>
      </c>
      <c r="O512" t="s">
        <v>38</v>
      </c>
      <c r="R512" t="s">
        <v>98</v>
      </c>
      <c r="S512" t="s">
        <v>39</v>
      </c>
      <c r="T512">
        <v>0</v>
      </c>
      <c r="U512">
        <v>79709897</v>
      </c>
      <c r="V512">
        <v>1</v>
      </c>
      <c r="W512">
        <v>0</v>
      </c>
      <c r="X512" t="s">
        <v>163</v>
      </c>
      <c r="Y512" s="10">
        <v>45938</v>
      </c>
      <c r="AD512" t="s">
        <v>41</v>
      </c>
      <c r="AY512" t="s">
        <v>733</v>
      </c>
    </row>
    <row r="513" spans="1:51" x14ac:dyDescent="0.25">
      <c r="A513" t="str">
        <f t="shared" si="28"/>
        <v>5000013499108045994</v>
      </c>
      <c r="B513">
        <v>5</v>
      </c>
      <c r="C513">
        <v>10804599</v>
      </c>
      <c r="D513">
        <v>4</v>
      </c>
      <c r="E513">
        <v>5000013499</v>
      </c>
      <c r="F513" t="s">
        <v>244</v>
      </c>
      <c r="G513">
        <v>1</v>
      </c>
      <c r="H513" t="s">
        <v>35</v>
      </c>
      <c r="I513" s="10">
        <v>45940</v>
      </c>
      <c r="K513" s="23">
        <v>290000</v>
      </c>
      <c r="L513" t="s">
        <v>162</v>
      </c>
      <c r="M513" t="s">
        <v>160</v>
      </c>
      <c r="N513" t="s">
        <v>37</v>
      </c>
      <c r="O513" t="s">
        <v>38</v>
      </c>
      <c r="R513" t="s">
        <v>98</v>
      </c>
      <c r="S513" t="s">
        <v>39</v>
      </c>
      <c r="T513">
        <v>0</v>
      </c>
      <c r="U513">
        <v>79709897</v>
      </c>
      <c r="V513">
        <v>1</v>
      </c>
      <c r="W513">
        <v>0</v>
      </c>
      <c r="X513" t="s">
        <v>163</v>
      </c>
      <c r="Y513" s="10">
        <v>45938</v>
      </c>
      <c r="AD513" t="s">
        <v>41</v>
      </c>
      <c r="AY513" t="s">
        <v>734</v>
      </c>
    </row>
    <row r="514" spans="1:51" x14ac:dyDescent="0.25">
      <c r="A514" t="str">
        <f t="shared" si="28"/>
        <v>5000017967108046251</v>
      </c>
      <c r="B514">
        <v>6</v>
      </c>
      <c r="C514">
        <v>10804625</v>
      </c>
      <c r="D514">
        <v>1</v>
      </c>
      <c r="E514">
        <v>5000017967</v>
      </c>
      <c r="F514" t="s">
        <v>735</v>
      </c>
      <c r="G514">
        <v>1</v>
      </c>
      <c r="H514" t="s">
        <v>93</v>
      </c>
      <c r="I514" s="10">
        <v>45941</v>
      </c>
      <c r="K514" s="23">
        <v>250000</v>
      </c>
      <c r="L514" t="s">
        <v>162</v>
      </c>
      <c r="M514" t="s">
        <v>36</v>
      </c>
      <c r="N514" t="s">
        <v>37</v>
      </c>
      <c r="O514" t="s">
        <v>38</v>
      </c>
      <c r="R514" t="s">
        <v>98</v>
      </c>
      <c r="S514" t="s">
        <v>39</v>
      </c>
      <c r="T514">
        <v>0</v>
      </c>
      <c r="U514">
        <v>79709897</v>
      </c>
      <c r="V514">
        <v>1</v>
      </c>
      <c r="W514">
        <v>0</v>
      </c>
      <c r="X514" t="s">
        <v>163</v>
      </c>
      <c r="Y514" s="10">
        <v>45938</v>
      </c>
      <c r="AD514" t="s">
        <v>41</v>
      </c>
      <c r="AY514" t="s">
        <v>736</v>
      </c>
    </row>
    <row r="515" spans="1:51" x14ac:dyDescent="0.25">
      <c r="A515" t="str">
        <f t="shared" si="28"/>
        <v>5000014291108042201</v>
      </c>
      <c r="B515">
        <v>7</v>
      </c>
      <c r="C515">
        <v>10804220</v>
      </c>
      <c r="D515">
        <v>1</v>
      </c>
      <c r="E515">
        <v>5000014291</v>
      </c>
      <c r="F515" t="s">
        <v>406</v>
      </c>
      <c r="G515">
        <v>1</v>
      </c>
      <c r="H515" t="s">
        <v>296</v>
      </c>
      <c r="I515" s="10">
        <v>45918</v>
      </c>
      <c r="K515" s="23">
        <v>141000</v>
      </c>
      <c r="L515" t="s">
        <v>162</v>
      </c>
      <c r="M515" t="s">
        <v>36</v>
      </c>
      <c r="N515" t="s">
        <v>37</v>
      </c>
      <c r="O515" t="s">
        <v>38</v>
      </c>
      <c r="R515" t="s">
        <v>98</v>
      </c>
      <c r="S515" t="s">
        <v>39</v>
      </c>
      <c r="T515">
        <v>0</v>
      </c>
      <c r="U515">
        <v>79709897</v>
      </c>
      <c r="V515">
        <v>1</v>
      </c>
      <c r="W515">
        <v>0</v>
      </c>
      <c r="X515" t="s">
        <v>163</v>
      </c>
      <c r="Y515" s="10">
        <v>45938</v>
      </c>
      <c r="AD515" t="s">
        <v>41</v>
      </c>
      <c r="AY515" t="s">
        <v>752</v>
      </c>
    </row>
    <row r="516" spans="1:51" x14ac:dyDescent="0.25">
      <c r="A516" t="str">
        <f t="shared" si="28"/>
        <v>5000017624108047441</v>
      </c>
      <c r="B516">
        <v>1</v>
      </c>
      <c r="C516">
        <v>10804744</v>
      </c>
      <c r="D516">
        <v>1</v>
      </c>
      <c r="E516">
        <v>5000017624</v>
      </c>
      <c r="F516" t="s">
        <v>227</v>
      </c>
      <c r="G516">
        <v>1</v>
      </c>
      <c r="H516" t="s">
        <v>35</v>
      </c>
      <c r="I516" s="10">
        <v>45948</v>
      </c>
      <c r="K516" s="23">
        <v>2072072.1</v>
      </c>
      <c r="L516" t="s">
        <v>162</v>
      </c>
      <c r="M516" t="s">
        <v>36</v>
      </c>
      <c r="N516" t="s">
        <v>37</v>
      </c>
      <c r="O516" t="s">
        <v>38</v>
      </c>
      <c r="R516" t="s">
        <v>98</v>
      </c>
      <c r="S516" t="s">
        <v>39</v>
      </c>
      <c r="T516">
        <v>0</v>
      </c>
      <c r="U516">
        <v>79710053</v>
      </c>
      <c r="V516">
        <v>1</v>
      </c>
      <c r="W516">
        <v>0</v>
      </c>
      <c r="X516" t="s">
        <v>163</v>
      </c>
      <c r="Y516" s="10">
        <v>45943</v>
      </c>
      <c r="AD516" t="s">
        <v>41</v>
      </c>
      <c r="AY516" t="s">
        <v>762</v>
      </c>
    </row>
    <row r="517" spans="1:51" x14ac:dyDescent="0.25">
      <c r="A517" t="str">
        <f t="shared" si="28"/>
        <v>5000002171108046511</v>
      </c>
      <c r="B517">
        <v>1</v>
      </c>
      <c r="C517">
        <v>10804651</v>
      </c>
      <c r="D517">
        <v>1</v>
      </c>
      <c r="E517">
        <v>5000002171</v>
      </c>
      <c r="F517" t="s">
        <v>547</v>
      </c>
      <c r="G517">
        <v>6</v>
      </c>
      <c r="H517" t="s">
        <v>93</v>
      </c>
      <c r="I517" s="10">
        <v>45943</v>
      </c>
      <c r="K517" s="23">
        <v>52000</v>
      </c>
      <c r="L517" t="s">
        <v>162</v>
      </c>
      <c r="M517" t="s">
        <v>160</v>
      </c>
      <c r="N517" t="s">
        <v>37</v>
      </c>
      <c r="O517" t="s">
        <v>38</v>
      </c>
      <c r="R517" t="s">
        <v>98</v>
      </c>
      <c r="S517" t="s">
        <v>39</v>
      </c>
      <c r="T517">
        <v>0</v>
      </c>
      <c r="U517">
        <v>79710054</v>
      </c>
      <c r="V517">
        <v>6</v>
      </c>
      <c r="W517">
        <v>0</v>
      </c>
      <c r="X517" t="s">
        <v>163</v>
      </c>
      <c r="Y517" s="10">
        <v>45943</v>
      </c>
      <c r="AD517" t="s">
        <v>41</v>
      </c>
      <c r="AY517" t="s">
        <v>763</v>
      </c>
    </row>
    <row r="518" spans="1:51" x14ac:dyDescent="0.25">
      <c r="A518" t="str">
        <f t="shared" si="28"/>
        <v>5000006532108046512</v>
      </c>
      <c r="B518">
        <v>2</v>
      </c>
      <c r="C518">
        <v>10804651</v>
      </c>
      <c r="D518">
        <v>2</v>
      </c>
      <c r="E518">
        <v>5000006532</v>
      </c>
      <c r="F518" t="s">
        <v>739</v>
      </c>
      <c r="G518">
        <v>2</v>
      </c>
      <c r="H518" t="s">
        <v>93</v>
      </c>
      <c r="I518" s="10">
        <v>45943</v>
      </c>
      <c r="K518" s="23">
        <v>75000</v>
      </c>
      <c r="L518" t="s">
        <v>162</v>
      </c>
      <c r="M518" t="s">
        <v>36</v>
      </c>
      <c r="N518" t="s">
        <v>37</v>
      </c>
      <c r="O518" t="s">
        <v>38</v>
      </c>
      <c r="R518" t="s">
        <v>98</v>
      </c>
      <c r="S518" t="s">
        <v>39</v>
      </c>
      <c r="T518">
        <v>0</v>
      </c>
      <c r="U518">
        <v>79710054</v>
      </c>
      <c r="V518">
        <v>2</v>
      </c>
      <c r="W518">
        <v>0</v>
      </c>
      <c r="X518" t="s">
        <v>163</v>
      </c>
      <c r="Y518" s="10">
        <v>45943</v>
      </c>
      <c r="AD518" t="s">
        <v>41</v>
      </c>
      <c r="AY518" t="s">
        <v>764</v>
      </c>
    </row>
    <row r="519" spans="1:51" x14ac:dyDescent="0.25">
      <c r="A519" t="str">
        <f t="shared" si="28"/>
        <v>5000014667108047191</v>
      </c>
      <c r="B519">
        <v>3</v>
      </c>
      <c r="C519">
        <v>10804719</v>
      </c>
      <c r="D519">
        <v>1</v>
      </c>
      <c r="E519">
        <v>5000014667</v>
      </c>
      <c r="F519" t="s">
        <v>230</v>
      </c>
      <c r="G519">
        <v>1</v>
      </c>
      <c r="H519" t="s">
        <v>35</v>
      </c>
      <c r="I519" s="10">
        <v>45946</v>
      </c>
      <c r="K519" s="23">
        <v>70000</v>
      </c>
      <c r="L519" t="s">
        <v>162</v>
      </c>
      <c r="M519" t="s">
        <v>36</v>
      </c>
      <c r="N519" t="s">
        <v>37</v>
      </c>
      <c r="O519" t="s">
        <v>38</v>
      </c>
      <c r="R519" t="s">
        <v>98</v>
      </c>
      <c r="S519" t="s">
        <v>39</v>
      </c>
      <c r="T519">
        <v>0</v>
      </c>
      <c r="U519">
        <v>79710054</v>
      </c>
      <c r="V519">
        <v>1</v>
      </c>
      <c r="W519">
        <v>0</v>
      </c>
      <c r="X519" t="s">
        <v>163</v>
      </c>
      <c r="Y519" s="10">
        <v>45943</v>
      </c>
      <c r="AD519" t="s">
        <v>41</v>
      </c>
      <c r="AY519" t="s">
        <v>750</v>
      </c>
    </row>
    <row r="520" spans="1:51" x14ac:dyDescent="0.25">
      <c r="A520" t="str">
        <f t="shared" si="28"/>
        <v>5000016308108046962</v>
      </c>
      <c r="B520">
        <v>1</v>
      </c>
      <c r="C520">
        <v>10804696</v>
      </c>
      <c r="D520">
        <v>2</v>
      </c>
      <c r="E520">
        <v>5000016308</v>
      </c>
      <c r="F520" t="s">
        <v>143</v>
      </c>
      <c r="G520">
        <v>1</v>
      </c>
      <c r="H520" t="s">
        <v>35</v>
      </c>
      <c r="I520" s="10">
        <v>45945</v>
      </c>
      <c r="K520" s="23">
        <v>2980000</v>
      </c>
      <c r="L520" t="s">
        <v>162</v>
      </c>
      <c r="M520" t="s">
        <v>36</v>
      </c>
      <c r="N520" t="s">
        <v>37</v>
      </c>
      <c r="O520" t="s">
        <v>38</v>
      </c>
      <c r="R520" t="s">
        <v>98</v>
      </c>
      <c r="S520" t="s">
        <v>39</v>
      </c>
      <c r="T520">
        <v>0</v>
      </c>
      <c r="U520">
        <v>79710055</v>
      </c>
      <c r="V520">
        <v>1</v>
      </c>
      <c r="W520">
        <v>0</v>
      </c>
      <c r="X520" t="s">
        <v>163</v>
      </c>
      <c r="Y520" s="10">
        <v>45943</v>
      </c>
      <c r="AD520" t="s">
        <v>41</v>
      </c>
      <c r="AY520" t="s">
        <v>745</v>
      </c>
    </row>
    <row r="521" spans="1:51" x14ac:dyDescent="0.25">
      <c r="A521" t="str">
        <f t="shared" si="28"/>
        <v>5000016308108047442</v>
      </c>
      <c r="B521">
        <v>2</v>
      </c>
      <c r="C521">
        <v>10804744</v>
      </c>
      <c r="D521">
        <v>2</v>
      </c>
      <c r="E521">
        <v>5000016308</v>
      </c>
      <c r="F521" t="s">
        <v>143</v>
      </c>
      <c r="G521">
        <v>1</v>
      </c>
      <c r="H521" t="s">
        <v>35</v>
      </c>
      <c r="I521" s="10">
        <v>45948</v>
      </c>
      <c r="K521" s="23">
        <v>2980000</v>
      </c>
      <c r="L521" t="s">
        <v>162</v>
      </c>
      <c r="M521" t="s">
        <v>36</v>
      </c>
      <c r="N521" t="s">
        <v>37</v>
      </c>
      <c r="O521" t="s">
        <v>38</v>
      </c>
      <c r="R521" t="s">
        <v>98</v>
      </c>
      <c r="S521" t="s">
        <v>39</v>
      </c>
      <c r="T521">
        <v>0</v>
      </c>
      <c r="U521">
        <v>79710055</v>
      </c>
      <c r="V521">
        <v>1</v>
      </c>
      <c r="W521">
        <v>0</v>
      </c>
      <c r="X521" t="s">
        <v>163</v>
      </c>
      <c r="Y521" s="10">
        <v>45943</v>
      </c>
      <c r="AD521" t="s">
        <v>41</v>
      </c>
      <c r="AY521" t="s">
        <v>754</v>
      </c>
    </row>
    <row r="522" spans="1:51" x14ac:dyDescent="0.25">
      <c r="A522" t="str">
        <f t="shared" si="28"/>
        <v>5000017216108046961</v>
      </c>
      <c r="B522">
        <v>1</v>
      </c>
      <c r="C522">
        <v>10804696</v>
      </c>
      <c r="D522">
        <v>1</v>
      </c>
      <c r="E522">
        <v>5000017216</v>
      </c>
      <c r="F522" t="s">
        <v>183</v>
      </c>
      <c r="G522">
        <v>1</v>
      </c>
      <c r="H522" t="s">
        <v>35</v>
      </c>
      <c r="I522" s="10">
        <v>45945</v>
      </c>
      <c r="K522" s="23">
        <v>1120000</v>
      </c>
      <c r="L522" t="s">
        <v>162</v>
      </c>
      <c r="M522" t="s">
        <v>36</v>
      </c>
      <c r="N522" t="s">
        <v>37</v>
      </c>
      <c r="O522" t="s">
        <v>38</v>
      </c>
      <c r="R522" t="s">
        <v>98</v>
      </c>
      <c r="S522" t="s">
        <v>39</v>
      </c>
      <c r="T522">
        <v>0</v>
      </c>
      <c r="U522">
        <v>79710058</v>
      </c>
      <c r="V522">
        <v>1</v>
      </c>
      <c r="W522">
        <v>0</v>
      </c>
      <c r="X522" t="s">
        <v>163</v>
      </c>
      <c r="Y522" s="10">
        <v>45943</v>
      </c>
      <c r="AD522" t="s">
        <v>41</v>
      </c>
      <c r="AY522" t="s">
        <v>744</v>
      </c>
    </row>
    <row r="523" spans="1:51" x14ac:dyDescent="0.25">
      <c r="A523" t="str">
        <f t="shared" si="28"/>
        <v>5000004248108046963</v>
      </c>
      <c r="B523">
        <v>2</v>
      </c>
      <c r="C523">
        <v>10804696</v>
      </c>
      <c r="D523">
        <v>3</v>
      </c>
      <c r="E523">
        <v>5000004248</v>
      </c>
      <c r="F523" t="s">
        <v>155</v>
      </c>
      <c r="G523">
        <v>1</v>
      </c>
      <c r="H523" t="s">
        <v>93</v>
      </c>
      <c r="I523" s="10">
        <v>45945</v>
      </c>
      <c r="K523" s="23">
        <v>65000</v>
      </c>
      <c r="L523" t="s">
        <v>162</v>
      </c>
      <c r="M523" t="s">
        <v>36</v>
      </c>
      <c r="N523" t="s">
        <v>37</v>
      </c>
      <c r="O523" t="s">
        <v>38</v>
      </c>
      <c r="R523" t="s">
        <v>98</v>
      </c>
      <c r="S523" t="s">
        <v>39</v>
      </c>
      <c r="T523">
        <v>0</v>
      </c>
      <c r="U523">
        <v>79710058</v>
      </c>
      <c r="V523">
        <v>1</v>
      </c>
      <c r="W523">
        <v>0</v>
      </c>
      <c r="X523" t="s">
        <v>163</v>
      </c>
      <c r="Y523" s="10">
        <v>45943</v>
      </c>
      <c r="AD523" t="s">
        <v>41</v>
      </c>
      <c r="AY523" t="s">
        <v>746</v>
      </c>
    </row>
    <row r="524" spans="1:51" x14ac:dyDescent="0.25">
      <c r="A524" t="str">
        <f t="shared" si="28"/>
        <v>5000005059108046964</v>
      </c>
      <c r="B524">
        <v>3</v>
      </c>
      <c r="C524">
        <v>10804696</v>
      </c>
      <c r="D524">
        <v>4</v>
      </c>
      <c r="E524">
        <v>5000005059</v>
      </c>
      <c r="F524" t="s">
        <v>153</v>
      </c>
      <c r="G524">
        <v>1</v>
      </c>
      <c r="H524" t="s">
        <v>93</v>
      </c>
      <c r="I524" s="10">
        <v>45945</v>
      </c>
      <c r="K524" s="23">
        <v>95000</v>
      </c>
      <c r="L524" t="s">
        <v>162</v>
      </c>
      <c r="M524" t="s">
        <v>36</v>
      </c>
      <c r="N524" t="s">
        <v>37</v>
      </c>
      <c r="O524" t="s">
        <v>38</v>
      </c>
      <c r="R524" t="s">
        <v>98</v>
      </c>
      <c r="S524" t="s">
        <v>39</v>
      </c>
      <c r="T524">
        <v>0</v>
      </c>
      <c r="U524">
        <v>79710058</v>
      </c>
      <c r="V524">
        <v>1</v>
      </c>
      <c r="W524">
        <v>0</v>
      </c>
      <c r="X524" t="s">
        <v>163</v>
      </c>
      <c r="Y524" s="10">
        <v>45943</v>
      </c>
      <c r="AD524" t="s">
        <v>41</v>
      </c>
      <c r="AY524" t="s">
        <v>747</v>
      </c>
    </row>
    <row r="525" spans="1:51" x14ac:dyDescent="0.25">
      <c r="A525" t="str">
        <f t="shared" si="28"/>
        <v>5000012021108046965</v>
      </c>
      <c r="B525">
        <v>4</v>
      </c>
      <c r="C525">
        <v>10804696</v>
      </c>
      <c r="D525">
        <v>5</v>
      </c>
      <c r="E525">
        <v>5000012021</v>
      </c>
      <c r="F525" t="s">
        <v>188</v>
      </c>
      <c r="G525">
        <v>1</v>
      </c>
      <c r="H525" t="s">
        <v>93</v>
      </c>
      <c r="I525" s="10">
        <v>45945</v>
      </c>
      <c r="K525" s="23">
        <v>30000</v>
      </c>
      <c r="L525" t="s">
        <v>162</v>
      </c>
      <c r="M525" t="s">
        <v>36</v>
      </c>
      <c r="N525" t="s">
        <v>37</v>
      </c>
      <c r="O525" t="s">
        <v>38</v>
      </c>
      <c r="R525" t="s">
        <v>98</v>
      </c>
      <c r="S525" t="s">
        <v>39</v>
      </c>
      <c r="T525">
        <v>0</v>
      </c>
      <c r="U525">
        <v>79710058</v>
      </c>
      <c r="V525">
        <v>1</v>
      </c>
      <c r="W525">
        <v>0</v>
      </c>
      <c r="X525" t="s">
        <v>163</v>
      </c>
      <c r="Y525" s="10">
        <v>45943</v>
      </c>
      <c r="AD525" t="s">
        <v>41</v>
      </c>
      <c r="AY525" t="s">
        <v>748</v>
      </c>
    </row>
    <row r="526" spans="1:51" x14ac:dyDescent="0.25">
      <c r="A526" t="str">
        <f t="shared" si="28"/>
        <v>5000011754108046966</v>
      </c>
      <c r="B526">
        <v>5</v>
      </c>
      <c r="C526">
        <v>10804696</v>
      </c>
      <c r="D526">
        <v>6</v>
      </c>
      <c r="E526">
        <v>5000011754</v>
      </c>
      <c r="F526" t="s">
        <v>99</v>
      </c>
      <c r="G526">
        <v>1</v>
      </c>
      <c r="H526" t="s">
        <v>93</v>
      </c>
      <c r="I526" s="10">
        <v>45945</v>
      </c>
      <c r="K526" s="23">
        <v>20000</v>
      </c>
      <c r="L526" t="s">
        <v>162</v>
      </c>
      <c r="M526" t="s">
        <v>36</v>
      </c>
      <c r="N526" t="s">
        <v>37</v>
      </c>
      <c r="O526" t="s">
        <v>38</v>
      </c>
      <c r="R526" t="s">
        <v>98</v>
      </c>
      <c r="S526" t="s">
        <v>39</v>
      </c>
      <c r="T526">
        <v>0</v>
      </c>
      <c r="U526">
        <v>79710058</v>
      </c>
      <c r="V526">
        <v>1</v>
      </c>
      <c r="W526">
        <v>0</v>
      </c>
      <c r="X526" t="s">
        <v>163</v>
      </c>
      <c r="Y526" s="10">
        <v>45943</v>
      </c>
      <c r="AD526" t="s">
        <v>41</v>
      </c>
      <c r="AY526" t="s">
        <v>749</v>
      </c>
    </row>
    <row r="527" spans="1:51" x14ac:dyDescent="0.25">
      <c r="A527" t="str">
        <f t="shared" si="28"/>
        <v>5000017971108047591</v>
      </c>
      <c r="B527">
        <v>1</v>
      </c>
      <c r="C527">
        <v>10804759</v>
      </c>
      <c r="D527">
        <v>1</v>
      </c>
      <c r="E527">
        <v>5000017971</v>
      </c>
      <c r="F527" t="s">
        <v>755</v>
      </c>
      <c r="G527">
        <v>1</v>
      </c>
      <c r="H527" t="s">
        <v>93</v>
      </c>
      <c r="I527" s="10">
        <v>45950</v>
      </c>
      <c r="K527" s="23">
        <v>1400000</v>
      </c>
      <c r="L527" t="s">
        <v>162</v>
      </c>
      <c r="M527" t="s">
        <v>36</v>
      </c>
      <c r="N527" t="s">
        <v>37</v>
      </c>
      <c r="O527" t="s">
        <v>38</v>
      </c>
      <c r="R527" t="s">
        <v>98</v>
      </c>
      <c r="S527" t="s">
        <v>39</v>
      </c>
      <c r="T527">
        <v>0</v>
      </c>
      <c r="U527">
        <v>79710079</v>
      </c>
      <c r="V527">
        <v>1</v>
      </c>
      <c r="W527">
        <v>0</v>
      </c>
      <c r="X527" t="s">
        <v>163</v>
      </c>
      <c r="Y527" s="10">
        <v>45944</v>
      </c>
      <c r="AD527" t="s">
        <v>41</v>
      </c>
      <c r="AY527" t="s">
        <v>777</v>
      </c>
    </row>
    <row r="528" spans="1:51" x14ac:dyDescent="0.25">
      <c r="A528" t="str">
        <f t="shared" si="28"/>
        <v>5000000739108047856</v>
      </c>
      <c r="B528">
        <v>1</v>
      </c>
      <c r="C528">
        <v>10804785</v>
      </c>
      <c r="D528">
        <v>6</v>
      </c>
      <c r="E528">
        <v>5000000739</v>
      </c>
      <c r="F528" t="s">
        <v>261</v>
      </c>
      <c r="G528">
        <v>1</v>
      </c>
      <c r="H528" t="s">
        <v>262</v>
      </c>
      <c r="I528" s="10">
        <v>45951</v>
      </c>
      <c r="K528" s="23">
        <v>2072072.1</v>
      </c>
      <c r="L528" t="s">
        <v>162</v>
      </c>
      <c r="M528" t="s">
        <v>36</v>
      </c>
      <c r="N528" t="s">
        <v>37</v>
      </c>
      <c r="O528" t="s">
        <v>38</v>
      </c>
      <c r="R528" t="s">
        <v>98</v>
      </c>
      <c r="S528" t="s">
        <v>39</v>
      </c>
      <c r="T528">
        <v>0</v>
      </c>
      <c r="U528">
        <v>79710187</v>
      </c>
      <c r="V528">
        <v>1</v>
      </c>
      <c r="W528">
        <v>0</v>
      </c>
      <c r="X528" t="s">
        <v>163</v>
      </c>
      <c r="Y528" s="10">
        <v>45947</v>
      </c>
      <c r="AD528" t="s">
        <v>41</v>
      </c>
      <c r="AY528" t="s">
        <v>778</v>
      </c>
    </row>
    <row r="529" spans="1:51" x14ac:dyDescent="0.25">
      <c r="A529" t="str">
        <f t="shared" si="28"/>
        <v>5000016728108047857</v>
      </c>
      <c r="B529">
        <v>2</v>
      </c>
      <c r="C529">
        <v>10804785</v>
      </c>
      <c r="D529">
        <v>7</v>
      </c>
      <c r="E529">
        <v>5000016728</v>
      </c>
      <c r="F529" t="s">
        <v>146</v>
      </c>
      <c r="G529">
        <v>1</v>
      </c>
      <c r="H529" t="s">
        <v>35</v>
      </c>
      <c r="I529" s="10">
        <v>45951</v>
      </c>
      <c r="K529" s="23">
        <v>346847</v>
      </c>
      <c r="L529" t="s">
        <v>162</v>
      </c>
      <c r="M529" t="s">
        <v>36</v>
      </c>
      <c r="N529" t="s">
        <v>37</v>
      </c>
      <c r="O529" t="s">
        <v>38</v>
      </c>
      <c r="R529" t="s">
        <v>98</v>
      </c>
      <c r="S529" t="s">
        <v>39</v>
      </c>
      <c r="T529">
        <v>0</v>
      </c>
      <c r="U529">
        <v>79710187</v>
      </c>
      <c r="V529">
        <v>1</v>
      </c>
      <c r="W529">
        <v>0</v>
      </c>
      <c r="X529" t="s">
        <v>163</v>
      </c>
      <c r="Y529" s="10">
        <v>45947</v>
      </c>
      <c r="AD529" t="s">
        <v>41</v>
      </c>
      <c r="AY529" t="s">
        <v>779</v>
      </c>
    </row>
    <row r="530" spans="1:51" x14ac:dyDescent="0.25">
      <c r="A530" t="str">
        <f t="shared" si="28"/>
        <v>5000016428108048051</v>
      </c>
      <c r="B530">
        <v>1</v>
      </c>
      <c r="C530">
        <v>10804805</v>
      </c>
      <c r="D530">
        <v>1</v>
      </c>
      <c r="E530">
        <v>5000016428</v>
      </c>
      <c r="F530" t="s">
        <v>157</v>
      </c>
      <c r="G530">
        <v>1</v>
      </c>
      <c r="H530" t="s">
        <v>35</v>
      </c>
      <c r="I530" s="10">
        <v>45952</v>
      </c>
      <c r="K530" s="23">
        <v>1486486.5</v>
      </c>
      <c r="L530" t="s">
        <v>162</v>
      </c>
      <c r="M530" t="s">
        <v>36</v>
      </c>
      <c r="N530" t="s">
        <v>37</v>
      </c>
      <c r="O530" t="s">
        <v>38</v>
      </c>
      <c r="R530" t="s">
        <v>98</v>
      </c>
      <c r="S530" t="s">
        <v>39</v>
      </c>
      <c r="T530">
        <v>0</v>
      </c>
      <c r="U530">
        <v>79710188</v>
      </c>
      <c r="V530">
        <v>1</v>
      </c>
      <c r="W530">
        <v>0</v>
      </c>
      <c r="X530" t="s">
        <v>163</v>
      </c>
      <c r="Y530" s="10">
        <v>45947</v>
      </c>
      <c r="AD530" t="s">
        <v>41</v>
      </c>
      <c r="AY530" t="s">
        <v>780</v>
      </c>
    </row>
    <row r="531" spans="1:51" x14ac:dyDescent="0.25">
      <c r="A531" t="str">
        <f t="shared" si="28"/>
        <v>5000016308108047852</v>
      </c>
      <c r="B531">
        <v>1</v>
      </c>
      <c r="C531">
        <v>10804785</v>
      </c>
      <c r="D531">
        <v>2</v>
      </c>
      <c r="E531">
        <v>5000016308</v>
      </c>
      <c r="F531" t="s">
        <v>143</v>
      </c>
      <c r="G531">
        <v>4</v>
      </c>
      <c r="H531" t="s">
        <v>35</v>
      </c>
      <c r="I531" s="10">
        <v>45951</v>
      </c>
      <c r="K531" s="23">
        <v>2980000</v>
      </c>
      <c r="L531" t="s">
        <v>162</v>
      </c>
      <c r="M531" t="s">
        <v>36</v>
      </c>
      <c r="N531" t="s">
        <v>37</v>
      </c>
      <c r="O531" t="s">
        <v>38</v>
      </c>
      <c r="R531" t="s">
        <v>98</v>
      </c>
      <c r="S531" t="s">
        <v>39</v>
      </c>
      <c r="T531">
        <v>0</v>
      </c>
      <c r="U531">
        <v>79710194</v>
      </c>
      <c r="V531">
        <v>4</v>
      </c>
      <c r="W531">
        <v>0</v>
      </c>
      <c r="X531" t="s">
        <v>163</v>
      </c>
      <c r="Y531" s="10">
        <v>45947</v>
      </c>
      <c r="AD531" t="s">
        <v>41</v>
      </c>
      <c r="AY531" t="s">
        <v>758</v>
      </c>
    </row>
    <row r="532" spans="1:51" x14ac:dyDescent="0.25">
      <c r="A532" t="str">
        <f t="shared" si="28"/>
        <v>5000016308108048052</v>
      </c>
      <c r="B532">
        <v>1</v>
      </c>
      <c r="C532">
        <v>10804805</v>
      </c>
      <c r="D532">
        <v>2</v>
      </c>
      <c r="E532">
        <v>5000016308</v>
      </c>
      <c r="F532" t="s">
        <v>143</v>
      </c>
      <c r="G532">
        <v>1</v>
      </c>
      <c r="H532" t="s">
        <v>35</v>
      </c>
      <c r="I532" s="10">
        <v>45952</v>
      </c>
      <c r="K532" s="23">
        <v>2980000</v>
      </c>
      <c r="L532" t="s">
        <v>162</v>
      </c>
      <c r="M532" t="s">
        <v>36</v>
      </c>
      <c r="N532" t="s">
        <v>37</v>
      </c>
      <c r="O532" t="s">
        <v>38</v>
      </c>
      <c r="R532" t="s">
        <v>98</v>
      </c>
      <c r="S532" t="s">
        <v>39</v>
      </c>
      <c r="T532">
        <v>0</v>
      </c>
      <c r="U532">
        <v>79710195</v>
      </c>
      <c r="V532">
        <v>1</v>
      </c>
      <c r="W532">
        <v>0</v>
      </c>
      <c r="X532" t="s">
        <v>163</v>
      </c>
      <c r="Y532" s="10">
        <v>45947</v>
      </c>
      <c r="AD532" t="s">
        <v>41</v>
      </c>
      <c r="AY532" t="s">
        <v>769</v>
      </c>
    </row>
    <row r="533" spans="1:51" x14ac:dyDescent="0.25">
      <c r="A533" t="str">
        <f t="shared" si="28"/>
        <v>5000005340108047421</v>
      </c>
      <c r="B533">
        <v>1</v>
      </c>
      <c r="C533">
        <v>10804742</v>
      </c>
      <c r="D533">
        <v>1</v>
      </c>
      <c r="E533">
        <v>5000005340</v>
      </c>
      <c r="F533" t="s">
        <v>199</v>
      </c>
      <c r="G533">
        <v>1</v>
      </c>
      <c r="H533" t="s">
        <v>35</v>
      </c>
      <c r="I533" s="10">
        <v>45947</v>
      </c>
      <c r="K533" s="23">
        <v>155000</v>
      </c>
      <c r="L533" t="s">
        <v>162</v>
      </c>
      <c r="M533" t="s">
        <v>36</v>
      </c>
      <c r="N533" t="s">
        <v>37</v>
      </c>
      <c r="O533" t="s">
        <v>38</v>
      </c>
      <c r="R533" t="s">
        <v>98</v>
      </c>
      <c r="S533" t="s">
        <v>39</v>
      </c>
      <c r="T533">
        <v>0</v>
      </c>
      <c r="U533">
        <v>79710203</v>
      </c>
      <c r="V533">
        <v>1</v>
      </c>
      <c r="W533">
        <v>0</v>
      </c>
      <c r="X533" t="s">
        <v>163</v>
      </c>
      <c r="Y533" s="10">
        <v>45947</v>
      </c>
      <c r="AD533" t="s">
        <v>41</v>
      </c>
      <c r="AY533" t="s">
        <v>751</v>
      </c>
    </row>
    <row r="534" spans="1:51" x14ac:dyDescent="0.25">
      <c r="A534" t="str">
        <f t="shared" si="28"/>
        <v>5000017216108047851</v>
      </c>
      <c r="B534">
        <v>2</v>
      </c>
      <c r="C534">
        <v>10804785</v>
      </c>
      <c r="D534">
        <v>1</v>
      </c>
      <c r="E534">
        <v>5000017216</v>
      </c>
      <c r="F534" t="s">
        <v>183</v>
      </c>
      <c r="G534">
        <v>3</v>
      </c>
      <c r="H534" t="s">
        <v>35</v>
      </c>
      <c r="I534" s="10">
        <v>45951</v>
      </c>
      <c r="K534" s="23">
        <v>1120000</v>
      </c>
      <c r="L534" t="s">
        <v>162</v>
      </c>
      <c r="M534" t="s">
        <v>36</v>
      </c>
      <c r="N534" t="s">
        <v>37</v>
      </c>
      <c r="O534" t="s">
        <v>38</v>
      </c>
      <c r="R534" t="s">
        <v>98</v>
      </c>
      <c r="S534" t="s">
        <v>39</v>
      </c>
      <c r="T534">
        <v>0</v>
      </c>
      <c r="U534">
        <v>79710203</v>
      </c>
      <c r="V534">
        <v>3</v>
      </c>
      <c r="W534">
        <v>0</v>
      </c>
      <c r="X534" t="s">
        <v>163</v>
      </c>
      <c r="Y534" s="10">
        <v>45947</v>
      </c>
      <c r="AD534" t="s">
        <v>41</v>
      </c>
      <c r="AY534" t="s">
        <v>757</v>
      </c>
    </row>
    <row r="535" spans="1:51" x14ac:dyDescent="0.25">
      <c r="A535" t="str">
        <f t="shared" ref="A535:A573" si="29">E535&amp;C535&amp;D535</f>
        <v>5000004248108047853</v>
      </c>
      <c r="B535">
        <v>3</v>
      </c>
      <c r="C535">
        <v>10804785</v>
      </c>
      <c r="D535">
        <v>3</v>
      </c>
      <c r="E535">
        <v>5000004248</v>
      </c>
      <c r="F535" t="s">
        <v>155</v>
      </c>
      <c r="G535">
        <v>3</v>
      </c>
      <c r="H535" t="s">
        <v>93</v>
      </c>
      <c r="I535" s="10">
        <v>45951</v>
      </c>
      <c r="K535" s="23">
        <v>65000</v>
      </c>
      <c r="L535" t="s">
        <v>162</v>
      </c>
      <c r="M535" t="s">
        <v>36</v>
      </c>
      <c r="N535" t="s">
        <v>37</v>
      </c>
      <c r="O535" t="s">
        <v>38</v>
      </c>
      <c r="R535" t="s">
        <v>98</v>
      </c>
      <c r="S535" t="s">
        <v>39</v>
      </c>
      <c r="T535">
        <v>0</v>
      </c>
      <c r="U535">
        <v>79710203</v>
      </c>
      <c r="V535">
        <v>3</v>
      </c>
      <c r="W535">
        <v>0</v>
      </c>
      <c r="X535" t="s">
        <v>163</v>
      </c>
      <c r="Y535" s="10">
        <v>45947</v>
      </c>
      <c r="AD535" t="s">
        <v>41</v>
      </c>
      <c r="AY535" t="s">
        <v>759</v>
      </c>
    </row>
    <row r="536" spans="1:51" x14ac:dyDescent="0.25">
      <c r="A536" t="str">
        <f t="shared" si="29"/>
        <v>5000005059108047854</v>
      </c>
      <c r="B536">
        <v>4</v>
      </c>
      <c r="C536">
        <v>10804785</v>
      </c>
      <c r="D536">
        <v>4</v>
      </c>
      <c r="E536">
        <v>5000005059</v>
      </c>
      <c r="F536" t="s">
        <v>153</v>
      </c>
      <c r="G536">
        <v>3</v>
      </c>
      <c r="H536" t="s">
        <v>93</v>
      </c>
      <c r="I536" s="10">
        <v>45951</v>
      </c>
      <c r="K536" s="23">
        <v>95000</v>
      </c>
      <c r="L536" t="s">
        <v>162</v>
      </c>
      <c r="M536" t="s">
        <v>36</v>
      </c>
      <c r="N536" t="s">
        <v>37</v>
      </c>
      <c r="O536" t="s">
        <v>38</v>
      </c>
      <c r="R536" t="s">
        <v>98</v>
      </c>
      <c r="S536" t="s">
        <v>39</v>
      </c>
      <c r="T536">
        <v>0</v>
      </c>
      <c r="U536">
        <v>79710203</v>
      </c>
      <c r="V536">
        <v>3</v>
      </c>
      <c r="W536">
        <v>0</v>
      </c>
      <c r="X536" t="s">
        <v>163</v>
      </c>
      <c r="Y536" s="10">
        <v>45947</v>
      </c>
      <c r="AD536" t="s">
        <v>41</v>
      </c>
      <c r="AY536" t="s">
        <v>760</v>
      </c>
    </row>
    <row r="537" spans="1:51" x14ac:dyDescent="0.25">
      <c r="A537" t="str">
        <f t="shared" si="29"/>
        <v>5000012021108047855</v>
      </c>
      <c r="B537">
        <v>5</v>
      </c>
      <c r="C537">
        <v>10804785</v>
      </c>
      <c r="D537">
        <v>5</v>
      </c>
      <c r="E537">
        <v>5000012021</v>
      </c>
      <c r="F537" t="s">
        <v>188</v>
      </c>
      <c r="G537">
        <v>3</v>
      </c>
      <c r="H537" t="s">
        <v>93</v>
      </c>
      <c r="I537" s="10">
        <v>45951</v>
      </c>
      <c r="K537" s="23">
        <v>30000</v>
      </c>
      <c r="L537" t="s">
        <v>162</v>
      </c>
      <c r="M537" t="s">
        <v>36</v>
      </c>
      <c r="N537" t="s">
        <v>37</v>
      </c>
      <c r="O537" t="s">
        <v>38</v>
      </c>
      <c r="R537" t="s">
        <v>98</v>
      </c>
      <c r="S537" t="s">
        <v>39</v>
      </c>
      <c r="T537">
        <v>0</v>
      </c>
      <c r="U537">
        <v>79710203</v>
      </c>
      <c r="V537">
        <v>3</v>
      </c>
      <c r="W537">
        <v>0</v>
      </c>
      <c r="X537" t="s">
        <v>163</v>
      </c>
      <c r="Y537" s="10">
        <v>45947</v>
      </c>
      <c r="AD537" t="s">
        <v>41</v>
      </c>
      <c r="AY537" t="s">
        <v>761</v>
      </c>
    </row>
    <row r="538" spans="1:51" x14ac:dyDescent="0.25">
      <c r="A538" t="str">
        <f t="shared" si="29"/>
        <v>5000017978108047858</v>
      </c>
      <c r="B538">
        <v>1</v>
      </c>
      <c r="C538">
        <v>10804785</v>
      </c>
      <c r="D538">
        <v>8</v>
      </c>
      <c r="E538">
        <v>5000017978</v>
      </c>
      <c r="F538" t="s">
        <v>767</v>
      </c>
      <c r="G538">
        <v>1</v>
      </c>
      <c r="H538" t="s">
        <v>93</v>
      </c>
      <c r="I538" s="10">
        <v>45951</v>
      </c>
      <c r="K538" s="23">
        <v>4200000</v>
      </c>
      <c r="L538" t="s">
        <v>162</v>
      </c>
      <c r="M538" t="s">
        <v>36</v>
      </c>
      <c r="N538" t="s">
        <v>37</v>
      </c>
      <c r="O538" t="s">
        <v>38</v>
      </c>
      <c r="R538" t="s">
        <v>98</v>
      </c>
      <c r="S538" t="s">
        <v>39</v>
      </c>
      <c r="T538">
        <v>0</v>
      </c>
      <c r="U538">
        <v>79710376</v>
      </c>
      <c r="V538">
        <v>1</v>
      </c>
      <c r="W538">
        <v>0</v>
      </c>
      <c r="X538" t="s">
        <v>163</v>
      </c>
      <c r="Y538" s="10">
        <v>45951</v>
      </c>
      <c r="AD538" t="s">
        <v>41</v>
      </c>
      <c r="AY538" t="s">
        <v>781</v>
      </c>
    </row>
    <row r="539" spans="1:51" x14ac:dyDescent="0.25">
      <c r="A539" t="str">
        <f t="shared" si="29"/>
        <v>5000017979108048403</v>
      </c>
      <c r="B539">
        <v>1</v>
      </c>
      <c r="C539">
        <v>10804840</v>
      </c>
      <c r="D539">
        <v>3</v>
      </c>
      <c r="E539">
        <v>5000017979</v>
      </c>
      <c r="F539" t="s">
        <v>773</v>
      </c>
      <c r="G539">
        <v>2</v>
      </c>
      <c r="H539" t="s">
        <v>93</v>
      </c>
      <c r="I539" s="10">
        <v>45954</v>
      </c>
      <c r="K539" s="23">
        <v>185000</v>
      </c>
      <c r="L539" t="s">
        <v>162</v>
      </c>
      <c r="M539" t="s">
        <v>382</v>
      </c>
      <c r="N539" t="s">
        <v>37</v>
      </c>
      <c r="O539" t="s">
        <v>38</v>
      </c>
      <c r="R539" t="s">
        <v>98</v>
      </c>
      <c r="S539" t="s">
        <v>39</v>
      </c>
      <c r="T539">
        <v>0</v>
      </c>
      <c r="U539">
        <v>79710377</v>
      </c>
      <c r="V539">
        <v>2</v>
      </c>
      <c r="W539">
        <v>0</v>
      </c>
      <c r="X539" t="s">
        <v>163</v>
      </c>
      <c r="Y539" s="10">
        <v>45951</v>
      </c>
      <c r="AD539" t="s">
        <v>41</v>
      </c>
      <c r="AY539" t="s">
        <v>782</v>
      </c>
    </row>
    <row r="540" spans="1:51" x14ac:dyDescent="0.25">
      <c r="A540" t="str">
        <f t="shared" si="29"/>
        <v>5000016323108048406</v>
      </c>
      <c r="B540">
        <v>2</v>
      </c>
      <c r="C540">
        <v>10804840</v>
      </c>
      <c r="D540">
        <v>6</v>
      </c>
      <c r="E540">
        <v>5000016323</v>
      </c>
      <c r="F540" t="s">
        <v>596</v>
      </c>
      <c r="G540">
        <v>10</v>
      </c>
      <c r="H540" t="s">
        <v>93</v>
      </c>
      <c r="I540" s="10">
        <v>45954</v>
      </c>
      <c r="K540" s="23">
        <v>12000</v>
      </c>
      <c r="L540" t="s">
        <v>162</v>
      </c>
      <c r="M540" t="s">
        <v>36</v>
      </c>
      <c r="N540" t="s">
        <v>37</v>
      </c>
      <c r="O540" t="s">
        <v>38</v>
      </c>
      <c r="R540" t="s">
        <v>98</v>
      </c>
      <c r="S540" t="s">
        <v>39</v>
      </c>
      <c r="T540">
        <v>0</v>
      </c>
      <c r="U540">
        <v>79710377</v>
      </c>
      <c r="V540">
        <v>10</v>
      </c>
      <c r="W540">
        <v>0</v>
      </c>
      <c r="X540" t="s">
        <v>163</v>
      </c>
      <c r="Y540" s="10">
        <v>45951</v>
      </c>
      <c r="AD540" t="s">
        <v>41</v>
      </c>
      <c r="AY540" t="s">
        <v>776</v>
      </c>
    </row>
    <row r="541" spans="1:51" x14ac:dyDescent="0.25">
      <c r="A541" t="str">
        <f t="shared" si="29"/>
        <v>5000013640108048404</v>
      </c>
      <c r="B541">
        <v>1</v>
      </c>
      <c r="C541">
        <v>10804840</v>
      </c>
      <c r="D541">
        <v>4</v>
      </c>
      <c r="E541">
        <v>5000013640</v>
      </c>
      <c r="F541" t="s">
        <v>159</v>
      </c>
      <c r="G541">
        <v>19</v>
      </c>
      <c r="H541" t="s">
        <v>93</v>
      </c>
      <c r="I541" s="10">
        <v>45954</v>
      </c>
      <c r="K541" s="23">
        <v>15000</v>
      </c>
      <c r="L541" t="s">
        <v>162</v>
      </c>
      <c r="M541" t="s">
        <v>160</v>
      </c>
      <c r="N541" t="s">
        <v>37</v>
      </c>
      <c r="O541" t="s">
        <v>38</v>
      </c>
      <c r="R541" t="s">
        <v>98</v>
      </c>
      <c r="S541" t="s">
        <v>39</v>
      </c>
      <c r="T541">
        <v>0</v>
      </c>
      <c r="U541">
        <v>79710378</v>
      </c>
      <c r="V541">
        <v>19</v>
      </c>
      <c r="W541">
        <v>0</v>
      </c>
      <c r="X541" t="s">
        <v>163</v>
      </c>
      <c r="Y541" s="10">
        <v>45951</v>
      </c>
      <c r="AD541" t="s">
        <v>41</v>
      </c>
      <c r="AY541" t="s">
        <v>774</v>
      </c>
    </row>
    <row r="542" spans="1:51" x14ac:dyDescent="0.25">
      <c r="A542" t="str">
        <f t="shared" si="29"/>
        <v>5000016322108048405</v>
      </c>
      <c r="B542">
        <v>2</v>
      </c>
      <c r="C542">
        <v>10804840</v>
      </c>
      <c r="D542">
        <v>5</v>
      </c>
      <c r="E542">
        <v>5000016322</v>
      </c>
      <c r="F542" t="s">
        <v>388</v>
      </c>
      <c r="G542">
        <v>19</v>
      </c>
      <c r="H542" t="s">
        <v>93</v>
      </c>
      <c r="I542" s="10">
        <v>45954</v>
      </c>
      <c r="K542" s="23">
        <v>15000</v>
      </c>
      <c r="L542" t="s">
        <v>162</v>
      </c>
      <c r="M542" t="s">
        <v>36</v>
      </c>
      <c r="N542" t="s">
        <v>37</v>
      </c>
      <c r="O542" t="s">
        <v>38</v>
      </c>
      <c r="R542" t="s">
        <v>98</v>
      </c>
      <c r="S542" t="s">
        <v>39</v>
      </c>
      <c r="T542">
        <v>0</v>
      </c>
      <c r="U542">
        <v>79710378</v>
      </c>
      <c r="V542">
        <v>19</v>
      </c>
      <c r="W542">
        <v>0</v>
      </c>
      <c r="X542" t="s">
        <v>163</v>
      </c>
      <c r="Y542" s="10">
        <v>45951</v>
      </c>
      <c r="AD542" t="s">
        <v>41</v>
      </c>
      <c r="AY542" t="s">
        <v>775</v>
      </c>
    </row>
    <row r="543" spans="1:51" x14ac:dyDescent="0.25">
      <c r="A543" t="str">
        <f t="shared" si="29"/>
        <v>5000017082108033621</v>
      </c>
      <c r="B543">
        <v>1</v>
      </c>
      <c r="C543">
        <v>10803362</v>
      </c>
      <c r="D543">
        <v>1</v>
      </c>
      <c r="E543">
        <v>5000017082</v>
      </c>
      <c r="F543" t="s">
        <v>609</v>
      </c>
      <c r="G543">
        <v>1</v>
      </c>
      <c r="H543" t="s">
        <v>35</v>
      </c>
      <c r="I543" s="10">
        <v>45867</v>
      </c>
      <c r="K543" s="23">
        <v>2072072.1</v>
      </c>
      <c r="L543" t="s">
        <v>162</v>
      </c>
      <c r="M543" t="s">
        <v>36</v>
      </c>
      <c r="N543" t="s">
        <v>37</v>
      </c>
      <c r="O543" t="s">
        <v>38</v>
      </c>
      <c r="R543" t="s">
        <v>98</v>
      </c>
      <c r="S543" t="s">
        <v>39</v>
      </c>
      <c r="T543">
        <v>0</v>
      </c>
      <c r="U543">
        <v>79707003</v>
      </c>
      <c r="V543">
        <v>0</v>
      </c>
      <c r="W543">
        <v>1</v>
      </c>
      <c r="X543" t="s">
        <v>163</v>
      </c>
      <c r="Y543" s="10">
        <v>45862</v>
      </c>
      <c r="AD543" t="s">
        <v>41</v>
      </c>
      <c r="AX543" t="s">
        <v>164</v>
      </c>
      <c r="AY543" t="s">
        <v>613</v>
      </c>
    </row>
    <row r="544" spans="1:51" x14ac:dyDescent="0.25">
      <c r="A544" t="str">
        <f t="shared" si="29"/>
        <v>5000017979108048403</v>
      </c>
      <c r="B544">
        <v>1</v>
      </c>
      <c r="C544">
        <v>10804840</v>
      </c>
      <c r="D544">
        <v>3</v>
      </c>
      <c r="E544">
        <v>5000017979</v>
      </c>
      <c r="F544" t="s">
        <v>773</v>
      </c>
      <c r="G544">
        <v>2</v>
      </c>
      <c r="H544" t="s">
        <v>93</v>
      </c>
      <c r="I544" s="10">
        <v>45954</v>
      </c>
      <c r="K544" s="23">
        <v>185000</v>
      </c>
      <c r="L544" t="s">
        <v>162</v>
      </c>
      <c r="M544" t="s">
        <v>382</v>
      </c>
      <c r="N544" t="s">
        <v>37</v>
      </c>
      <c r="O544" t="s">
        <v>38</v>
      </c>
      <c r="R544" t="s">
        <v>98</v>
      </c>
      <c r="S544" t="s">
        <v>39</v>
      </c>
      <c r="T544">
        <v>0</v>
      </c>
      <c r="U544">
        <v>79710377</v>
      </c>
      <c r="V544">
        <v>2</v>
      </c>
      <c r="W544">
        <v>0</v>
      </c>
      <c r="X544" t="s">
        <v>163</v>
      </c>
      <c r="Y544" s="10">
        <v>45951</v>
      </c>
      <c r="AD544" t="s">
        <v>41</v>
      </c>
      <c r="AY544" t="s">
        <v>782</v>
      </c>
    </row>
    <row r="545" spans="1:51" x14ac:dyDescent="0.25">
      <c r="A545" t="str">
        <f t="shared" si="29"/>
        <v>5000016323108048406</v>
      </c>
      <c r="B545">
        <v>2</v>
      </c>
      <c r="C545">
        <v>10804840</v>
      </c>
      <c r="D545">
        <v>6</v>
      </c>
      <c r="E545">
        <v>5000016323</v>
      </c>
      <c r="F545" t="s">
        <v>596</v>
      </c>
      <c r="G545">
        <v>10</v>
      </c>
      <c r="H545" t="s">
        <v>93</v>
      </c>
      <c r="I545" s="10">
        <v>45954</v>
      </c>
      <c r="K545" s="23">
        <v>12000</v>
      </c>
      <c r="L545" t="s">
        <v>162</v>
      </c>
      <c r="M545" t="s">
        <v>36</v>
      </c>
      <c r="N545" t="s">
        <v>37</v>
      </c>
      <c r="O545" t="s">
        <v>38</v>
      </c>
      <c r="R545" t="s">
        <v>98</v>
      </c>
      <c r="S545" t="s">
        <v>39</v>
      </c>
      <c r="T545">
        <v>0</v>
      </c>
      <c r="U545">
        <v>79710377</v>
      </c>
      <c r="V545">
        <v>10</v>
      </c>
      <c r="W545">
        <v>0</v>
      </c>
      <c r="X545" t="s">
        <v>163</v>
      </c>
      <c r="Y545" s="10">
        <v>45951</v>
      </c>
      <c r="AD545" t="s">
        <v>41</v>
      </c>
      <c r="AY545" t="s">
        <v>776</v>
      </c>
    </row>
    <row r="546" spans="1:51" x14ac:dyDescent="0.25">
      <c r="A546" t="str">
        <f t="shared" si="29"/>
        <v>5000013640108048404</v>
      </c>
      <c r="B546">
        <v>1</v>
      </c>
      <c r="C546">
        <v>10804840</v>
      </c>
      <c r="D546">
        <v>4</v>
      </c>
      <c r="E546">
        <v>5000013640</v>
      </c>
      <c r="F546" t="s">
        <v>159</v>
      </c>
      <c r="G546">
        <v>19</v>
      </c>
      <c r="H546" t="s">
        <v>93</v>
      </c>
      <c r="I546" s="10">
        <v>45954</v>
      </c>
      <c r="K546" s="23">
        <v>15000</v>
      </c>
      <c r="L546" t="s">
        <v>162</v>
      </c>
      <c r="M546" t="s">
        <v>160</v>
      </c>
      <c r="N546" t="s">
        <v>37</v>
      </c>
      <c r="O546" t="s">
        <v>38</v>
      </c>
      <c r="R546" t="s">
        <v>98</v>
      </c>
      <c r="S546" t="s">
        <v>39</v>
      </c>
      <c r="T546">
        <v>0</v>
      </c>
      <c r="U546">
        <v>79710378</v>
      </c>
      <c r="V546">
        <v>19</v>
      </c>
      <c r="W546">
        <v>0</v>
      </c>
      <c r="X546" t="s">
        <v>163</v>
      </c>
      <c r="Y546" s="10">
        <v>45951</v>
      </c>
      <c r="AD546" t="s">
        <v>41</v>
      </c>
      <c r="AY546" t="s">
        <v>774</v>
      </c>
    </row>
    <row r="547" spans="1:51" x14ac:dyDescent="0.25">
      <c r="A547" t="str">
        <f t="shared" si="29"/>
        <v>5000016322108048405</v>
      </c>
      <c r="B547">
        <v>2</v>
      </c>
      <c r="C547">
        <v>10804840</v>
      </c>
      <c r="D547">
        <v>5</v>
      </c>
      <c r="E547">
        <v>5000016322</v>
      </c>
      <c r="F547" t="s">
        <v>388</v>
      </c>
      <c r="G547">
        <v>19</v>
      </c>
      <c r="H547" t="s">
        <v>93</v>
      </c>
      <c r="I547" s="10">
        <v>45954</v>
      </c>
      <c r="K547" s="23">
        <v>15000</v>
      </c>
      <c r="L547" t="s">
        <v>162</v>
      </c>
      <c r="M547" t="s">
        <v>36</v>
      </c>
      <c r="N547" t="s">
        <v>37</v>
      </c>
      <c r="O547" t="s">
        <v>38</v>
      </c>
      <c r="R547" t="s">
        <v>98</v>
      </c>
      <c r="S547" t="s">
        <v>39</v>
      </c>
      <c r="T547">
        <v>0</v>
      </c>
      <c r="U547">
        <v>79710378</v>
      </c>
      <c r="V547">
        <v>19</v>
      </c>
      <c r="W547">
        <v>0</v>
      </c>
      <c r="X547" t="s">
        <v>163</v>
      </c>
      <c r="Y547" s="10">
        <v>45951</v>
      </c>
      <c r="AD547" t="s">
        <v>41</v>
      </c>
      <c r="AY547" t="s">
        <v>775</v>
      </c>
    </row>
    <row r="548" spans="1:51" x14ac:dyDescent="0.25">
      <c r="A548" t="str">
        <f t="shared" si="29"/>
        <v>5000017425108048401</v>
      </c>
      <c r="B548">
        <v>1</v>
      </c>
      <c r="C548">
        <v>10804840</v>
      </c>
      <c r="D548">
        <v>1</v>
      </c>
      <c r="E548">
        <v>5000017425</v>
      </c>
      <c r="F548" t="s">
        <v>770</v>
      </c>
      <c r="G548">
        <v>1</v>
      </c>
      <c r="H548" t="s">
        <v>93</v>
      </c>
      <c r="I548" s="10">
        <v>45954</v>
      </c>
      <c r="K548" s="23">
        <v>310000</v>
      </c>
      <c r="L548" t="s">
        <v>162</v>
      </c>
      <c r="M548" t="s">
        <v>36</v>
      </c>
      <c r="N548" t="s">
        <v>37</v>
      </c>
      <c r="O548" t="s">
        <v>38</v>
      </c>
      <c r="R548" t="s">
        <v>98</v>
      </c>
      <c r="S548" t="s">
        <v>39</v>
      </c>
      <c r="T548">
        <v>0</v>
      </c>
      <c r="U548">
        <v>79710512</v>
      </c>
      <c r="V548">
        <v>1</v>
      </c>
      <c r="W548">
        <v>0</v>
      </c>
      <c r="X548" t="s">
        <v>163</v>
      </c>
      <c r="Y548" s="10">
        <v>45954</v>
      </c>
      <c r="AD548" t="s">
        <v>41</v>
      </c>
      <c r="AY548" t="s">
        <v>788</v>
      </c>
    </row>
    <row r="549" spans="1:51" x14ac:dyDescent="0.25">
      <c r="A549" t="str">
        <f t="shared" si="29"/>
        <v>5000017216108049121</v>
      </c>
      <c r="B549">
        <v>1</v>
      </c>
      <c r="C549">
        <v>10804912</v>
      </c>
      <c r="D549">
        <v>1</v>
      </c>
      <c r="E549">
        <v>5000017216</v>
      </c>
      <c r="F549" t="s">
        <v>183</v>
      </c>
      <c r="G549">
        <v>1</v>
      </c>
      <c r="H549" t="s">
        <v>35</v>
      </c>
      <c r="I549" s="10">
        <v>45959</v>
      </c>
      <c r="K549" s="23">
        <v>1120000</v>
      </c>
      <c r="L549" t="s">
        <v>162</v>
      </c>
      <c r="M549" t="s">
        <v>36</v>
      </c>
      <c r="N549" t="s">
        <v>37</v>
      </c>
      <c r="O549" t="s">
        <v>38</v>
      </c>
      <c r="R549" t="s">
        <v>98</v>
      </c>
      <c r="S549" t="s">
        <v>39</v>
      </c>
      <c r="T549">
        <v>0</v>
      </c>
      <c r="U549">
        <v>79710514</v>
      </c>
      <c r="V549">
        <v>1</v>
      </c>
      <c r="W549">
        <v>0</v>
      </c>
      <c r="X549" t="s">
        <v>163</v>
      </c>
      <c r="Y549" s="10">
        <v>45954</v>
      </c>
      <c r="AD549" t="s">
        <v>41</v>
      </c>
      <c r="AY549" t="s">
        <v>783</v>
      </c>
    </row>
    <row r="550" spans="1:51" x14ac:dyDescent="0.25">
      <c r="A550" t="str">
        <f t="shared" si="29"/>
        <v>5000011754108049122</v>
      </c>
      <c r="B550">
        <v>1</v>
      </c>
      <c r="C550">
        <v>10804912</v>
      </c>
      <c r="D550">
        <v>2</v>
      </c>
      <c r="E550">
        <v>5000011754</v>
      </c>
      <c r="F550" t="s">
        <v>99</v>
      </c>
      <c r="G550">
        <v>5</v>
      </c>
      <c r="H550" t="s">
        <v>93</v>
      </c>
      <c r="I550" s="10">
        <v>45959</v>
      </c>
      <c r="K550" s="23">
        <v>20000</v>
      </c>
      <c r="L550" t="s">
        <v>162</v>
      </c>
      <c r="M550" t="s">
        <v>36</v>
      </c>
      <c r="N550" t="s">
        <v>37</v>
      </c>
      <c r="O550" t="s">
        <v>38</v>
      </c>
      <c r="R550" t="s">
        <v>98</v>
      </c>
      <c r="S550" t="s">
        <v>39</v>
      </c>
      <c r="T550">
        <v>0</v>
      </c>
      <c r="U550">
        <v>79710515</v>
      </c>
      <c r="V550">
        <v>5</v>
      </c>
      <c r="W550">
        <v>0</v>
      </c>
      <c r="X550" t="s">
        <v>163</v>
      </c>
      <c r="Y550" s="10">
        <v>45954</v>
      </c>
      <c r="AD550" t="s">
        <v>41</v>
      </c>
      <c r="AY550" t="s">
        <v>784</v>
      </c>
    </row>
    <row r="551" spans="1:51" x14ac:dyDescent="0.25">
      <c r="A551" t="str">
        <f t="shared" si="29"/>
        <v>5000017082108033621</v>
      </c>
      <c r="B551">
        <v>1</v>
      </c>
      <c r="C551">
        <v>10803362</v>
      </c>
      <c r="D551">
        <v>1</v>
      </c>
      <c r="E551">
        <v>5000017082</v>
      </c>
      <c r="F551" t="s">
        <v>609</v>
      </c>
      <c r="G551">
        <v>1</v>
      </c>
      <c r="H551" t="s">
        <v>35</v>
      </c>
      <c r="I551" s="10">
        <v>45867</v>
      </c>
      <c r="K551" s="23">
        <v>2072072.1</v>
      </c>
      <c r="L551" t="s">
        <v>162</v>
      </c>
      <c r="M551" t="s">
        <v>36</v>
      </c>
      <c r="N551" t="s">
        <v>37</v>
      </c>
      <c r="O551" t="s">
        <v>38</v>
      </c>
      <c r="R551" t="s">
        <v>98</v>
      </c>
      <c r="S551" t="s">
        <v>39</v>
      </c>
      <c r="T551">
        <v>0</v>
      </c>
      <c r="U551">
        <v>79707003</v>
      </c>
      <c r="V551">
        <v>0</v>
      </c>
      <c r="W551">
        <v>1</v>
      </c>
      <c r="X551" t="s">
        <v>163</v>
      </c>
      <c r="Y551" s="10">
        <v>45862</v>
      </c>
      <c r="AD551" t="s">
        <v>41</v>
      </c>
      <c r="AX551" t="s">
        <v>164</v>
      </c>
      <c r="AY551" t="s">
        <v>613</v>
      </c>
    </row>
    <row r="552" spans="1:51" x14ac:dyDescent="0.25">
      <c r="A552" t="str">
        <f t="shared" si="29"/>
        <v>5000017979108048403</v>
      </c>
      <c r="B552">
        <v>1</v>
      </c>
      <c r="C552">
        <v>10804840</v>
      </c>
      <c r="D552">
        <v>3</v>
      </c>
      <c r="E552">
        <v>5000017979</v>
      </c>
      <c r="F552" t="s">
        <v>773</v>
      </c>
      <c r="G552">
        <v>2</v>
      </c>
      <c r="H552" t="s">
        <v>93</v>
      </c>
      <c r="I552" s="10">
        <v>45954</v>
      </c>
      <c r="K552" s="23">
        <v>185000</v>
      </c>
      <c r="L552" t="s">
        <v>162</v>
      </c>
      <c r="M552" t="s">
        <v>382</v>
      </c>
      <c r="N552" t="s">
        <v>37</v>
      </c>
      <c r="O552" t="s">
        <v>38</v>
      </c>
      <c r="R552" t="s">
        <v>98</v>
      </c>
      <c r="S552" t="s">
        <v>39</v>
      </c>
      <c r="T552">
        <v>0</v>
      </c>
      <c r="U552">
        <v>79710377</v>
      </c>
      <c r="V552">
        <v>2</v>
      </c>
      <c r="W552">
        <v>0</v>
      </c>
      <c r="X552" t="s">
        <v>163</v>
      </c>
      <c r="Y552" s="10">
        <v>45951</v>
      </c>
      <c r="AD552" t="s">
        <v>41</v>
      </c>
      <c r="AY552" t="s">
        <v>782</v>
      </c>
    </row>
    <row r="553" spans="1:51" x14ac:dyDescent="0.25">
      <c r="A553" t="str">
        <f t="shared" si="29"/>
        <v>5000016323108048406</v>
      </c>
      <c r="B553">
        <v>2</v>
      </c>
      <c r="C553">
        <v>10804840</v>
      </c>
      <c r="D553">
        <v>6</v>
      </c>
      <c r="E553">
        <v>5000016323</v>
      </c>
      <c r="F553" t="s">
        <v>596</v>
      </c>
      <c r="G553">
        <v>10</v>
      </c>
      <c r="H553" t="s">
        <v>93</v>
      </c>
      <c r="I553" s="10">
        <v>45954</v>
      </c>
      <c r="K553" s="23">
        <v>12000</v>
      </c>
      <c r="L553" t="s">
        <v>162</v>
      </c>
      <c r="M553" t="s">
        <v>36</v>
      </c>
      <c r="N553" t="s">
        <v>37</v>
      </c>
      <c r="O553" t="s">
        <v>38</v>
      </c>
      <c r="R553" t="s">
        <v>98</v>
      </c>
      <c r="S553" t="s">
        <v>39</v>
      </c>
      <c r="T553">
        <v>0</v>
      </c>
      <c r="U553">
        <v>79710377</v>
      </c>
      <c r="V553">
        <v>10</v>
      </c>
      <c r="W553">
        <v>0</v>
      </c>
      <c r="X553" t="s">
        <v>163</v>
      </c>
      <c r="Y553" s="10">
        <v>45951</v>
      </c>
      <c r="AD553" t="s">
        <v>41</v>
      </c>
      <c r="AY553" t="s">
        <v>776</v>
      </c>
    </row>
    <row r="554" spans="1:51" x14ac:dyDescent="0.25">
      <c r="A554" t="str">
        <f t="shared" si="29"/>
        <v>5000013640108048404</v>
      </c>
      <c r="B554">
        <v>1</v>
      </c>
      <c r="C554">
        <v>10804840</v>
      </c>
      <c r="D554">
        <v>4</v>
      </c>
      <c r="E554">
        <v>5000013640</v>
      </c>
      <c r="F554" t="s">
        <v>159</v>
      </c>
      <c r="G554">
        <v>19</v>
      </c>
      <c r="H554" t="s">
        <v>93</v>
      </c>
      <c r="I554" s="10">
        <v>45954</v>
      </c>
      <c r="K554" s="23">
        <v>15000</v>
      </c>
      <c r="L554" t="s">
        <v>162</v>
      </c>
      <c r="M554" t="s">
        <v>160</v>
      </c>
      <c r="N554" t="s">
        <v>37</v>
      </c>
      <c r="O554" t="s">
        <v>38</v>
      </c>
      <c r="R554" t="s">
        <v>98</v>
      </c>
      <c r="S554" t="s">
        <v>39</v>
      </c>
      <c r="T554">
        <v>0</v>
      </c>
      <c r="U554">
        <v>79710378</v>
      </c>
      <c r="V554">
        <v>19</v>
      </c>
      <c r="W554">
        <v>0</v>
      </c>
      <c r="X554" t="s">
        <v>163</v>
      </c>
      <c r="Y554" s="10">
        <v>45951</v>
      </c>
      <c r="AD554" t="s">
        <v>41</v>
      </c>
      <c r="AY554" t="s">
        <v>774</v>
      </c>
    </row>
    <row r="555" spans="1:51" x14ac:dyDescent="0.25">
      <c r="A555" t="str">
        <f t="shared" si="29"/>
        <v>5000016322108048405</v>
      </c>
      <c r="B555">
        <v>2</v>
      </c>
      <c r="C555">
        <v>10804840</v>
      </c>
      <c r="D555">
        <v>5</v>
      </c>
      <c r="E555">
        <v>5000016322</v>
      </c>
      <c r="F555" t="s">
        <v>388</v>
      </c>
      <c r="G555">
        <v>19</v>
      </c>
      <c r="H555" t="s">
        <v>93</v>
      </c>
      <c r="I555" s="10">
        <v>45954</v>
      </c>
      <c r="K555" s="23">
        <v>15000</v>
      </c>
      <c r="L555" t="s">
        <v>162</v>
      </c>
      <c r="M555" t="s">
        <v>36</v>
      </c>
      <c r="N555" t="s">
        <v>37</v>
      </c>
      <c r="O555" t="s">
        <v>38</v>
      </c>
      <c r="R555" t="s">
        <v>98</v>
      </c>
      <c r="S555" t="s">
        <v>39</v>
      </c>
      <c r="T555">
        <v>0</v>
      </c>
      <c r="U555">
        <v>79710378</v>
      </c>
      <c r="V555">
        <v>19</v>
      </c>
      <c r="W555">
        <v>0</v>
      </c>
      <c r="X555" t="s">
        <v>163</v>
      </c>
      <c r="Y555" s="10">
        <v>45951</v>
      </c>
      <c r="AD555" t="s">
        <v>41</v>
      </c>
      <c r="AY555" t="s">
        <v>775</v>
      </c>
    </row>
    <row r="556" spans="1:51" x14ac:dyDescent="0.25">
      <c r="A556" t="str">
        <f t="shared" si="29"/>
        <v>5000017425108048401</v>
      </c>
      <c r="B556">
        <v>1</v>
      </c>
      <c r="C556">
        <v>10804840</v>
      </c>
      <c r="D556">
        <v>1</v>
      </c>
      <c r="E556">
        <v>5000017425</v>
      </c>
      <c r="F556" t="s">
        <v>770</v>
      </c>
      <c r="G556">
        <v>1</v>
      </c>
      <c r="H556" t="s">
        <v>93</v>
      </c>
      <c r="I556" s="10">
        <v>45954</v>
      </c>
      <c r="K556" s="23">
        <v>310000</v>
      </c>
      <c r="L556" t="s">
        <v>162</v>
      </c>
      <c r="M556" t="s">
        <v>36</v>
      </c>
      <c r="N556" t="s">
        <v>37</v>
      </c>
      <c r="O556" t="s">
        <v>38</v>
      </c>
      <c r="R556" t="s">
        <v>98</v>
      </c>
      <c r="S556" t="s">
        <v>39</v>
      </c>
      <c r="T556">
        <v>0</v>
      </c>
      <c r="U556">
        <v>79710512</v>
      </c>
      <c r="V556">
        <v>1</v>
      </c>
      <c r="W556">
        <v>0</v>
      </c>
      <c r="X556" t="s">
        <v>163</v>
      </c>
      <c r="Y556" s="10">
        <v>45954</v>
      </c>
      <c r="AD556" t="s">
        <v>41</v>
      </c>
      <c r="AY556" t="s">
        <v>788</v>
      </c>
    </row>
    <row r="557" spans="1:51" x14ac:dyDescent="0.25">
      <c r="A557" t="str">
        <f t="shared" si="29"/>
        <v>5000005059108049521</v>
      </c>
      <c r="B557">
        <v>1</v>
      </c>
      <c r="C557">
        <v>10804952</v>
      </c>
      <c r="D557">
        <v>1</v>
      </c>
      <c r="E557">
        <v>5000005059</v>
      </c>
      <c r="F557" t="s">
        <v>153</v>
      </c>
      <c r="G557">
        <v>1</v>
      </c>
      <c r="H557" t="s">
        <v>93</v>
      </c>
      <c r="I557" s="10">
        <v>45961</v>
      </c>
      <c r="K557" s="23">
        <v>135135.20000000001</v>
      </c>
      <c r="L557" t="s">
        <v>162</v>
      </c>
      <c r="M557" t="s">
        <v>36</v>
      </c>
      <c r="N557" t="s">
        <v>37</v>
      </c>
      <c r="O557" t="s">
        <v>38</v>
      </c>
      <c r="R557" t="s">
        <v>98</v>
      </c>
      <c r="S557" t="s">
        <v>39</v>
      </c>
      <c r="T557">
        <v>0</v>
      </c>
      <c r="U557">
        <v>79710617</v>
      </c>
      <c r="V557">
        <v>1</v>
      </c>
      <c r="W557">
        <v>0</v>
      </c>
      <c r="X557" t="s">
        <v>163</v>
      </c>
      <c r="Y557" s="10">
        <v>45958</v>
      </c>
      <c r="AD557" t="s">
        <v>41</v>
      </c>
      <c r="AY557" t="s">
        <v>802</v>
      </c>
    </row>
    <row r="558" spans="1:51" x14ac:dyDescent="0.25">
      <c r="A558" t="str">
        <f t="shared" si="29"/>
        <v>5000016428108049771</v>
      </c>
      <c r="B558">
        <v>2</v>
      </c>
      <c r="C558">
        <v>10804977</v>
      </c>
      <c r="D558">
        <v>1</v>
      </c>
      <c r="E558">
        <v>5000016428</v>
      </c>
      <c r="F558" t="s">
        <v>157</v>
      </c>
      <c r="G558">
        <v>1</v>
      </c>
      <c r="H558" t="s">
        <v>35</v>
      </c>
      <c r="I558" s="10">
        <v>45964</v>
      </c>
      <c r="K558" s="23">
        <v>1486486.5</v>
      </c>
      <c r="L558" t="s">
        <v>162</v>
      </c>
      <c r="M558" t="s">
        <v>36</v>
      </c>
      <c r="N558" t="s">
        <v>37</v>
      </c>
      <c r="O558" t="s">
        <v>38</v>
      </c>
      <c r="R558" t="s">
        <v>98</v>
      </c>
      <c r="S558" t="s">
        <v>39</v>
      </c>
      <c r="T558">
        <v>0</v>
      </c>
      <c r="U558">
        <v>79710617</v>
      </c>
      <c r="V558">
        <v>1</v>
      </c>
      <c r="W558">
        <v>0</v>
      </c>
      <c r="X558" t="s">
        <v>163</v>
      </c>
      <c r="Y558" s="10">
        <v>45958</v>
      </c>
      <c r="AD558" t="s">
        <v>41</v>
      </c>
      <c r="AY558" t="s">
        <v>803</v>
      </c>
    </row>
    <row r="559" spans="1:51" x14ac:dyDescent="0.25">
      <c r="A559" t="str">
        <f t="shared" si="29"/>
        <v>5000016255108049522</v>
      </c>
      <c r="B559">
        <v>1</v>
      </c>
      <c r="C559">
        <v>10804952</v>
      </c>
      <c r="D559">
        <v>2</v>
      </c>
      <c r="E559">
        <v>5000016255</v>
      </c>
      <c r="F559" t="s">
        <v>110</v>
      </c>
      <c r="G559">
        <v>1</v>
      </c>
      <c r="H559" t="s">
        <v>93</v>
      </c>
      <c r="I559" s="10">
        <v>45961</v>
      </c>
      <c r="K559" s="23">
        <v>343000</v>
      </c>
      <c r="L559" t="s">
        <v>162</v>
      </c>
      <c r="M559" t="s">
        <v>36</v>
      </c>
      <c r="N559" t="s">
        <v>37</v>
      </c>
      <c r="O559" t="s">
        <v>38</v>
      </c>
      <c r="R559" t="s">
        <v>98</v>
      </c>
      <c r="S559" t="s">
        <v>39</v>
      </c>
      <c r="T559">
        <v>0</v>
      </c>
      <c r="U559">
        <v>79710621</v>
      </c>
      <c r="V559">
        <v>1</v>
      </c>
      <c r="W559">
        <v>0</v>
      </c>
      <c r="X559" t="s">
        <v>163</v>
      </c>
      <c r="Y559" s="10">
        <v>45958</v>
      </c>
      <c r="AD559" t="s">
        <v>41</v>
      </c>
      <c r="AY559" t="s">
        <v>786</v>
      </c>
    </row>
    <row r="560" spans="1:51" x14ac:dyDescent="0.25">
      <c r="A560" t="str">
        <f t="shared" si="29"/>
        <v>5000014237108049523</v>
      </c>
      <c r="B560">
        <v>2</v>
      </c>
      <c r="C560">
        <v>10804952</v>
      </c>
      <c r="D560">
        <v>3</v>
      </c>
      <c r="E560">
        <v>5000014237</v>
      </c>
      <c r="F560" t="s">
        <v>305</v>
      </c>
      <c r="G560">
        <v>1</v>
      </c>
      <c r="H560" t="s">
        <v>296</v>
      </c>
      <c r="I560" s="10">
        <v>45961</v>
      </c>
      <c r="K560" s="23">
        <v>180000</v>
      </c>
      <c r="L560" t="s">
        <v>162</v>
      </c>
      <c r="M560" t="s">
        <v>36</v>
      </c>
      <c r="N560" t="s">
        <v>37</v>
      </c>
      <c r="O560" t="s">
        <v>38</v>
      </c>
      <c r="R560" t="s">
        <v>98</v>
      </c>
      <c r="S560" t="s">
        <v>39</v>
      </c>
      <c r="T560">
        <v>0</v>
      </c>
      <c r="U560">
        <v>79710621</v>
      </c>
      <c r="V560">
        <v>1</v>
      </c>
      <c r="W560">
        <v>0</v>
      </c>
      <c r="X560" t="s">
        <v>163</v>
      </c>
      <c r="Y560" s="10">
        <v>45958</v>
      </c>
      <c r="AD560" t="s">
        <v>41</v>
      </c>
      <c r="AY560" t="s">
        <v>787</v>
      </c>
    </row>
    <row r="561" spans="1:51" x14ac:dyDescent="0.25">
      <c r="A561" t="str">
        <f t="shared" si="29"/>
        <v>5000016308108049775</v>
      </c>
      <c r="B561">
        <v>3</v>
      </c>
      <c r="C561">
        <v>10804977</v>
      </c>
      <c r="D561">
        <v>5</v>
      </c>
      <c r="E561">
        <v>5000016308</v>
      </c>
      <c r="F561" t="s">
        <v>143</v>
      </c>
      <c r="G561">
        <v>1</v>
      </c>
      <c r="H561" t="s">
        <v>35</v>
      </c>
      <c r="I561" s="10">
        <v>45964</v>
      </c>
      <c r="K561" s="23">
        <v>2980000</v>
      </c>
      <c r="L561" t="s">
        <v>162</v>
      </c>
      <c r="M561" t="s">
        <v>36</v>
      </c>
      <c r="N561" t="s">
        <v>37</v>
      </c>
      <c r="O561" t="s">
        <v>38</v>
      </c>
      <c r="R561" t="s">
        <v>98</v>
      </c>
      <c r="S561" t="s">
        <v>39</v>
      </c>
      <c r="T561">
        <v>0</v>
      </c>
      <c r="U561">
        <v>79710621</v>
      </c>
      <c r="V561">
        <v>1</v>
      </c>
      <c r="W561">
        <v>0</v>
      </c>
      <c r="X561" t="s">
        <v>163</v>
      </c>
      <c r="Y561" s="10">
        <v>45958</v>
      </c>
      <c r="AD561" t="s">
        <v>41</v>
      </c>
      <c r="AY561" t="s">
        <v>793</v>
      </c>
    </row>
    <row r="562" spans="1:51" x14ac:dyDescent="0.25">
      <c r="A562" t="str">
        <f t="shared" si="29"/>
        <v>5000017216108049773</v>
      </c>
      <c r="B562">
        <v>1</v>
      </c>
      <c r="C562">
        <v>10804977</v>
      </c>
      <c r="D562">
        <v>3</v>
      </c>
      <c r="E562">
        <v>5000017216</v>
      </c>
      <c r="F562" t="s">
        <v>183</v>
      </c>
      <c r="G562">
        <v>1</v>
      </c>
      <c r="H562" t="s">
        <v>35</v>
      </c>
      <c r="I562" s="10">
        <v>45964</v>
      </c>
      <c r="K562" s="23">
        <v>1120000</v>
      </c>
      <c r="L562" t="s">
        <v>162</v>
      </c>
      <c r="M562" t="s">
        <v>36</v>
      </c>
      <c r="N562" t="s">
        <v>37</v>
      </c>
      <c r="O562" t="s">
        <v>38</v>
      </c>
      <c r="R562" t="s">
        <v>98</v>
      </c>
      <c r="S562" t="s">
        <v>39</v>
      </c>
      <c r="T562">
        <v>0</v>
      </c>
      <c r="U562">
        <v>79710623</v>
      </c>
      <c r="V562">
        <v>1</v>
      </c>
      <c r="W562">
        <v>0</v>
      </c>
      <c r="X562" t="s">
        <v>163</v>
      </c>
      <c r="Y562" s="10">
        <v>45958</v>
      </c>
      <c r="AD562" t="s">
        <v>41</v>
      </c>
      <c r="AY562" t="s">
        <v>791</v>
      </c>
    </row>
    <row r="563" spans="1:51" x14ac:dyDescent="0.25">
      <c r="A563" t="str">
        <f t="shared" si="29"/>
        <v>5000005059108049774</v>
      </c>
      <c r="B563">
        <v>2</v>
      </c>
      <c r="C563">
        <v>10804977</v>
      </c>
      <c r="D563">
        <v>4</v>
      </c>
      <c r="E563">
        <v>5000005059</v>
      </c>
      <c r="F563" t="s">
        <v>153</v>
      </c>
      <c r="G563">
        <v>1</v>
      </c>
      <c r="H563" t="s">
        <v>93</v>
      </c>
      <c r="I563" s="10">
        <v>45964</v>
      </c>
      <c r="K563" s="23">
        <v>95000</v>
      </c>
      <c r="L563" t="s">
        <v>162</v>
      </c>
      <c r="M563" t="s">
        <v>36</v>
      </c>
      <c r="N563" t="s">
        <v>37</v>
      </c>
      <c r="O563" t="s">
        <v>38</v>
      </c>
      <c r="R563" t="s">
        <v>98</v>
      </c>
      <c r="S563" t="s">
        <v>39</v>
      </c>
      <c r="T563">
        <v>0</v>
      </c>
      <c r="U563">
        <v>79710623</v>
      </c>
      <c r="V563">
        <v>1</v>
      </c>
      <c r="W563">
        <v>0</v>
      </c>
      <c r="X563" t="s">
        <v>163</v>
      </c>
      <c r="Y563" s="10">
        <v>45958</v>
      </c>
      <c r="AD563" t="s">
        <v>41</v>
      </c>
      <c r="AY563" t="s">
        <v>792</v>
      </c>
    </row>
    <row r="564" spans="1:51" x14ac:dyDescent="0.25">
      <c r="A564" t="str">
        <f t="shared" si="29"/>
        <v>5000004248108049776</v>
      </c>
      <c r="B564">
        <v>3</v>
      </c>
      <c r="C564">
        <v>10804977</v>
      </c>
      <c r="D564">
        <v>6</v>
      </c>
      <c r="E564">
        <v>5000004248</v>
      </c>
      <c r="F564" t="s">
        <v>155</v>
      </c>
      <c r="G564">
        <v>1</v>
      </c>
      <c r="H564" t="s">
        <v>93</v>
      </c>
      <c r="I564" s="10">
        <v>45964</v>
      </c>
      <c r="K564" s="23">
        <v>65000</v>
      </c>
      <c r="L564" t="s">
        <v>162</v>
      </c>
      <c r="M564" t="s">
        <v>36</v>
      </c>
      <c r="N564" t="s">
        <v>37</v>
      </c>
      <c r="O564" t="s">
        <v>38</v>
      </c>
      <c r="R564" t="s">
        <v>98</v>
      </c>
      <c r="S564" t="s">
        <v>39</v>
      </c>
      <c r="T564">
        <v>0</v>
      </c>
      <c r="U564">
        <v>79710623</v>
      </c>
      <c r="V564">
        <v>1</v>
      </c>
      <c r="W564">
        <v>0</v>
      </c>
      <c r="X564" t="s">
        <v>163</v>
      </c>
      <c r="Y564" s="10">
        <v>45958</v>
      </c>
      <c r="AD564" t="s">
        <v>41</v>
      </c>
      <c r="AY564" t="s">
        <v>794</v>
      </c>
    </row>
    <row r="565" spans="1:51" x14ac:dyDescent="0.25">
      <c r="A565" t="str">
        <f t="shared" si="29"/>
        <v>5000012021108049777</v>
      </c>
      <c r="B565">
        <v>4</v>
      </c>
      <c r="C565">
        <v>10804977</v>
      </c>
      <c r="D565">
        <v>7</v>
      </c>
      <c r="E565">
        <v>5000012021</v>
      </c>
      <c r="F565" t="s">
        <v>188</v>
      </c>
      <c r="G565">
        <v>1</v>
      </c>
      <c r="H565" t="s">
        <v>93</v>
      </c>
      <c r="I565" s="10">
        <v>45964</v>
      </c>
      <c r="K565" s="23">
        <v>30000</v>
      </c>
      <c r="L565" t="s">
        <v>162</v>
      </c>
      <c r="M565" t="s">
        <v>36</v>
      </c>
      <c r="N565" t="s">
        <v>37</v>
      </c>
      <c r="O565" t="s">
        <v>38</v>
      </c>
      <c r="R565" t="s">
        <v>98</v>
      </c>
      <c r="S565" t="s">
        <v>39</v>
      </c>
      <c r="T565">
        <v>0</v>
      </c>
      <c r="U565">
        <v>79710623</v>
      </c>
      <c r="V565">
        <v>1</v>
      </c>
      <c r="W565">
        <v>0</v>
      </c>
      <c r="X565" t="s">
        <v>163</v>
      </c>
      <c r="Y565" s="10">
        <v>45958</v>
      </c>
      <c r="AD565" t="s">
        <v>41</v>
      </c>
      <c r="AY565" t="s">
        <v>795</v>
      </c>
    </row>
    <row r="566" spans="1:51" x14ac:dyDescent="0.25">
      <c r="A566" t="str">
        <f t="shared" si="29"/>
        <v>5000011754108049778</v>
      </c>
      <c r="B566">
        <v>5</v>
      </c>
      <c r="C566">
        <v>10804977</v>
      </c>
      <c r="D566">
        <v>8</v>
      </c>
      <c r="E566">
        <v>5000011754</v>
      </c>
      <c r="F566" t="s">
        <v>99</v>
      </c>
      <c r="G566">
        <v>1</v>
      </c>
      <c r="H566" t="s">
        <v>93</v>
      </c>
      <c r="I566" s="10">
        <v>45964</v>
      </c>
      <c r="K566" s="23">
        <v>20000</v>
      </c>
      <c r="L566" t="s">
        <v>162</v>
      </c>
      <c r="M566" t="s">
        <v>36</v>
      </c>
      <c r="N566" t="s">
        <v>37</v>
      </c>
      <c r="O566" t="s">
        <v>38</v>
      </c>
      <c r="R566" t="s">
        <v>98</v>
      </c>
      <c r="S566" t="s">
        <v>39</v>
      </c>
      <c r="T566">
        <v>0</v>
      </c>
      <c r="U566">
        <v>79710623</v>
      </c>
      <c r="V566">
        <v>1</v>
      </c>
      <c r="W566">
        <v>0</v>
      </c>
      <c r="X566" t="s">
        <v>163</v>
      </c>
      <c r="Y566" s="10">
        <v>45958</v>
      </c>
      <c r="AD566" t="s">
        <v>41</v>
      </c>
      <c r="AY566" t="s">
        <v>794</v>
      </c>
    </row>
    <row r="567" spans="1:51" x14ac:dyDescent="0.25">
      <c r="A567" t="str">
        <f t="shared" si="29"/>
        <v>5000017979108048403</v>
      </c>
      <c r="B567">
        <v>1</v>
      </c>
      <c r="C567">
        <v>10804840</v>
      </c>
      <c r="D567">
        <v>3</v>
      </c>
      <c r="E567">
        <v>5000017979</v>
      </c>
      <c r="F567" t="s">
        <v>773</v>
      </c>
      <c r="G567">
        <v>2</v>
      </c>
      <c r="H567" t="s">
        <v>93</v>
      </c>
      <c r="I567" s="10">
        <v>45954</v>
      </c>
      <c r="K567" s="23">
        <v>185000</v>
      </c>
      <c r="L567" t="s">
        <v>162</v>
      </c>
      <c r="M567" t="s">
        <v>382</v>
      </c>
      <c r="N567" t="s">
        <v>37</v>
      </c>
      <c r="O567" t="s">
        <v>38</v>
      </c>
      <c r="R567" t="s">
        <v>98</v>
      </c>
      <c r="S567" t="s">
        <v>39</v>
      </c>
      <c r="T567">
        <v>0</v>
      </c>
      <c r="U567">
        <v>79710377</v>
      </c>
      <c r="V567">
        <v>2</v>
      </c>
      <c r="W567">
        <v>0</v>
      </c>
      <c r="X567" t="s">
        <v>163</v>
      </c>
      <c r="Y567" s="10">
        <v>45951</v>
      </c>
      <c r="AD567" t="s">
        <v>41</v>
      </c>
      <c r="AY567" t="s">
        <v>782</v>
      </c>
    </row>
    <row r="568" spans="1:51" x14ac:dyDescent="0.25">
      <c r="A568" t="str">
        <f t="shared" si="29"/>
        <v>5000016323108048406</v>
      </c>
      <c r="B568">
        <v>2</v>
      </c>
      <c r="C568">
        <v>10804840</v>
      </c>
      <c r="D568">
        <v>6</v>
      </c>
      <c r="E568">
        <v>5000016323</v>
      </c>
      <c r="F568" t="s">
        <v>596</v>
      </c>
      <c r="G568">
        <v>10</v>
      </c>
      <c r="H568" t="s">
        <v>93</v>
      </c>
      <c r="I568" s="10">
        <v>45954</v>
      </c>
      <c r="K568" s="23">
        <v>12000</v>
      </c>
      <c r="L568" t="s">
        <v>162</v>
      </c>
      <c r="M568" t="s">
        <v>36</v>
      </c>
      <c r="N568" t="s">
        <v>37</v>
      </c>
      <c r="O568" t="s">
        <v>38</v>
      </c>
      <c r="R568" t="s">
        <v>98</v>
      </c>
      <c r="S568" t="s">
        <v>39</v>
      </c>
      <c r="T568">
        <v>0</v>
      </c>
      <c r="U568">
        <v>79710377</v>
      </c>
      <c r="V568">
        <v>10</v>
      </c>
      <c r="W568">
        <v>0</v>
      </c>
      <c r="X568" t="s">
        <v>163</v>
      </c>
      <c r="Y568" s="10">
        <v>45951</v>
      </c>
      <c r="AD568" t="s">
        <v>41</v>
      </c>
      <c r="AY568" t="s">
        <v>776</v>
      </c>
    </row>
    <row r="569" spans="1:51" x14ac:dyDescent="0.25">
      <c r="A569" t="str">
        <f t="shared" si="29"/>
        <v>5000013640108048404</v>
      </c>
      <c r="B569">
        <v>1</v>
      </c>
      <c r="C569">
        <v>10804840</v>
      </c>
      <c r="D569">
        <v>4</v>
      </c>
      <c r="E569">
        <v>5000013640</v>
      </c>
      <c r="F569" t="s">
        <v>159</v>
      </c>
      <c r="G569">
        <v>19</v>
      </c>
      <c r="H569" t="s">
        <v>93</v>
      </c>
      <c r="I569" s="10">
        <v>45954</v>
      </c>
      <c r="K569" s="23">
        <v>15000</v>
      </c>
      <c r="L569" t="s">
        <v>162</v>
      </c>
      <c r="M569" t="s">
        <v>160</v>
      </c>
      <c r="N569" t="s">
        <v>37</v>
      </c>
      <c r="O569" t="s">
        <v>38</v>
      </c>
      <c r="R569" t="s">
        <v>98</v>
      </c>
      <c r="S569" t="s">
        <v>39</v>
      </c>
      <c r="T569">
        <v>0</v>
      </c>
      <c r="U569">
        <v>79710378</v>
      </c>
      <c r="V569">
        <v>0</v>
      </c>
      <c r="W569">
        <v>19</v>
      </c>
      <c r="X569" t="s">
        <v>163</v>
      </c>
      <c r="Y569" s="10">
        <v>45951</v>
      </c>
      <c r="AD569" t="s">
        <v>41</v>
      </c>
      <c r="AX569" t="s">
        <v>164</v>
      </c>
      <c r="AY569" t="s">
        <v>774</v>
      </c>
    </row>
    <row r="570" spans="1:51" x14ac:dyDescent="0.25">
      <c r="A570" t="str">
        <f t="shared" si="29"/>
        <v>5000016322108048405</v>
      </c>
      <c r="B570">
        <v>2</v>
      </c>
      <c r="C570">
        <v>10804840</v>
      </c>
      <c r="D570">
        <v>5</v>
      </c>
      <c r="E570">
        <v>5000016322</v>
      </c>
      <c r="F570" t="s">
        <v>388</v>
      </c>
      <c r="G570">
        <v>19</v>
      </c>
      <c r="H570" t="s">
        <v>93</v>
      </c>
      <c r="I570" s="10">
        <v>45954</v>
      </c>
      <c r="K570" s="23">
        <v>15000</v>
      </c>
      <c r="L570" t="s">
        <v>162</v>
      </c>
      <c r="M570" t="s">
        <v>36</v>
      </c>
      <c r="N570" t="s">
        <v>37</v>
      </c>
      <c r="O570" t="s">
        <v>38</v>
      </c>
      <c r="R570" t="s">
        <v>98</v>
      </c>
      <c r="S570" t="s">
        <v>39</v>
      </c>
      <c r="T570">
        <v>0</v>
      </c>
      <c r="U570">
        <v>79710378</v>
      </c>
      <c r="V570">
        <v>0</v>
      </c>
      <c r="W570">
        <v>19</v>
      </c>
      <c r="X570" t="s">
        <v>163</v>
      </c>
      <c r="Y570" s="10">
        <v>45951</v>
      </c>
      <c r="AD570" t="s">
        <v>41</v>
      </c>
      <c r="AX570" t="s">
        <v>164</v>
      </c>
      <c r="AY570" t="s">
        <v>775</v>
      </c>
    </row>
    <row r="571" spans="1:51" x14ac:dyDescent="0.25">
      <c r="A571" t="str">
        <f t="shared" si="29"/>
        <v>5000017425108048401</v>
      </c>
      <c r="B571">
        <v>1</v>
      </c>
      <c r="C571">
        <v>10804840</v>
      </c>
      <c r="D571">
        <v>1</v>
      </c>
      <c r="E571">
        <v>5000017425</v>
      </c>
      <c r="F571" t="s">
        <v>770</v>
      </c>
      <c r="G571">
        <v>1</v>
      </c>
      <c r="H571" t="s">
        <v>93</v>
      </c>
      <c r="I571" s="10">
        <v>45954</v>
      </c>
      <c r="K571" s="23">
        <v>310000</v>
      </c>
      <c r="L571" t="s">
        <v>162</v>
      </c>
      <c r="M571" t="s">
        <v>36</v>
      </c>
      <c r="N571" t="s">
        <v>37</v>
      </c>
      <c r="O571" t="s">
        <v>38</v>
      </c>
      <c r="R571" t="s">
        <v>98</v>
      </c>
      <c r="S571" t="s">
        <v>39</v>
      </c>
      <c r="T571">
        <v>0</v>
      </c>
      <c r="U571">
        <v>79710512</v>
      </c>
      <c r="V571">
        <v>1</v>
      </c>
      <c r="W571">
        <v>0</v>
      </c>
      <c r="X571" t="s">
        <v>163</v>
      </c>
      <c r="Y571" s="10">
        <v>45954</v>
      </c>
      <c r="AD571" t="s">
        <v>41</v>
      </c>
      <c r="AY571" t="s">
        <v>788</v>
      </c>
    </row>
    <row r="572" spans="1:51" x14ac:dyDescent="0.25">
      <c r="A572" t="str">
        <f t="shared" si="29"/>
        <v>5000016428108049771</v>
      </c>
      <c r="B572">
        <v>2</v>
      </c>
      <c r="C572">
        <v>10804977</v>
      </c>
      <c r="D572">
        <v>1</v>
      </c>
      <c r="E572">
        <v>5000016428</v>
      </c>
      <c r="F572" t="s">
        <v>157</v>
      </c>
      <c r="G572">
        <v>1</v>
      </c>
      <c r="H572" t="s">
        <v>35</v>
      </c>
      <c r="I572" s="10">
        <v>45964</v>
      </c>
      <c r="K572" s="23">
        <v>1486486.5</v>
      </c>
      <c r="L572" t="s">
        <v>162</v>
      </c>
      <c r="M572" t="s">
        <v>36</v>
      </c>
      <c r="N572" t="s">
        <v>37</v>
      </c>
      <c r="O572" t="s">
        <v>38</v>
      </c>
      <c r="R572" t="s">
        <v>98</v>
      </c>
      <c r="S572" t="s">
        <v>39</v>
      </c>
      <c r="T572">
        <v>0</v>
      </c>
      <c r="U572">
        <v>79710617</v>
      </c>
      <c r="V572">
        <v>1</v>
      </c>
      <c r="W572">
        <v>0</v>
      </c>
      <c r="X572" t="s">
        <v>163</v>
      </c>
      <c r="Y572" s="10">
        <v>45958</v>
      </c>
      <c r="AD572" t="s">
        <v>41</v>
      </c>
      <c r="AY572" t="s">
        <v>803</v>
      </c>
    </row>
    <row r="573" spans="1:51" x14ac:dyDescent="0.25">
      <c r="A573" t="str">
        <f t="shared" si="29"/>
        <v>5000016308108049775</v>
      </c>
      <c r="B573">
        <v>3</v>
      </c>
      <c r="C573">
        <v>10804977</v>
      </c>
      <c r="D573">
        <v>5</v>
      </c>
      <c r="E573">
        <v>5000016308</v>
      </c>
      <c r="F573" t="s">
        <v>143</v>
      </c>
      <c r="G573">
        <v>1</v>
      </c>
      <c r="H573" t="s">
        <v>35</v>
      </c>
      <c r="I573" s="10">
        <v>45964</v>
      </c>
      <c r="K573" s="23">
        <v>2980000</v>
      </c>
      <c r="L573" t="s">
        <v>162</v>
      </c>
      <c r="M573" t="s">
        <v>36</v>
      </c>
      <c r="N573" t="s">
        <v>37</v>
      </c>
      <c r="O573" t="s">
        <v>38</v>
      </c>
      <c r="R573" t="s">
        <v>98</v>
      </c>
      <c r="S573" t="s">
        <v>39</v>
      </c>
      <c r="T573">
        <v>0</v>
      </c>
      <c r="U573">
        <v>79710621</v>
      </c>
      <c r="V573">
        <v>1</v>
      </c>
      <c r="W573">
        <v>0</v>
      </c>
      <c r="X573" t="s">
        <v>163</v>
      </c>
      <c r="Y573" s="10">
        <v>45958</v>
      </c>
      <c r="AD573" t="s">
        <v>41</v>
      </c>
      <c r="AY573" t="s">
        <v>793</v>
      </c>
    </row>
    <row r="574" spans="1:51" x14ac:dyDescent="0.25">
      <c r="A574" t="str">
        <f t="shared" ref="A574:A590" si="30">E574&amp;C574&amp;D574</f>
        <v>5000017216108049773</v>
      </c>
      <c r="B574">
        <v>1</v>
      </c>
      <c r="C574">
        <v>10804977</v>
      </c>
      <c r="D574">
        <v>3</v>
      </c>
      <c r="E574">
        <v>5000017216</v>
      </c>
      <c r="F574" t="s">
        <v>183</v>
      </c>
      <c r="G574">
        <v>1</v>
      </c>
      <c r="H574" t="s">
        <v>35</v>
      </c>
      <c r="I574" s="10">
        <v>45964</v>
      </c>
      <c r="K574" s="23">
        <v>1120000</v>
      </c>
      <c r="L574" t="s">
        <v>162</v>
      </c>
      <c r="M574" t="s">
        <v>36</v>
      </c>
      <c r="N574" t="s">
        <v>37</v>
      </c>
      <c r="O574" t="s">
        <v>38</v>
      </c>
      <c r="R574" t="s">
        <v>98</v>
      </c>
      <c r="S574" t="s">
        <v>39</v>
      </c>
      <c r="T574">
        <v>0</v>
      </c>
      <c r="U574">
        <v>79710623</v>
      </c>
      <c r="V574">
        <v>1</v>
      </c>
      <c r="W574">
        <v>0</v>
      </c>
      <c r="X574" t="s">
        <v>163</v>
      </c>
      <c r="Y574" s="10">
        <v>45958</v>
      </c>
      <c r="AD574" t="s">
        <v>41</v>
      </c>
      <c r="AY574" t="s">
        <v>791</v>
      </c>
    </row>
    <row r="575" spans="1:51" x14ac:dyDescent="0.25">
      <c r="A575" t="str">
        <f t="shared" si="30"/>
        <v>5000005059108049774</v>
      </c>
      <c r="B575">
        <v>2</v>
      </c>
      <c r="C575">
        <v>10804977</v>
      </c>
      <c r="D575">
        <v>4</v>
      </c>
      <c r="E575">
        <v>5000005059</v>
      </c>
      <c r="F575" t="s">
        <v>153</v>
      </c>
      <c r="G575">
        <v>1</v>
      </c>
      <c r="H575" t="s">
        <v>93</v>
      </c>
      <c r="I575" s="10">
        <v>45964</v>
      </c>
      <c r="K575" s="23">
        <v>95000</v>
      </c>
      <c r="L575" t="s">
        <v>162</v>
      </c>
      <c r="M575" t="s">
        <v>36</v>
      </c>
      <c r="N575" t="s">
        <v>37</v>
      </c>
      <c r="O575" t="s">
        <v>38</v>
      </c>
      <c r="R575" t="s">
        <v>98</v>
      </c>
      <c r="S575" t="s">
        <v>39</v>
      </c>
      <c r="T575">
        <v>0</v>
      </c>
      <c r="U575">
        <v>79710623</v>
      </c>
      <c r="V575">
        <v>1</v>
      </c>
      <c r="W575">
        <v>0</v>
      </c>
      <c r="X575" t="s">
        <v>163</v>
      </c>
      <c r="Y575" s="10">
        <v>45958</v>
      </c>
      <c r="AD575" t="s">
        <v>41</v>
      </c>
      <c r="AY575" t="s">
        <v>792</v>
      </c>
    </row>
    <row r="576" spans="1:51" x14ac:dyDescent="0.25">
      <c r="A576" t="str">
        <f t="shared" si="30"/>
        <v>5000004248108049776</v>
      </c>
      <c r="B576">
        <v>3</v>
      </c>
      <c r="C576">
        <v>10804977</v>
      </c>
      <c r="D576">
        <v>6</v>
      </c>
      <c r="E576">
        <v>5000004248</v>
      </c>
      <c r="F576" t="s">
        <v>155</v>
      </c>
      <c r="G576">
        <v>1</v>
      </c>
      <c r="H576" t="s">
        <v>93</v>
      </c>
      <c r="I576" s="10">
        <v>45964</v>
      </c>
      <c r="K576" s="23">
        <v>65000</v>
      </c>
      <c r="L576" t="s">
        <v>162</v>
      </c>
      <c r="M576" t="s">
        <v>36</v>
      </c>
      <c r="N576" t="s">
        <v>37</v>
      </c>
      <c r="O576" t="s">
        <v>38</v>
      </c>
      <c r="R576" t="s">
        <v>98</v>
      </c>
      <c r="S576" t="s">
        <v>39</v>
      </c>
      <c r="T576">
        <v>0</v>
      </c>
      <c r="U576">
        <v>79710623</v>
      </c>
      <c r="V576">
        <v>1</v>
      </c>
      <c r="W576">
        <v>0</v>
      </c>
      <c r="X576" t="s">
        <v>163</v>
      </c>
      <c r="Y576" s="10">
        <v>45958</v>
      </c>
      <c r="AD576" t="s">
        <v>41</v>
      </c>
      <c r="AY576" t="s">
        <v>794</v>
      </c>
    </row>
    <row r="577" spans="1:51" x14ac:dyDescent="0.25">
      <c r="A577" t="str">
        <f t="shared" si="30"/>
        <v>5000012021108049777</v>
      </c>
      <c r="B577">
        <v>4</v>
      </c>
      <c r="C577">
        <v>10804977</v>
      </c>
      <c r="D577">
        <v>7</v>
      </c>
      <c r="E577">
        <v>5000012021</v>
      </c>
      <c r="F577" t="s">
        <v>188</v>
      </c>
      <c r="G577">
        <v>1</v>
      </c>
      <c r="H577" t="s">
        <v>93</v>
      </c>
      <c r="I577" s="10">
        <v>45964</v>
      </c>
      <c r="K577" s="23">
        <v>30000</v>
      </c>
      <c r="L577" t="s">
        <v>162</v>
      </c>
      <c r="M577" t="s">
        <v>36</v>
      </c>
      <c r="N577" t="s">
        <v>37</v>
      </c>
      <c r="O577" t="s">
        <v>38</v>
      </c>
      <c r="R577" t="s">
        <v>98</v>
      </c>
      <c r="S577" t="s">
        <v>39</v>
      </c>
      <c r="T577">
        <v>0</v>
      </c>
      <c r="U577">
        <v>79710623</v>
      </c>
      <c r="V577">
        <v>1</v>
      </c>
      <c r="W577">
        <v>0</v>
      </c>
      <c r="X577" t="s">
        <v>163</v>
      </c>
      <c r="Y577" s="10">
        <v>45958</v>
      </c>
      <c r="AD577" t="s">
        <v>41</v>
      </c>
      <c r="AY577" t="s">
        <v>795</v>
      </c>
    </row>
    <row r="578" spans="1:51" x14ac:dyDescent="0.25">
      <c r="A578" t="str">
        <f t="shared" si="30"/>
        <v>5000011754108049778</v>
      </c>
      <c r="B578">
        <v>5</v>
      </c>
      <c r="C578">
        <v>10804977</v>
      </c>
      <c r="D578">
        <v>8</v>
      </c>
      <c r="E578">
        <v>5000011754</v>
      </c>
      <c r="F578" t="s">
        <v>99</v>
      </c>
      <c r="G578">
        <v>1</v>
      </c>
      <c r="H578" t="s">
        <v>93</v>
      </c>
      <c r="I578" s="10">
        <v>45964</v>
      </c>
      <c r="K578" s="23">
        <v>20000</v>
      </c>
      <c r="L578" t="s">
        <v>162</v>
      </c>
      <c r="M578" t="s">
        <v>36</v>
      </c>
      <c r="N578" t="s">
        <v>37</v>
      </c>
      <c r="O578" t="s">
        <v>38</v>
      </c>
      <c r="R578" t="s">
        <v>98</v>
      </c>
      <c r="S578" t="s">
        <v>39</v>
      </c>
      <c r="T578">
        <v>0</v>
      </c>
      <c r="U578">
        <v>79710623</v>
      </c>
      <c r="V578">
        <v>1</v>
      </c>
      <c r="W578">
        <v>0</v>
      </c>
      <c r="X578" t="s">
        <v>163</v>
      </c>
      <c r="Y578" s="10">
        <v>45958</v>
      </c>
      <c r="AD578" t="s">
        <v>41</v>
      </c>
      <c r="AY578" t="s">
        <v>794</v>
      </c>
    </row>
    <row r="579" spans="1:51" x14ac:dyDescent="0.25">
      <c r="A579" t="str">
        <f t="shared" si="30"/>
        <v>50000053401080497710</v>
      </c>
      <c r="B579">
        <v>6</v>
      </c>
      <c r="C579">
        <v>10804977</v>
      </c>
      <c r="D579">
        <v>10</v>
      </c>
      <c r="E579">
        <v>5000005340</v>
      </c>
      <c r="F579" t="s">
        <v>199</v>
      </c>
      <c r="G579">
        <v>1</v>
      </c>
      <c r="H579" t="s">
        <v>35</v>
      </c>
      <c r="I579" s="10">
        <v>45964</v>
      </c>
      <c r="K579" s="23">
        <v>155000</v>
      </c>
      <c r="L579" t="s">
        <v>162</v>
      </c>
      <c r="M579" t="s">
        <v>36</v>
      </c>
      <c r="N579" t="s">
        <v>37</v>
      </c>
      <c r="O579" t="s">
        <v>38</v>
      </c>
      <c r="R579" t="s">
        <v>98</v>
      </c>
      <c r="S579" t="s">
        <v>39</v>
      </c>
      <c r="T579">
        <v>0</v>
      </c>
      <c r="U579">
        <v>79710623</v>
      </c>
      <c r="V579">
        <v>1</v>
      </c>
      <c r="W579">
        <v>0</v>
      </c>
      <c r="X579" t="s">
        <v>163</v>
      </c>
      <c r="Y579" s="10">
        <v>45961</v>
      </c>
      <c r="AD579" t="s">
        <v>41</v>
      </c>
      <c r="AY579" t="s">
        <v>797</v>
      </c>
    </row>
    <row r="580" spans="1:51" x14ac:dyDescent="0.25">
      <c r="A580" t="str">
        <f t="shared" si="30"/>
        <v>5000016671108050004</v>
      </c>
      <c r="B580">
        <v>1</v>
      </c>
      <c r="C580">
        <v>10805000</v>
      </c>
      <c r="D580">
        <v>4</v>
      </c>
      <c r="E580">
        <v>5000016671</v>
      </c>
      <c r="F580" t="s">
        <v>216</v>
      </c>
      <c r="G580">
        <v>1</v>
      </c>
      <c r="H580" t="s">
        <v>93</v>
      </c>
      <c r="I580" s="10">
        <v>45965</v>
      </c>
      <c r="K580" s="23">
        <v>90000</v>
      </c>
      <c r="L580" t="s">
        <v>162</v>
      </c>
      <c r="M580" t="s">
        <v>36</v>
      </c>
      <c r="N580" t="s">
        <v>37</v>
      </c>
      <c r="O580" t="s">
        <v>38</v>
      </c>
      <c r="R580" t="s">
        <v>98</v>
      </c>
      <c r="S580" t="s">
        <v>39</v>
      </c>
      <c r="T580">
        <v>0</v>
      </c>
      <c r="U580">
        <v>79710832</v>
      </c>
      <c r="V580">
        <v>1</v>
      </c>
      <c r="W580">
        <v>0</v>
      </c>
      <c r="X580" t="s">
        <v>163</v>
      </c>
      <c r="Y580" s="10">
        <v>45964</v>
      </c>
      <c r="AD580" t="s">
        <v>41</v>
      </c>
      <c r="AY580" t="s">
        <v>801</v>
      </c>
    </row>
    <row r="581" spans="1:51" x14ac:dyDescent="0.25">
      <c r="A581" t="str">
        <f t="shared" si="30"/>
        <v>5000014904108050711</v>
      </c>
      <c r="B581">
        <v>2</v>
      </c>
      <c r="C581">
        <v>10805071</v>
      </c>
      <c r="D581">
        <v>1</v>
      </c>
      <c r="E581">
        <v>5000014904</v>
      </c>
      <c r="F581" t="s">
        <v>204</v>
      </c>
      <c r="G581">
        <v>1</v>
      </c>
      <c r="H581" t="s">
        <v>35</v>
      </c>
      <c r="I581" s="10">
        <v>45968</v>
      </c>
      <c r="K581" s="23">
        <v>1600000</v>
      </c>
      <c r="L581" t="s">
        <v>162</v>
      </c>
      <c r="M581" t="s">
        <v>36</v>
      </c>
      <c r="N581" t="s">
        <v>37</v>
      </c>
      <c r="O581" t="s">
        <v>38</v>
      </c>
      <c r="R581" t="s">
        <v>98</v>
      </c>
      <c r="S581" t="s">
        <v>39</v>
      </c>
      <c r="T581">
        <v>0</v>
      </c>
      <c r="U581">
        <v>79710832</v>
      </c>
      <c r="V581">
        <v>1</v>
      </c>
      <c r="W581">
        <v>0</v>
      </c>
      <c r="X581" t="s">
        <v>163</v>
      </c>
      <c r="Y581" s="10">
        <v>45964</v>
      </c>
      <c r="AD581" t="s">
        <v>41</v>
      </c>
      <c r="AY581" t="s">
        <v>808</v>
      </c>
    </row>
    <row r="582" spans="1:51" x14ac:dyDescent="0.25">
      <c r="A582" t="str">
        <f t="shared" si="30"/>
        <v>5000014291108050003</v>
      </c>
      <c r="B582">
        <v>1</v>
      </c>
      <c r="C582">
        <v>10805000</v>
      </c>
      <c r="D582">
        <v>3</v>
      </c>
      <c r="E582">
        <v>5000014291</v>
      </c>
      <c r="F582" t="s">
        <v>406</v>
      </c>
      <c r="G582">
        <v>1</v>
      </c>
      <c r="H582" t="s">
        <v>296</v>
      </c>
      <c r="I582" s="10">
        <v>45965</v>
      </c>
      <c r="K582" s="23">
        <v>340000</v>
      </c>
      <c r="L582" t="s">
        <v>162</v>
      </c>
      <c r="M582" t="s">
        <v>36</v>
      </c>
      <c r="N582" t="s">
        <v>37</v>
      </c>
      <c r="O582" t="s">
        <v>38</v>
      </c>
      <c r="R582" t="s">
        <v>98</v>
      </c>
      <c r="S582" t="s">
        <v>39</v>
      </c>
      <c r="T582">
        <v>0</v>
      </c>
      <c r="U582">
        <v>79710833</v>
      </c>
      <c r="V582">
        <v>1</v>
      </c>
      <c r="W582">
        <v>0</v>
      </c>
      <c r="X582" t="s">
        <v>163</v>
      </c>
      <c r="Y582" s="10">
        <v>45964</v>
      </c>
      <c r="AD582" t="s">
        <v>41</v>
      </c>
      <c r="AY582" t="s">
        <v>800</v>
      </c>
    </row>
    <row r="583" spans="1:51" x14ac:dyDescent="0.25">
      <c r="A583" t="str">
        <f t="shared" si="30"/>
        <v>5000015560108050383</v>
      </c>
      <c r="B583">
        <v>2</v>
      </c>
      <c r="C583">
        <v>10805038</v>
      </c>
      <c r="D583">
        <v>3</v>
      </c>
      <c r="E583">
        <v>5000015560</v>
      </c>
      <c r="F583" t="s">
        <v>319</v>
      </c>
      <c r="G583">
        <v>1</v>
      </c>
      <c r="H583" t="s">
        <v>93</v>
      </c>
      <c r="I583" s="10">
        <v>45966</v>
      </c>
      <c r="K583" s="23">
        <v>160000</v>
      </c>
      <c r="L583" t="s">
        <v>162</v>
      </c>
      <c r="M583" t="s">
        <v>36</v>
      </c>
      <c r="N583" t="s">
        <v>37</v>
      </c>
      <c r="O583" t="s">
        <v>38</v>
      </c>
      <c r="R583" t="s">
        <v>98</v>
      </c>
      <c r="S583" t="s">
        <v>39</v>
      </c>
      <c r="T583">
        <v>0</v>
      </c>
      <c r="U583">
        <v>79710833</v>
      </c>
      <c r="V583">
        <v>1</v>
      </c>
      <c r="W583">
        <v>0</v>
      </c>
      <c r="X583" t="s">
        <v>163</v>
      </c>
      <c r="Y583" s="10">
        <v>45964</v>
      </c>
      <c r="AD583" t="s">
        <v>41</v>
      </c>
      <c r="AY583" t="s">
        <v>807</v>
      </c>
    </row>
    <row r="584" spans="1:51" x14ac:dyDescent="0.25">
      <c r="A584" t="str">
        <f t="shared" si="30"/>
        <v>5000015000108049779</v>
      </c>
      <c r="B584">
        <v>1</v>
      </c>
      <c r="C584">
        <v>10804977</v>
      </c>
      <c r="D584">
        <v>9</v>
      </c>
      <c r="E584">
        <v>5000015000</v>
      </c>
      <c r="F584" t="s">
        <v>176</v>
      </c>
      <c r="G584">
        <v>2</v>
      </c>
      <c r="H584" t="s">
        <v>35</v>
      </c>
      <c r="I584" s="10">
        <v>45964</v>
      </c>
      <c r="K584" s="23">
        <v>375000</v>
      </c>
      <c r="L584" t="s">
        <v>162</v>
      </c>
      <c r="M584" t="s">
        <v>36</v>
      </c>
      <c r="N584" t="s">
        <v>37</v>
      </c>
      <c r="O584" t="s">
        <v>38</v>
      </c>
      <c r="R584" t="s">
        <v>98</v>
      </c>
      <c r="S584" t="s">
        <v>39</v>
      </c>
      <c r="T584">
        <v>0</v>
      </c>
      <c r="U584">
        <v>79710850</v>
      </c>
      <c r="V584">
        <v>2</v>
      </c>
      <c r="W584">
        <v>0</v>
      </c>
      <c r="X584" t="s">
        <v>163</v>
      </c>
      <c r="Y584" s="10">
        <v>45965</v>
      </c>
      <c r="AD584" t="s">
        <v>41</v>
      </c>
      <c r="AY584" t="s">
        <v>796</v>
      </c>
    </row>
    <row r="585" spans="1:51" x14ac:dyDescent="0.25">
      <c r="A585" t="str">
        <f t="shared" si="30"/>
        <v>5000017856108050001</v>
      </c>
      <c r="B585">
        <v>1</v>
      </c>
      <c r="C585">
        <v>10805000</v>
      </c>
      <c r="D585">
        <v>1</v>
      </c>
      <c r="E585">
        <v>5000017856</v>
      </c>
      <c r="F585" t="s">
        <v>566</v>
      </c>
      <c r="G585">
        <v>1</v>
      </c>
      <c r="H585" t="s">
        <v>35</v>
      </c>
      <c r="I585" s="10">
        <v>45965</v>
      </c>
      <c r="K585" s="23">
        <v>11351351.4</v>
      </c>
      <c r="L585" t="s">
        <v>162</v>
      </c>
      <c r="M585" t="s">
        <v>36</v>
      </c>
      <c r="N585" t="s">
        <v>37</v>
      </c>
      <c r="O585" t="s">
        <v>38</v>
      </c>
      <c r="R585" t="s">
        <v>98</v>
      </c>
      <c r="S585" t="s">
        <v>39</v>
      </c>
      <c r="T585">
        <v>0</v>
      </c>
      <c r="U585">
        <v>79710864</v>
      </c>
      <c r="V585">
        <v>1</v>
      </c>
      <c r="W585">
        <v>0</v>
      </c>
      <c r="X585" t="s">
        <v>163</v>
      </c>
      <c r="Y585" s="10">
        <v>45965</v>
      </c>
      <c r="AD585" t="s">
        <v>41</v>
      </c>
      <c r="AY585" t="s">
        <v>810</v>
      </c>
    </row>
    <row r="586" spans="1:51" x14ac:dyDescent="0.25">
      <c r="A586" t="str">
        <f t="shared" si="30"/>
        <v>5000011960108050002</v>
      </c>
      <c r="B586">
        <v>2</v>
      </c>
      <c r="C586">
        <v>10805000</v>
      </c>
      <c r="D586">
        <v>2</v>
      </c>
      <c r="E586">
        <v>5000011960</v>
      </c>
      <c r="F586" t="s">
        <v>478</v>
      </c>
      <c r="G586">
        <v>1</v>
      </c>
      <c r="H586" t="s">
        <v>93</v>
      </c>
      <c r="I586" s="10">
        <v>45965</v>
      </c>
      <c r="K586" s="23">
        <v>1621621.7</v>
      </c>
      <c r="L586" t="s">
        <v>162</v>
      </c>
      <c r="M586" t="s">
        <v>36</v>
      </c>
      <c r="N586" t="s">
        <v>37</v>
      </c>
      <c r="O586" t="s">
        <v>38</v>
      </c>
      <c r="R586" t="s">
        <v>98</v>
      </c>
      <c r="S586" t="s">
        <v>39</v>
      </c>
      <c r="T586">
        <v>0</v>
      </c>
      <c r="U586">
        <v>79710864</v>
      </c>
      <c r="V586">
        <v>1</v>
      </c>
      <c r="W586">
        <v>0</v>
      </c>
      <c r="X586" t="s">
        <v>163</v>
      </c>
      <c r="Y586" s="10">
        <v>45965</v>
      </c>
      <c r="AD586" t="s">
        <v>41</v>
      </c>
      <c r="AY586" t="s">
        <v>811</v>
      </c>
    </row>
    <row r="587" spans="1:51" x14ac:dyDescent="0.25">
      <c r="A587" t="str">
        <f t="shared" si="30"/>
        <v>5000018001108050381</v>
      </c>
      <c r="B587">
        <v>1</v>
      </c>
      <c r="C587">
        <v>10805038</v>
      </c>
      <c r="D587">
        <v>1</v>
      </c>
      <c r="E587">
        <v>5000018001</v>
      </c>
      <c r="F587" t="s">
        <v>804</v>
      </c>
      <c r="G587">
        <v>1</v>
      </c>
      <c r="H587" t="s">
        <v>35</v>
      </c>
      <c r="I587" s="10">
        <v>45966</v>
      </c>
      <c r="K587" s="23">
        <v>5780000</v>
      </c>
      <c r="L587" t="s">
        <v>162</v>
      </c>
      <c r="M587" t="s">
        <v>36</v>
      </c>
      <c r="N587" t="s">
        <v>37</v>
      </c>
      <c r="O587" t="s">
        <v>38</v>
      </c>
      <c r="R587" t="s">
        <v>98</v>
      </c>
      <c r="S587" t="s">
        <v>39</v>
      </c>
      <c r="T587">
        <v>0</v>
      </c>
      <c r="U587">
        <v>79710865</v>
      </c>
      <c r="V587">
        <v>1</v>
      </c>
      <c r="W587">
        <v>0</v>
      </c>
      <c r="X587" t="s">
        <v>163</v>
      </c>
      <c r="Y587" s="10">
        <v>45965</v>
      </c>
      <c r="AD587" t="s">
        <v>41</v>
      </c>
      <c r="AY587" t="s">
        <v>805</v>
      </c>
    </row>
    <row r="588" spans="1:51" x14ac:dyDescent="0.25">
      <c r="A588" t="str">
        <f t="shared" si="30"/>
        <v>5000016930108048402</v>
      </c>
      <c r="B588">
        <v>1</v>
      </c>
      <c r="C588">
        <v>10804840</v>
      </c>
      <c r="D588">
        <v>2</v>
      </c>
      <c r="E588">
        <v>5000016930</v>
      </c>
      <c r="F588" t="s">
        <v>203</v>
      </c>
      <c r="G588">
        <v>1</v>
      </c>
      <c r="H588" t="s">
        <v>93</v>
      </c>
      <c r="I588" s="10">
        <v>45954</v>
      </c>
      <c r="K588" s="23">
        <v>169083.34</v>
      </c>
      <c r="L588" t="s">
        <v>162</v>
      </c>
      <c r="M588" t="s">
        <v>36</v>
      </c>
      <c r="N588" t="s">
        <v>37</v>
      </c>
      <c r="O588" t="s">
        <v>38</v>
      </c>
      <c r="R588" t="s">
        <v>98</v>
      </c>
      <c r="S588" t="s">
        <v>39</v>
      </c>
      <c r="T588">
        <v>0</v>
      </c>
      <c r="U588">
        <v>79710978</v>
      </c>
      <c r="V588">
        <v>1</v>
      </c>
      <c r="W588">
        <v>0</v>
      </c>
      <c r="X588" t="s">
        <v>163</v>
      </c>
      <c r="Y588" s="10">
        <v>45967</v>
      </c>
      <c r="AD588" t="s">
        <v>41</v>
      </c>
      <c r="AY588" t="s">
        <v>772</v>
      </c>
    </row>
    <row r="589" spans="1:51" x14ac:dyDescent="0.25">
      <c r="A589" t="str">
        <f t="shared" si="30"/>
        <v>5000016930108049772</v>
      </c>
      <c r="B589">
        <v>2</v>
      </c>
      <c r="C589">
        <v>10804977</v>
      </c>
      <c r="D589">
        <v>2</v>
      </c>
      <c r="E589">
        <v>5000016930</v>
      </c>
      <c r="F589" t="s">
        <v>203</v>
      </c>
      <c r="G589">
        <v>1</v>
      </c>
      <c r="H589" t="s">
        <v>93</v>
      </c>
      <c r="I589" s="10">
        <v>45964</v>
      </c>
      <c r="K589" s="23">
        <v>169083.34</v>
      </c>
      <c r="L589" t="s">
        <v>162</v>
      </c>
      <c r="M589" t="s">
        <v>36</v>
      </c>
      <c r="N589" t="s">
        <v>37</v>
      </c>
      <c r="O589" t="s">
        <v>38</v>
      </c>
      <c r="R589" t="s">
        <v>98</v>
      </c>
      <c r="S589" t="s">
        <v>39</v>
      </c>
      <c r="T589">
        <v>0</v>
      </c>
      <c r="U589">
        <v>79710978</v>
      </c>
      <c r="V589">
        <v>1</v>
      </c>
      <c r="W589">
        <v>0</v>
      </c>
      <c r="X589" t="s">
        <v>163</v>
      </c>
      <c r="Y589" s="10">
        <v>45967</v>
      </c>
      <c r="AD589" t="s">
        <v>41</v>
      </c>
      <c r="AY589" t="s">
        <v>790</v>
      </c>
    </row>
    <row r="590" spans="1:51" x14ac:dyDescent="0.25">
      <c r="A590" t="str">
        <f t="shared" si="30"/>
        <v>5000016930108050881</v>
      </c>
      <c r="B590">
        <v>3</v>
      </c>
      <c r="C590">
        <v>10805088</v>
      </c>
      <c r="D590">
        <v>1</v>
      </c>
      <c r="E590">
        <v>5000016930</v>
      </c>
      <c r="F590" t="s">
        <v>203</v>
      </c>
      <c r="G590">
        <v>1</v>
      </c>
      <c r="H590" t="s">
        <v>93</v>
      </c>
      <c r="I590" s="10">
        <v>45969</v>
      </c>
      <c r="K590" s="23">
        <v>169083.34</v>
      </c>
      <c r="L590" t="s">
        <v>162</v>
      </c>
      <c r="M590" t="s">
        <v>36</v>
      </c>
      <c r="N590" t="s">
        <v>37</v>
      </c>
      <c r="O590" t="s">
        <v>38</v>
      </c>
      <c r="R590" t="s">
        <v>98</v>
      </c>
      <c r="S590" t="s">
        <v>39</v>
      </c>
      <c r="T590">
        <v>0</v>
      </c>
      <c r="U590">
        <v>79710978</v>
      </c>
      <c r="V590">
        <v>1</v>
      </c>
      <c r="W590">
        <v>0</v>
      </c>
      <c r="X590" t="s">
        <v>163</v>
      </c>
      <c r="Y590" s="10">
        <v>45967</v>
      </c>
      <c r="AD590" t="s">
        <v>41</v>
      </c>
      <c r="AY590" t="s">
        <v>809</v>
      </c>
    </row>
    <row r="591" spans="1:51" x14ac:dyDescent="0.25">
      <c r="A591" t="str">
        <f t="shared" ref="A591:A640" si="31">E591&amp;C591&amp;D591</f>
        <v>5000015560108050383</v>
      </c>
      <c r="B591">
        <v>2</v>
      </c>
      <c r="C591">
        <v>10805038</v>
      </c>
      <c r="D591">
        <v>3</v>
      </c>
      <c r="E591">
        <v>5000015560</v>
      </c>
      <c r="F591" t="s">
        <v>319</v>
      </c>
      <c r="G591">
        <v>1</v>
      </c>
      <c r="H591" t="s">
        <v>93</v>
      </c>
      <c r="I591" s="10">
        <v>45966</v>
      </c>
      <c r="K591" s="23">
        <v>160000</v>
      </c>
      <c r="L591" t="s">
        <v>162</v>
      </c>
      <c r="M591" t="s">
        <v>36</v>
      </c>
      <c r="N591" t="s">
        <v>37</v>
      </c>
      <c r="O591" t="s">
        <v>38</v>
      </c>
      <c r="R591" t="s">
        <v>98</v>
      </c>
      <c r="S591" t="s">
        <v>39</v>
      </c>
      <c r="T591">
        <v>0</v>
      </c>
      <c r="U591">
        <v>79710833</v>
      </c>
      <c r="V591">
        <v>1</v>
      </c>
      <c r="W591">
        <v>0</v>
      </c>
      <c r="X591" t="s">
        <v>163</v>
      </c>
      <c r="Y591" s="10">
        <v>45964</v>
      </c>
      <c r="AD591" t="s">
        <v>41</v>
      </c>
      <c r="AY591" t="s">
        <v>807</v>
      </c>
    </row>
    <row r="592" spans="1:51" x14ac:dyDescent="0.25">
      <c r="A592" t="str">
        <f t="shared" si="31"/>
        <v>5000018001108050381</v>
      </c>
      <c r="B592">
        <v>1</v>
      </c>
      <c r="C592">
        <v>10805038</v>
      </c>
      <c r="D592">
        <v>1</v>
      </c>
      <c r="E592">
        <v>5000018001</v>
      </c>
      <c r="F592" t="s">
        <v>804</v>
      </c>
      <c r="G592">
        <v>1</v>
      </c>
      <c r="H592" t="s">
        <v>35</v>
      </c>
      <c r="I592" s="10">
        <v>45966</v>
      </c>
      <c r="K592" s="23">
        <v>5780000</v>
      </c>
      <c r="L592" t="s">
        <v>162</v>
      </c>
      <c r="M592" t="s">
        <v>36</v>
      </c>
      <c r="N592" t="s">
        <v>37</v>
      </c>
      <c r="O592" t="s">
        <v>38</v>
      </c>
      <c r="R592" t="s">
        <v>98</v>
      </c>
      <c r="S592" t="s">
        <v>39</v>
      </c>
      <c r="T592">
        <v>0</v>
      </c>
      <c r="U592">
        <v>79710865</v>
      </c>
      <c r="V592">
        <v>1</v>
      </c>
      <c r="W592">
        <v>0</v>
      </c>
      <c r="X592" t="s">
        <v>163</v>
      </c>
      <c r="Y592" s="10">
        <v>45965</v>
      </c>
      <c r="AD592" t="s">
        <v>41</v>
      </c>
      <c r="AY592" t="s">
        <v>805</v>
      </c>
    </row>
    <row r="593" spans="1:51" x14ac:dyDescent="0.25">
      <c r="A593" t="str">
        <f t="shared" si="31"/>
        <v>5000018002108050382</v>
      </c>
      <c r="B593">
        <v>1</v>
      </c>
      <c r="C593">
        <v>10805038</v>
      </c>
      <c r="D593">
        <v>2</v>
      </c>
      <c r="E593">
        <v>5000018002</v>
      </c>
      <c r="F593" t="s">
        <v>812</v>
      </c>
      <c r="G593">
        <v>5</v>
      </c>
      <c r="H593" t="s">
        <v>93</v>
      </c>
      <c r="I593" s="10">
        <v>45966</v>
      </c>
      <c r="K593" s="23">
        <v>3873874</v>
      </c>
      <c r="L593" t="s">
        <v>162</v>
      </c>
      <c r="M593" t="s">
        <v>36</v>
      </c>
      <c r="N593" t="s">
        <v>37</v>
      </c>
      <c r="O593" t="s">
        <v>38</v>
      </c>
      <c r="R593" t="s">
        <v>98</v>
      </c>
      <c r="S593" t="s">
        <v>39</v>
      </c>
      <c r="T593">
        <v>0</v>
      </c>
      <c r="U593">
        <v>79710981</v>
      </c>
      <c r="V593">
        <v>5</v>
      </c>
      <c r="W593">
        <v>0</v>
      </c>
      <c r="X593" t="s">
        <v>163</v>
      </c>
      <c r="Y593" s="10">
        <v>45967</v>
      </c>
      <c r="AD593" t="s">
        <v>41</v>
      </c>
      <c r="AY593" t="s">
        <v>818</v>
      </c>
    </row>
    <row r="594" spans="1:51" x14ac:dyDescent="0.25">
      <c r="A594" t="str">
        <f t="shared" si="31"/>
        <v>5000016541108051141</v>
      </c>
      <c r="B594">
        <v>3</v>
      </c>
      <c r="C594">
        <v>10805114</v>
      </c>
      <c r="D594">
        <v>1</v>
      </c>
      <c r="E594">
        <v>5000016541</v>
      </c>
      <c r="F594" t="s">
        <v>181</v>
      </c>
      <c r="G594">
        <v>1</v>
      </c>
      <c r="H594" t="s">
        <v>93</v>
      </c>
      <c r="I594" s="10">
        <v>45972</v>
      </c>
      <c r="K594" s="23">
        <v>60000</v>
      </c>
      <c r="L594" t="s">
        <v>162</v>
      </c>
      <c r="M594" t="s">
        <v>36</v>
      </c>
      <c r="N594" t="s">
        <v>37</v>
      </c>
      <c r="O594" t="s">
        <v>38</v>
      </c>
      <c r="R594" t="s">
        <v>98</v>
      </c>
      <c r="S594" t="s">
        <v>39</v>
      </c>
      <c r="T594">
        <v>0</v>
      </c>
      <c r="U594">
        <v>79710832</v>
      </c>
      <c r="V594">
        <v>1</v>
      </c>
      <c r="W594">
        <v>0</v>
      </c>
      <c r="X594" t="s">
        <v>163</v>
      </c>
      <c r="Y594" s="10">
        <v>45967</v>
      </c>
      <c r="AD594" t="s">
        <v>41</v>
      </c>
      <c r="AY594" t="s">
        <v>372</v>
      </c>
    </row>
    <row r="595" spans="1:51" x14ac:dyDescent="0.25">
      <c r="A595" t="str">
        <f t="shared" si="31"/>
        <v>5000015861108051751</v>
      </c>
      <c r="B595">
        <v>1</v>
      </c>
      <c r="C595">
        <v>10805175</v>
      </c>
      <c r="D595">
        <v>1</v>
      </c>
      <c r="E595">
        <v>5000015861</v>
      </c>
      <c r="F595" t="s">
        <v>174</v>
      </c>
      <c r="G595">
        <v>1</v>
      </c>
      <c r="H595" t="s">
        <v>35</v>
      </c>
      <c r="I595" s="10">
        <v>45974</v>
      </c>
      <c r="K595" s="23">
        <v>1000000</v>
      </c>
      <c r="L595" t="s">
        <v>162</v>
      </c>
      <c r="M595" t="s">
        <v>36</v>
      </c>
      <c r="N595" t="s">
        <v>37</v>
      </c>
      <c r="O595" t="s">
        <v>38</v>
      </c>
      <c r="R595" t="s">
        <v>98</v>
      </c>
      <c r="S595" t="s">
        <v>39</v>
      </c>
      <c r="T595">
        <v>0</v>
      </c>
      <c r="U595">
        <v>79711068</v>
      </c>
      <c r="V595">
        <v>1</v>
      </c>
      <c r="W595">
        <v>0</v>
      </c>
      <c r="X595" t="s">
        <v>163</v>
      </c>
      <c r="Y595" s="10">
        <v>45971</v>
      </c>
      <c r="AD595" t="s">
        <v>41</v>
      </c>
      <c r="AY595" t="s">
        <v>819</v>
      </c>
    </row>
    <row r="596" spans="1:51" x14ac:dyDescent="0.25">
      <c r="A596" t="str">
        <f t="shared" si="31"/>
        <v>5000015000108051752</v>
      </c>
      <c r="B596">
        <v>2</v>
      </c>
      <c r="C596">
        <v>10805175</v>
      </c>
      <c r="D596">
        <v>2</v>
      </c>
      <c r="E596">
        <v>5000015000</v>
      </c>
      <c r="F596" t="s">
        <v>176</v>
      </c>
      <c r="G596">
        <v>1</v>
      </c>
      <c r="H596" t="s">
        <v>35</v>
      </c>
      <c r="I596" s="10">
        <v>45974</v>
      </c>
      <c r="K596" s="23">
        <v>375000</v>
      </c>
      <c r="L596" t="s">
        <v>162</v>
      </c>
      <c r="M596" t="s">
        <v>36</v>
      </c>
      <c r="N596" t="s">
        <v>37</v>
      </c>
      <c r="O596" t="s">
        <v>38</v>
      </c>
      <c r="R596" t="s">
        <v>98</v>
      </c>
      <c r="S596" t="s">
        <v>39</v>
      </c>
      <c r="T596">
        <v>0</v>
      </c>
      <c r="U596">
        <v>79711068</v>
      </c>
      <c r="V596">
        <v>1</v>
      </c>
      <c r="W596">
        <v>0</v>
      </c>
      <c r="X596" t="s">
        <v>163</v>
      </c>
      <c r="Y596" s="10">
        <v>45971</v>
      </c>
      <c r="AD596" t="s">
        <v>41</v>
      </c>
      <c r="AY596" t="s">
        <v>820</v>
      </c>
    </row>
    <row r="597" spans="1:51" x14ac:dyDescent="0.25">
      <c r="A597" t="str">
        <f t="shared" si="31"/>
        <v>5000005059108051331</v>
      </c>
      <c r="B597">
        <v>1</v>
      </c>
      <c r="C597">
        <v>10805133</v>
      </c>
      <c r="D597">
        <v>1</v>
      </c>
      <c r="E597">
        <v>5000005059</v>
      </c>
      <c r="F597" t="s">
        <v>153</v>
      </c>
      <c r="G597">
        <v>10</v>
      </c>
      <c r="H597" t="s">
        <v>93</v>
      </c>
      <c r="I597" s="10">
        <v>45973</v>
      </c>
      <c r="K597" s="23">
        <v>95000</v>
      </c>
      <c r="L597" t="s">
        <v>162</v>
      </c>
      <c r="M597" t="s">
        <v>36</v>
      </c>
      <c r="N597" t="s">
        <v>37</v>
      </c>
      <c r="O597" t="s">
        <v>38</v>
      </c>
      <c r="R597" t="s">
        <v>98</v>
      </c>
      <c r="S597" t="s">
        <v>39</v>
      </c>
      <c r="T597">
        <v>0</v>
      </c>
      <c r="U597">
        <v>79711069</v>
      </c>
      <c r="V597">
        <v>10</v>
      </c>
      <c r="W597">
        <v>0</v>
      </c>
      <c r="X597" t="s">
        <v>163</v>
      </c>
      <c r="Y597" s="10">
        <v>45971</v>
      </c>
      <c r="AD597" t="s">
        <v>41</v>
      </c>
      <c r="AY597" t="s">
        <v>813</v>
      </c>
    </row>
    <row r="598" spans="1:51" x14ac:dyDescent="0.25">
      <c r="A598" t="str">
        <f t="shared" si="31"/>
        <v>5000016728108051901</v>
      </c>
      <c r="B598">
        <v>1</v>
      </c>
      <c r="C598">
        <v>10805190</v>
      </c>
      <c r="D598">
        <v>1</v>
      </c>
      <c r="E598">
        <v>5000016728</v>
      </c>
      <c r="F598" t="s">
        <v>146</v>
      </c>
      <c r="G598">
        <v>2</v>
      </c>
      <c r="H598" t="s">
        <v>35</v>
      </c>
      <c r="I598" s="10">
        <v>45975</v>
      </c>
      <c r="K598" s="23">
        <v>346847</v>
      </c>
      <c r="L598" t="s">
        <v>162</v>
      </c>
      <c r="M598" t="s">
        <v>36</v>
      </c>
      <c r="N598" t="s">
        <v>37</v>
      </c>
      <c r="O598" t="s">
        <v>38</v>
      </c>
      <c r="R598" t="s">
        <v>98</v>
      </c>
      <c r="S598" t="s">
        <v>39</v>
      </c>
      <c r="T598">
        <v>0</v>
      </c>
      <c r="U598">
        <v>79711073</v>
      </c>
      <c r="V598">
        <v>2</v>
      </c>
      <c r="W598">
        <v>0</v>
      </c>
      <c r="X598" t="s">
        <v>163</v>
      </c>
      <c r="Y598" s="10">
        <v>45971</v>
      </c>
      <c r="AD598" t="s">
        <v>41</v>
      </c>
      <c r="AY598" t="s">
        <v>821</v>
      </c>
    </row>
    <row r="599" spans="1:51" x14ac:dyDescent="0.25">
      <c r="A599" t="str">
        <f t="shared" si="31"/>
        <v>5000016779108051902</v>
      </c>
      <c r="B599">
        <v>2</v>
      </c>
      <c r="C599">
        <v>10805190</v>
      </c>
      <c r="D599">
        <v>2</v>
      </c>
      <c r="E599">
        <v>5000016779</v>
      </c>
      <c r="F599" t="s">
        <v>267</v>
      </c>
      <c r="G599">
        <v>1</v>
      </c>
      <c r="H599" t="s">
        <v>35</v>
      </c>
      <c r="I599" s="10">
        <v>45975</v>
      </c>
      <c r="K599" s="23">
        <v>743243.3</v>
      </c>
      <c r="L599" t="s">
        <v>162</v>
      </c>
      <c r="M599" t="s">
        <v>36</v>
      </c>
      <c r="N599" t="s">
        <v>37</v>
      </c>
      <c r="O599" t="s">
        <v>38</v>
      </c>
      <c r="R599" t="s">
        <v>98</v>
      </c>
      <c r="S599" t="s">
        <v>39</v>
      </c>
      <c r="T599">
        <v>0</v>
      </c>
      <c r="U599">
        <v>79711073</v>
      </c>
      <c r="V599">
        <v>1</v>
      </c>
      <c r="W599">
        <v>0</v>
      </c>
      <c r="X599" t="s">
        <v>163</v>
      </c>
      <c r="Y599" s="10">
        <v>45971</v>
      </c>
      <c r="AD599" t="s">
        <v>41</v>
      </c>
      <c r="AY599" t="s">
        <v>821</v>
      </c>
    </row>
    <row r="600" spans="1:51" x14ac:dyDescent="0.25">
      <c r="A600" t="str">
        <f t="shared" si="31"/>
        <v>5000016255108052371</v>
      </c>
      <c r="B600">
        <v>1</v>
      </c>
      <c r="C600">
        <v>10805237</v>
      </c>
      <c r="D600">
        <v>1</v>
      </c>
      <c r="E600">
        <v>5000016255</v>
      </c>
      <c r="F600" t="s">
        <v>110</v>
      </c>
      <c r="G600">
        <v>1</v>
      </c>
      <c r="H600" t="s">
        <v>93</v>
      </c>
      <c r="I600" s="10">
        <v>45978</v>
      </c>
      <c r="K600" s="23">
        <v>343000</v>
      </c>
      <c r="L600" t="s">
        <v>162</v>
      </c>
      <c r="M600" t="s">
        <v>36</v>
      </c>
      <c r="N600" t="s">
        <v>37</v>
      </c>
      <c r="O600" t="s">
        <v>38</v>
      </c>
      <c r="R600" t="s">
        <v>98</v>
      </c>
      <c r="S600" t="s">
        <v>39</v>
      </c>
      <c r="T600">
        <v>0</v>
      </c>
      <c r="U600">
        <v>79711295</v>
      </c>
      <c r="V600">
        <v>1</v>
      </c>
      <c r="W600">
        <v>0</v>
      </c>
      <c r="X600" t="s">
        <v>163</v>
      </c>
      <c r="Y600" s="10">
        <v>45976</v>
      </c>
      <c r="AD600" t="s">
        <v>41</v>
      </c>
      <c r="AY600" t="s">
        <v>817</v>
      </c>
    </row>
    <row r="601" spans="1:51" x14ac:dyDescent="0.25">
      <c r="A601" t="str">
        <f t="shared" si="31"/>
        <v>5000018012108052991</v>
      </c>
      <c r="B601">
        <v>2</v>
      </c>
      <c r="C601">
        <v>10805299</v>
      </c>
      <c r="D601">
        <v>1</v>
      </c>
      <c r="E601">
        <v>5000018012</v>
      </c>
      <c r="F601" t="s">
        <v>827</v>
      </c>
      <c r="G601">
        <v>1</v>
      </c>
      <c r="H601" t="s">
        <v>35</v>
      </c>
      <c r="I601" s="10">
        <v>45981</v>
      </c>
      <c r="K601" s="23">
        <v>8690000</v>
      </c>
      <c r="L601" t="s">
        <v>162</v>
      </c>
      <c r="M601" t="s">
        <v>36</v>
      </c>
      <c r="N601" t="s">
        <v>37</v>
      </c>
      <c r="O601" t="s">
        <v>38</v>
      </c>
      <c r="R601" t="s">
        <v>98</v>
      </c>
      <c r="S601" t="s">
        <v>39</v>
      </c>
      <c r="T601">
        <v>0</v>
      </c>
      <c r="U601">
        <v>79711295</v>
      </c>
      <c r="V601">
        <v>1</v>
      </c>
      <c r="W601">
        <v>0</v>
      </c>
      <c r="X601" t="s">
        <v>163</v>
      </c>
      <c r="Y601" s="10">
        <v>45976</v>
      </c>
      <c r="AD601" t="s">
        <v>41</v>
      </c>
      <c r="AY601" t="s">
        <v>828</v>
      </c>
    </row>
    <row r="602" spans="1:51" x14ac:dyDescent="0.25">
      <c r="A602" t="str">
        <f t="shared" si="31"/>
        <v>5000016028108052631</v>
      </c>
      <c r="B602">
        <v>1</v>
      </c>
      <c r="C602">
        <v>10805263</v>
      </c>
      <c r="D602">
        <v>1</v>
      </c>
      <c r="E602">
        <v>5000016028</v>
      </c>
      <c r="F602" t="s">
        <v>822</v>
      </c>
      <c r="G602">
        <v>1</v>
      </c>
      <c r="H602" t="s">
        <v>35</v>
      </c>
      <c r="I602" s="10">
        <v>45979</v>
      </c>
      <c r="K602" s="23">
        <v>1756756.76</v>
      </c>
      <c r="L602" t="s">
        <v>162</v>
      </c>
      <c r="M602" t="s">
        <v>36</v>
      </c>
      <c r="N602" t="s">
        <v>37</v>
      </c>
      <c r="O602" t="s">
        <v>38</v>
      </c>
      <c r="R602" t="s">
        <v>98</v>
      </c>
      <c r="S602" t="s">
        <v>39</v>
      </c>
      <c r="T602">
        <v>0</v>
      </c>
      <c r="U602">
        <v>79711399</v>
      </c>
      <c r="V602">
        <v>1</v>
      </c>
      <c r="W602">
        <v>0</v>
      </c>
      <c r="X602" t="s">
        <v>163</v>
      </c>
      <c r="Y602" s="10">
        <v>45979</v>
      </c>
      <c r="AD602" t="s">
        <v>41</v>
      </c>
      <c r="AY602" t="s">
        <v>831</v>
      </c>
    </row>
    <row r="603" spans="1:51" x14ac:dyDescent="0.25">
      <c r="A603" t="str">
        <f t="shared" si="31"/>
        <v>5000017082108033621</v>
      </c>
      <c r="B603">
        <v>1</v>
      </c>
      <c r="C603">
        <v>10803362</v>
      </c>
      <c r="D603">
        <v>1</v>
      </c>
      <c r="E603">
        <v>5000017082</v>
      </c>
      <c r="F603" t="s">
        <v>609</v>
      </c>
      <c r="G603">
        <v>1</v>
      </c>
      <c r="H603" t="s">
        <v>35</v>
      </c>
      <c r="I603" s="10">
        <v>45867</v>
      </c>
      <c r="K603" s="23">
        <v>2072072.1</v>
      </c>
      <c r="L603" t="s">
        <v>162</v>
      </c>
      <c r="M603" t="s">
        <v>36</v>
      </c>
      <c r="N603" t="s">
        <v>37</v>
      </c>
      <c r="O603" t="s">
        <v>38</v>
      </c>
      <c r="R603" t="s">
        <v>98</v>
      </c>
      <c r="S603" t="s">
        <v>39</v>
      </c>
      <c r="T603">
        <v>0</v>
      </c>
      <c r="U603">
        <v>79707003</v>
      </c>
      <c r="V603">
        <v>0</v>
      </c>
      <c r="W603">
        <v>1</v>
      </c>
      <c r="X603" t="s">
        <v>163</v>
      </c>
      <c r="Y603" s="10">
        <v>45862</v>
      </c>
      <c r="AD603" t="s">
        <v>41</v>
      </c>
      <c r="AX603" t="s">
        <v>164</v>
      </c>
      <c r="AY603" t="s">
        <v>613</v>
      </c>
    </row>
    <row r="604" spans="1:51" x14ac:dyDescent="0.25">
      <c r="A604" t="str">
        <f t="shared" si="31"/>
        <v>5000016028108052631</v>
      </c>
      <c r="B604">
        <v>1</v>
      </c>
      <c r="C604">
        <v>10805263</v>
      </c>
      <c r="D604">
        <v>1</v>
      </c>
      <c r="E604">
        <v>5000016028</v>
      </c>
      <c r="F604" t="s">
        <v>822</v>
      </c>
      <c r="G604">
        <v>1</v>
      </c>
      <c r="H604" t="s">
        <v>35</v>
      </c>
      <c r="I604" s="10">
        <v>45979</v>
      </c>
      <c r="K604" s="23">
        <v>1756756.76</v>
      </c>
      <c r="L604" t="s">
        <v>162</v>
      </c>
      <c r="M604" t="s">
        <v>36</v>
      </c>
      <c r="N604" t="s">
        <v>37</v>
      </c>
      <c r="O604" t="s">
        <v>38</v>
      </c>
      <c r="R604" t="s">
        <v>98</v>
      </c>
      <c r="S604" t="s">
        <v>39</v>
      </c>
      <c r="T604">
        <v>0</v>
      </c>
      <c r="U604">
        <v>79711399</v>
      </c>
      <c r="V604">
        <v>0</v>
      </c>
      <c r="W604">
        <v>1</v>
      </c>
      <c r="X604" t="s">
        <v>163</v>
      </c>
      <c r="Y604" s="10">
        <v>45979</v>
      </c>
      <c r="AD604" t="s">
        <v>41</v>
      </c>
      <c r="AX604" t="s">
        <v>164</v>
      </c>
      <c r="AY604" t="s">
        <v>831</v>
      </c>
    </row>
    <row r="605" spans="1:51" x14ac:dyDescent="0.25">
      <c r="A605" t="str">
        <f t="shared" si="31"/>
        <v>5000002803108052632</v>
      </c>
      <c r="B605">
        <v>1</v>
      </c>
      <c r="C605">
        <v>10805263</v>
      </c>
      <c r="D605">
        <v>2</v>
      </c>
      <c r="E605">
        <v>5000002803</v>
      </c>
      <c r="F605" t="s">
        <v>824</v>
      </c>
      <c r="G605">
        <v>1</v>
      </c>
      <c r="H605" t="s">
        <v>300</v>
      </c>
      <c r="I605" s="10">
        <v>45979</v>
      </c>
      <c r="K605" s="23">
        <v>75000</v>
      </c>
      <c r="L605" t="s">
        <v>162</v>
      </c>
      <c r="M605" t="s">
        <v>36</v>
      </c>
      <c r="N605" t="s">
        <v>37</v>
      </c>
      <c r="O605" t="s">
        <v>38</v>
      </c>
      <c r="R605" t="s">
        <v>98</v>
      </c>
      <c r="S605" t="s">
        <v>39</v>
      </c>
      <c r="T605">
        <v>0</v>
      </c>
      <c r="U605">
        <v>79711408</v>
      </c>
      <c r="V605">
        <v>0</v>
      </c>
      <c r="W605">
        <v>1</v>
      </c>
      <c r="X605" t="s">
        <v>163</v>
      </c>
      <c r="Y605" s="10">
        <v>45979</v>
      </c>
      <c r="AD605" t="s">
        <v>41</v>
      </c>
      <c r="AX605" t="s">
        <v>164</v>
      </c>
      <c r="AY605" t="s">
        <v>825</v>
      </c>
    </row>
    <row r="606" spans="1:51" x14ac:dyDescent="0.25">
      <c r="A606" t="str">
        <f t="shared" si="31"/>
        <v>5000016428108052633</v>
      </c>
      <c r="B606">
        <v>2</v>
      </c>
      <c r="C606">
        <v>10805263</v>
      </c>
      <c r="D606">
        <v>3</v>
      </c>
      <c r="E606">
        <v>5000016428</v>
      </c>
      <c r="F606" t="s">
        <v>157</v>
      </c>
      <c r="G606">
        <v>1</v>
      </c>
      <c r="H606" t="s">
        <v>35</v>
      </c>
      <c r="I606" s="10">
        <v>45979</v>
      </c>
      <c r="K606" s="23">
        <v>1550000</v>
      </c>
      <c r="L606" t="s">
        <v>162</v>
      </c>
      <c r="M606" t="s">
        <v>36</v>
      </c>
      <c r="N606" t="s">
        <v>37</v>
      </c>
      <c r="O606" t="s">
        <v>38</v>
      </c>
      <c r="R606" t="s">
        <v>98</v>
      </c>
      <c r="S606" t="s">
        <v>39</v>
      </c>
      <c r="T606">
        <v>0</v>
      </c>
      <c r="U606">
        <v>79711408</v>
      </c>
      <c r="V606">
        <v>0</v>
      </c>
      <c r="W606">
        <v>1</v>
      </c>
      <c r="X606" t="s">
        <v>163</v>
      </c>
      <c r="Y606" s="10">
        <v>45979</v>
      </c>
      <c r="AD606" t="s">
        <v>41</v>
      </c>
      <c r="AX606" t="s">
        <v>164</v>
      </c>
      <c r="AY606" t="s">
        <v>826</v>
      </c>
    </row>
    <row r="607" spans="1:51" x14ac:dyDescent="0.25">
      <c r="A607" t="str">
        <f t="shared" si="31"/>
        <v>5000017624108053904</v>
      </c>
      <c r="B607">
        <v>1</v>
      </c>
      <c r="C607">
        <v>10805390</v>
      </c>
      <c r="D607">
        <v>4</v>
      </c>
      <c r="E607">
        <v>5000017624</v>
      </c>
      <c r="F607" t="s">
        <v>227</v>
      </c>
      <c r="G607">
        <v>1</v>
      </c>
      <c r="H607" t="s">
        <v>35</v>
      </c>
      <c r="I607" s="10">
        <v>45987</v>
      </c>
      <c r="K607" s="23">
        <v>2162162.2000000002</v>
      </c>
      <c r="L607" t="s">
        <v>162</v>
      </c>
      <c r="M607" t="s">
        <v>36</v>
      </c>
      <c r="N607" t="s">
        <v>37</v>
      </c>
      <c r="O607" t="s">
        <v>38</v>
      </c>
      <c r="R607" t="s">
        <v>98</v>
      </c>
      <c r="S607" t="s">
        <v>39</v>
      </c>
      <c r="T607">
        <v>0</v>
      </c>
      <c r="U607">
        <v>79711508</v>
      </c>
      <c r="V607">
        <v>0</v>
      </c>
      <c r="W607">
        <v>1</v>
      </c>
      <c r="X607" t="s">
        <v>163</v>
      </c>
      <c r="Y607" s="10">
        <v>45981</v>
      </c>
      <c r="AD607" t="s">
        <v>41</v>
      </c>
      <c r="AX607" t="s">
        <v>164</v>
      </c>
      <c r="AY607" t="s">
        <v>837</v>
      </c>
    </row>
    <row r="608" spans="1:51" x14ac:dyDescent="0.25">
      <c r="A608" t="str">
        <f t="shared" si="31"/>
        <v>5000004248108053281</v>
      </c>
      <c r="B608">
        <v>1</v>
      </c>
      <c r="C608">
        <v>10805328</v>
      </c>
      <c r="D608">
        <v>1</v>
      </c>
      <c r="E608">
        <v>5000004248</v>
      </c>
      <c r="F608" t="s">
        <v>155</v>
      </c>
      <c r="G608">
        <v>12</v>
      </c>
      <c r="H608" t="s">
        <v>93</v>
      </c>
      <c r="I608" s="10">
        <v>45982</v>
      </c>
      <c r="K608" s="23">
        <v>65000</v>
      </c>
      <c r="L608" t="s">
        <v>162</v>
      </c>
      <c r="M608" t="s">
        <v>36</v>
      </c>
      <c r="N608" t="s">
        <v>37</v>
      </c>
      <c r="O608" t="s">
        <v>38</v>
      </c>
      <c r="R608" t="s">
        <v>98</v>
      </c>
      <c r="S608" t="s">
        <v>39</v>
      </c>
      <c r="T608">
        <v>0</v>
      </c>
      <c r="U608">
        <v>79711526</v>
      </c>
      <c r="V608">
        <v>0</v>
      </c>
      <c r="W608">
        <v>12</v>
      </c>
      <c r="X608" t="s">
        <v>163</v>
      </c>
      <c r="Y608" s="10">
        <v>45982</v>
      </c>
      <c r="AD608" t="s">
        <v>41</v>
      </c>
      <c r="AX608" t="s">
        <v>164</v>
      </c>
      <c r="AY608" t="s">
        <v>829</v>
      </c>
    </row>
    <row r="609" spans="1:51" x14ac:dyDescent="0.25">
      <c r="A609" t="str">
        <f t="shared" si="31"/>
        <v>5000011448108053811</v>
      </c>
      <c r="B609">
        <v>2</v>
      </c>
      <c r="C609">
        <v>10805381</v>
      </c>
      <c r="D609">
        <v>1</v>
      </c>
      <c r="E609">
        <v>5000011448</v>
      </c>
      <c r="F609" t="s">
        <v>97</v>
      </c>
      <c r="G609">
        <v>1</v>
      </c>
      <c r="H609" t="s">
        <v>35</v>
      </c>
      <c r="I609" s="10">
        <v>45986</v>
      </c>
      <c r="K609" s="23">
        <v>50000</v>
      </c>
      <c r="L609" t="s">
        <v>162</v>
      </c>
      <c r="M609" t="s">
        <v>36</v>
      </c>
      <c r="N609" t="s">
        <v>37</v>
      </c>
      <c r="O609" t="s">
        <v>38</v>
      </c>
      <c r="R609" t="s">
        <v>98</v>
      </c>
      <c r="S609" t="s">
        <v>39</v>
      </c>
      <c r="T609">
        <v>0</v>
      </c>
      <c r="U609">
        <v>79711526</v>
      </c>
      <c r="V609">
        <v>0</v>
      </c>
      <c r="W609">
        <v>1</v>
      </c>
      <c r="X609" t="s">
        <v>163</v>
      </c>
      <c r="Y609" s="10">
        <v>45982</v>
      </c>
      <c r="AD609" t="s">
        <v>41</v>
      </c>
      <c r="AX609" t="s">
        <v>164</v>
      </c>
      <c r="AY609" t="s">
        <v>830</v>
      </c>
    </row>
    <row r="610" spans="1:51" x14ac:dyDescent="0.25">
      <c r="A610" t="str">
        <f t="shared" si="31"/>
        <v>5000005059108053901</v>
      </c>
      <c r="B610">
        <v>3</v>
      </c>
      <c r="C610">
        <v>10805390</v>
      </c>
      <c r="D610">
        <v>1</v>
      </c>
      <c r="E610">
        <v>5000005059</v>
      </c>
      <c r="F610" t="s">
        <v>153</v>
      </c>
      <c r="G610">
        <v>2</v>
      </c>
      <c r="H610" t="s">
        <v>93</v>
      </c>
      <c r="I610" s="10">
        <v>45987</v>
      </c>
      <c r="K610" s="23">
        <v>95000</v>
      </c>
      <c r="L610" t="s">
        <v>162</v>
      </c>
      <c r="M610" t="s">
        <v>36</v>
      </c>
      <c r="N610" t="s">
        <v>37</v>
      </c>
      <c r="O610" t="s">
        <v>38</v>
      </c>
      <c r="R610" t="s">
        <v>98</v>
      </c>
      <c r="S610" t="s">
        <v>39</v>
      </c>
      <c r="T610">
        <v>0</v>
      </c>
      <c r="U610">
        <v>79711526</v>
      </c>
      <c r="V610">
        <v>0</v>
      </c>
      <c r="W610">
        <v>2</v>
      </c>
      <c r="X610" t="s">
        <v>163</v>
      </c>
      <c r="Y610" s="10">
        <v>45982</v>
      </c>
      <c r="AD610" t="s">
        <v>41</v>
      </c>
      <c r="AX610" t="s">
        <v>164</v>
      </c>
      <c r="AY610" t="s">
        <v>832</v>
      </c>
    </row>
    <row r="611" spans="1:51" x14ac:dyDescent="0.25">
      <c r="A611" t="str">
        <f t="shared" si="31"/>
        <v>5000004248108053902</v>
      </c>
      <c r="B611">
        <v>4</v>
      </c>
      <c r="C611">
        <v>10805390</v>
      </c>
      <c r="D611">
        <v>2</v>
      </c>
      <c r="E611">
        <v>5000004248</v>
      </c>
      <c r="F611" t="s">
        <v>155</v>
      </c>
      <c r="G611">
        <v>2</v>
      </c>
      <c r="H611" t="s">
        <v>93</v>
      </c>
      <c r="I611" s="10">
        <v>45987</v>
      </c>
      <c r="K611" s="23">
        <v>65000</v>
      </c>
      <c r="L611" t="s">
        <v>162</v>
      </c>
      <c r="M611" t="s">
        <v>36</v>
      </c>
      <c r="N611" t="s">
        <v>37</v>
      </c>
      <c r="O611" t="s">
        <v>38</v>
      </c>
      <c r="R611" t="s">
        <v>98</v>
      </c>
      <c r="S611" t="s">
        <v>39</v>
      </c>
      <c r="T611">
        <v>0</v>
      </c>
      <c r="U611">
        <v>79711526</v>
      </c>
      <c r="V611">
        <v>0</v>
      </c>
      <c r="W611">
        <v>2</v>
      </c>
      <c r="X611" t="s">
        <v>163</v>
      </c>
      <c r="Y611" s="10">
        <v>45982</v>
      </c>
      <c r="AD611" t="s">
        <v>41</v>
      </c>
      <c r="AX611" t="s">
        <v>164</v>
      </c>
      <c r="AY611" t="s">
        <v>833</v>
      </c>
    </row>
    <row r="612" spans="1:51" x14ac:dyDescent="0.25">
      <c r="A612" t="str">
        <f t="shared" si="31"/>
        <v>5000005340108053903</v>
      </c>
      <c r="B612">
        <v>5</v>
      </c>
      <c r="C612">
        <v>10805390</v>
      </c>
      <c r="D612">
        <v>3</v>
      </c>
      <c r="E612">
        <v>5000005340</v>
      </c>
      <c r="F612" t="s">
        <v>199</v>
      </c>
      <c r="G612">
        <v>1</v>
      </c>
      <c r="H612" t="s">
        <v>35</v>
      </c>
      <c r="I612" s="10">
        <v>45987</v>
      </c>
      <c r="K612" s="23">
        <v>155000</v>
      </c>
      <c r="L612" t="s">
        <v>162</v>
      </c>
      <c r="M612" t="s">
        <v>36</v>
      </c>
      <c r="N612" t="s">
        <v>37</v>
      </c>
      <c r="O612" t="s">
        <v>38</v>
      </c>
      <c r="R612" t="s">
        <v>98</v>
      </c>
      <c r="S612" t="s">
        <v>39</v>
      </c>
      <c r="T612">
        <v>0</v>
      </c>
      <c r="U612">
        <v>79711526</v>
      </c>
      <c r="V612">
        <v>0</v>
      </c>
      <c r="W612">
        <v>1</v>
      </c>
      <c r="X612" t="s">
        <v>163</v>
      </c>
      <c r="Y612" s="10">
        <v>45982</v>
      </c>
      <c r="AD612" t="s">
        <v>41</v>
      </c>
      <c r="AX612" t="s">
        <v>164</v>
      </c>
      <c r="AY612" t="s">
        <v>834</v>
      </c>
    </row>
    <row r="613" spans="1:51" x14ac:dyDescent="0.25">
      <c r="A613" t="str">
        <f t="shared" si="31"/>
        <v>5000017082108033621</v>
      </c>
      <c r="B613">
        <v>1</v>
      </c>
      <c r="C613">
        <v>10803362</v>
      </c>
      <c r="D613">
        <v>1</v>
      </c>
      <c r="E613">
        <v>5000017082</v>
      </c>
      <c r="F613" t="s">
        <v>609</v>
      </c>
      <c r="G613">
        <v>1</v>
      </c>
      <c r="H613" t="s">
        <v>35</v>
      </c>
      <c r="I613" s="10">
        <v>45867</v>
      </c>
      <c r="K613" s="23">
        <v>2072072.1</v>
      </c>
      <c r="L613" t="s">
        <v>162</v>
      </c>
      <c r="M613" t="s">
        <v>36</v>
      </c>
      <c r="N613" t="s">
        <v>37</v>
      </c>
      <c r="O613" t="s">
        <v>38</v>
      </c>
      <c r="R613" t="s">
        <v>98</v>
      </c>
      <c r="S613" t="s">
        <v>39</v>
      </c>
      <c r="T613">
        <v>0</v>
      </c>
      <c r="U613">
        <v>79707003</v>
      </c>
      <c r="V613">
        <v>0</v>
      </c>
      <c r="W613">
        <v>1</v>
      </c>
      <c r="X613" t="s">
        <v>163</v>
      </c>
      <c r="Y613" s="10">
        <v>45862</v>
      </c>
      <c r="AD613" t="s">
        <v>41</v>
      </c>
      <c r="AX613" t="s">
        <v>164</v>
      </c>
      <c r="AY613" t="s">
        <v>613</v>
      </c>
    </row>
    <row r="614" spans="1:51" x14ac:dyDescent="0.25">
      <c r="A614" t="str">
        <f t="shared" si="31"/>
        <v>5000016659108054581</v>
      </c>
      <c r="B614">
        <v>1</v>
      </c>
      <c r="C614">
        <v>10805458</v>
      </c>
      <c r="D614">
        <v>1</v>
      </c>
      <c r="E614">
        <v>5000016659</v>
      </c>
      <c r="F614" t="s">
        <v>327</v>
      </c>
      <c r="G614">
        <v>1</v>
      </c>
      <c r="H614" t="s">
        <v>93</v>
      </c>
      <c r="I614" s="10">
        <v>45992</v>
      </c>
      <c r="K614" s="23">
        <v>105000</v>
      </c>
      <c r="L614" t="s">
        <v>162</v>
      </c>
      <c r="M614" t="s">
        <v>36</v>
      </c>
      <c r="N614" t="s">
        <v>37</v>
      </c>
      <c r="O614" t="s">
        <v>38</v>
      </c>
      <c r="R614" t="s">
        <v>98</v>
      </c>
      <c r="S614" t="s">
        <v>39</v>
      </c>
      <c r="T614">
        <v>0</v>
      </c>
      <c r="U614">
        <v>79711830</v>
      </c>
      <c r="V614">
        <v>1</v>
      </c>
      <c r="W614">
        <v>0</v>
      </c>
      <c r="X614" t="s">
        <v>163</v>
      </c>
      <c r="Y614" s="10">
        <v>45990</v>
      </c>
      <c r="AD614" t="s">
        <v>41</v>
      </c>
      <c r="AY614" t="s">
        <v>836</v>
      </c>
    </row>
    <row r="615" spans="1:51" x14ac:dyDescent="0.25">
      <c r="A615" t="str">
        <f t="shared" si="31"/>
        <v>5000016308108055113</v>
      </c>
      <c r="B615">
        <v>2</v>
      </c>
      <c r="C615">
        <v>10805511</v>
      </c>
      <c r="D615">
        <v>3</v>
      </c>
      <c r="E615">
        <v>5000016308</v>
      </c>
      <c r="F615" t="s">
        <v>143</v>
      </c>
      <c r="G615">
        <v>1</v>
      </c>
      <c r="H615" t="s">
        <v>35</v>
      </c>
      <c r="I615" s="10">
        <v>45994</v>
      </c>
      <c r="K615" s="23">
        <v>3225000</v>
      </c>
      <c r="L615" t="s">
        <v>162</v>
      </c>
      <c r="M615" t="s">
        <v>36</v>
      </c>
      <c r="N615" t="s">
        <v>37</v>
      </c>
      <c r="O615" t="s">
        <v>38</v>
      </c>
      <c r="R615" t="s">
        <v>98</v>
      </c>
      <c r="S615" t="s">
        <v>39</v>
      </c>
      <c r="T615">
        <v>0</v>
      </c>
      <c r="U615">
        <v>79711830</v>
      </c>
      <c r="V615">
        <v>1</v>
      </c>
      <c r="W615">
        <v>0</v>
      </c>
      <c r="X615" t="s">
        <v>163</v>
      </c>
      <c r="Y615" s="10">
        <v>45990</v>
      </c>
      <c r="AD615" t="s">
        <v>41</v>
      </c>
      <c r="AY615" t="s">
        <v>851</v>
      </c>
    </row>
    <row r="616" spans="1:51" x14ac:dyDescent="0.25">
      <c r="A616" t="str">
        <f t="shared" si="31"/>
        <v>5000016308108055291</v>
      </c>
      <c r="B616">
        <v>3</v>
      </c>
      <c r="C616">
        <v>10805529</v>
      </c>
      <c r="D616">
        <v>1</v>
      </c>
      <c r="E616">
        <v>5000016308</v>
      </c>
      <c r="F616" t="s">
        <v>143</v>
      </c>
      <c r="G616">
        <v>1</v>
      </c>
      <c r="H616" t="s">
        <v>35</v>
      </c>
      <c r="I616" s="10">
        <v>45995</v>
      </c>
      <c r="K616" s="23">
        <v>2980000</v>
      </c>
      <c r="L616" t="s">
        <v>162</v>
      </c>
      <c r="M616" t="s">
        <v>36</v>
      </c>
      <c r="N616" t="s">
        <v>37</v>
      </c>
      <c r="O616" t="s">
        <v>38</v>
      </c>
      <c r="R616" t="s">
        <v>98</v>
      </c>
      <c r="S616" t="s">
        <v>39</v>
      </c>
      <c r="T616">
        <v>0</v>
      </c>
      <c r="U616">
        <v>79711830</v>
      </c>
      <c r="V616">
        <v>1</v>
      </c>
      <c r="W616">
        <v>0</v>
      </c>
      <c r="X616" t="s">
        <v>163</v>
      </c>
      <c r="Y616" s="10">
        <v>45990</v>
      </c>
      <c r="AD616" t="s">
        <v>41</v>
      </c>
      <c r="AY616" t="s">
        <v>841</v>
      </c>
    </row>
    <row r="617" spans="1:51" x14ac:dyDescent="0.25">
      <c r="A617" t="str">
        <f t="shared" si="31"/>
        <v>5000016255108055293</v>
      </c>
      <c r="B617">
        <v>4</v>
      </c>
      <c r="C617">
        <v>10805529</v>
      </c>
      <c r="D617">
        <v>3</v>
      </c>
      <c r="E617">
        <v>5000016255</v>
      </c>
      <c r="F617" t="s">
        <v>110</v>
      </c>
      <c r="G617">
        <v>1</v>
      </c>
      <c r="H617" t="s">
        <v>93</v>
      </c>
      <c r="I617" s="10">
        <v>45995</v>
      </c>
      <c r="K617" s="23">
        <v>343000</v>
      </c>
      <c r="L617" t="s">
        <v>162</v>
      </c>
      <c r="M617" t="s">
        <v>36</v>
      </c>
      <c r="N617" t="s">
        <v>37</v>
      </c>
      <c r="O617" t="s">
        <v>38</v>
      </c>
      <c r="R617" t="s">
        <v>98</v>
      </c>
      <c r="S617" t="s">
        <v>39</v>
      </c>
      <c r="T617">
        <v>0</v>
      </c>
      <c r="U617">
        <v>79711830</v>
      </c>
      <c r="V617">
        <v>1</v>
      </c>
      <c r="W617">
        <v>0</v>
      </c>
      <c r="X617" t="s">
        <v>163</v>
      </c>
      <c r="Y617" s="10">
        <v>45990</v>
      </c>
      <c r="AD617" t="s">
        <v>41</v>
      </c>
      <c r="AY617" t="s">
        <v>843</v>
      </c>
    </row>
    <row r="618" spans="1:51" x14ac:dyDescent="0.25">
      <c r="A618" t="str">
        <f t="shared" si="31"/>
        <v>5000011754108055112</v>
      </c>
      <c r="B618">
        <v>1</v>
      </c>
      <c r="C618">
        <v>10805511</v>
      </c>
      <c r="D618">
        <v>2</v>
      </c>
      <c r="E618">
        <v>5000011754</v>
      </c>
      <c r="F618" t="s">
        <v>99</v>
      </c>
      <c r="G618">
        <v>2</v>
      </c>
      <c r="H618" t="s">
        <v>93</v>
      </c>
      <c r="I618" s="10">
        <v>45994</v>
      </c>
      <c r="K618" s="23">
        <v>20000</v>
      </c>
      <c r="L618" t="s">
        <v>162</v>
      </c>
      <c r="M618" t="s">
        <v>36</v>
      </c>
      <c r="N618" t="s">
        <v>37</v>
      </c>
      <c r="O618" t="s">
        <v>38</v>
      </c>
      <c r="R618" t="s">
        <v>98</v>
      </c>
      <c r="S618" t="s">
        <v>39</v>
      </c>
      <c r="T618">
        <v>0</v>
      </c>
      <c r="U618">
        <v>79711831</v>
      </c>
      <c r="V618">
        <v>2</v>
      </c>
      <c r="W618">
        <v>0</v>
      </c>
      <c r="X618" t="s">
        <v>163</v>
      </c>
      <c r="Y618" s="10">
        <v>45990</v>
      </c>
      <c r="AD618" t="s">
        <v>41</v>
      </c>
      <c r="AY618" t="s">
        <v>839</v>
      </c>
    </row>
    <row r="619" spans="1:51" x14ac:dyDescent="0.25">
      <c r="A619" t="str">
        <f t="shared" si="31"/>
        <v>5000016428108055292</v>
      </c>
      <c r="B619">
        <v>2</v>
      </c>
      <c r="C619">
        <v>10805529</v>
      </c>
      <c r="D619">
        <v>2</v>
      </c>
      <c r="E619">
        <v>5000016428</v>
      </c>
      <c r="F619" t="s">
        <v>157</v>
      </c>
      <c r="G619">
        <v>1</v>
      </c>
      <c r="H619" t="s">
        <v>35</v>
      </c>
      <c r="I619" s="10">
        <v>45995</v>
      </c>
      <c r="K619" s="23">
        <v>1550000</v>
      </c>
      <c r="L619" t="s">
        <v>162</v>
      </c>
      <c r="M619" t="s">
        <v>36</v>
      </c>
      <c r="N619" t="s">
        <v>37</v>
      </c>
      <c r="O619" t="s">
        <v>38</v>
      </c>
      <c r="R619" t="s">
        <v>98</v>
      </c>
      <c r="S619" t="s">
        <v>39</v>
      </c>
      <c r="T619">
        <v>0</v>
      </c>
      <c r="U619">
        <v>79711831</v>
      </c>
      <c r="V619">
        <v>1</v>
      </c>
      <c r="W619">
        <v>0</v>
      </c>
      <c r="X619" t="s">
        <v>163</v>
      </c>
      <c r="Y619" s="10">
        <v>45990</v>
      </c>
      <c r="AD619" t="s">
        <v>41</v>
      </c>
      <c r="AY619" t="s">
        <v>842</v>
      </c>
    </row>
    <row r="620" spans="1:51" x14ac:dyDescent="0.25">
      <c r="A620" t="str">
        <f t="shared" si="31"/>
        <v>5000005059108055294</v>
      </c>
      <c r="B620">
        <v>3</v>
      </c>
      <c r="C620">
        <v>10805529</v>
      </c>
      <c r="D620">
        <v>4</v>
      </c>
      <c r="E620">
        <v>5000005059</v>
      </c>
      <c r="F620" t="s">
        <v>153</v>
      </c>
      <c r="G620">
        <v>1</v>
      </c>
      <c r="H620" t="s">
        <v>93</v>
      </c>
      <c r="I620" s="10">
        <v>45995</v>
      </c>
      <c r="K620" s="23">
        <v>95000</v>
      </c>
      <c r="L620" t="s">
        <v>162</v>
      </c>
      <c r="M620" t="s">
        <v>36</v>
      </c>
      <c r="N620" t="s">
        <v>37</v>
      </c>
      <c r="O620" t="s">
        <v>38</v>
      </c>
      <c r="R620" t="s">
        <v>98</v>
      </c>
      <c r="S620" t="s">
        <v>39</v>
      </c>
      <c r="T620">
        <v>0</v>
      </c>
      <c r="U620">
        <v>79711831</v>
      </c>
      <c r="V620">
        <v>1</v>
      </c>
      <c r="W620">
        <v>0</v>
      </c>
      <c r="X620" t="s">
        <v>163</v>
      </c>
      <c r="Y620" s="10">
        <v>45990</v>
      </c>
      <c r="AD620" t="s">
        <v>41</v>
      </c>
      <c r="AY620" t="s">
        <v>844</v>
      </c>
    </row>
    <row r="621" spans="1:51" x14ac:dyDescent="0.25">
      <c r="A621" t="str">
        <f t="shared" si="31"/>
        <v>5000004248108055295</v>
      </c>
      <c r="B621">
        <v>4</v>
      </c>
      <c r="C621">
        <v>10805529</v>
      </c>
      <c r="D621">
        <v>5</v>
      </c>
      <c r="E621">
        <v>5000004248</v>
      </c>
      <c r="F621" t="s">
        <v>155</v>
      </c>
      <c r="G621">
        <v>1</v>
      </c>
      <c r="H621" t="s">
        <v>93</v>
      </c>
      <c r="I621" s="10">
        <v>45995</v>
      </c>
      <c r="K621" s="23">
        <v>65000</v>
      </c>
      <c r="L621" t="s">
        <v>162</v>
      </c>
      <c r="M621" t="s">
        <v>36</v>
      </c>
      <c r="N621" t="s">
        <v>37</v>
      </c>
      <c r="O621" t="s">
        <v>38</v>
      </c>
      <c r="R621" t="s">
        <v>98</v>
      </c>
      <c r="S621" t="s">
        <v>39</v>
      </c>
      <c r="T621">
        <v>0</v>
      </c>
      <c r="U621">
        <v>79711831</v>
      </c>
      <c r="V621">
        <v>1</v>
      </c>
      <c r="W621">
        <v>0</v>
      </c>
      <c r="X621" t="s">
        <v>163</v>
      </c>
      <c r="Y621" s="10">
        <v>45990</v>
      </c>
      <c r="AD621" t="s">
        <v>41</v>
      </c>
      <c r="AY621" t="s">
        <v>845</v>
      </c>
    </row>
    <row r="622" spans="1:51" x14ac:dyDescent="0.25">
      <c r="A622" t="str">
        <f t="shared" si="31"/>
        <v>5000002803108055111</v>
      </c>
      <c r="B622">
        <v>1</v>
      </c>
      <c r="C622">
        <v>10805511</v>
      </c>
      <c r="D622">
        <v>1</v>
      </c>
      <c r="E622">
        <v>5000002803</v>
      </c>
      <c r="F622" t="s">
        <v>824</v>
      </c>
      <c r="G622">
        <v>1</v>
      </c>
      <c r="H622" t="s">
        <v>300</v>
      </c>
      <c r="I622" s="10">
        <v>45994</v>
      </c>
      <c r="K622" s="23">
        <v>75000</v>
      </c>
      <c r="L622" t="s">
        <v>162</v>
      </c>
      <c r="M622" t="s">
        <v>36</v>
      </c>
      <c r="N622" t="s">
        <v>37</v>
      </c>
      <c r="O622" t="s">
        <v>38</v>
      </c>
      <c r="R622" t="s">
        <v>98</v>
      </c>
      <c r="S622" t="s">
        <v>39</v>
      </c>
      <c r="T622">
        <v>0</v>
      </c>
      <c r="U622">
        <v>79711832</v>
      </c>
      <c r="V622">
        <v>1</v>
      </c>
      <c r="W622">
        <v>0</v>
      </c>
      <c r="X622" t="s">
        <v>163</v>
      </c>
      <c r="Y622" s="10">
        <v>45990</v>
      </c>
      <c r="AD622" t="s">
        <v>41</v>
      </c>
      <c r="AY622" t="s">
        <v>838</v>
      </c>
    </row>
    <row r="623" spans="1:51" x14ac:dyDescent="0.25">
      <c r="A623" t="str">
        <f t="shared" si="31"/>
        <v/>
      </c>
    </row>
    <row r="624" spans="1:51" x14ac:dyDescent="0.25">
      <c r="A624" t="str">
        <f t="shared" si="31"/>
        <v/>
      </c>
    </row>
    <row r="625" spans="1:1" x14ac:dyDescent="0.25">
      <c r="A625" t="str">
        <f t="shared" si="31"/>
        <v/>
      </c>
    </row>
    <row r="626" spans="1:1" x14ac:dyDescent="0.25">
      <c r="A626" t="str">
        <f t="shared" si="31"/>
        <v/>
      </c>
    </row>
    <row r="627" spans="1:1" x14ac:dyDescent="0.25">
      <c r="A627" t="str">
        <f t="shared" si="31"/>
        <v/>
      </c>
    </row>
    <row r="628" spans="1:1" x14ac:dyDescent="0.25">
      <c r="A628" t="str">
        <f t="shared" si="31"/>
        <v/>
      </c>
    </row>
    <row r="629" spans="1:1" x14ac:dyDescent="0.25">
      <c r="A629" t="str">
        <f t="shared" si="31"/>
        <v/>
      </c>
    </row>
    <row r="630" spans="1:1" x14ac:dyDescent="0.25">
      <c r="A630" t="str">
        <f t="shared" si="31"/>
        <v/>
      </c>
    </row>
    <row r="631" spans="1:1" x14ac:dyDescent="0.25">
      <c r="A631" t="str">
        <f t="shared" si="31"/>
        <v/>
      </c>
    </row>
    <row r="632" spans="1:1" x14ac:dyDescent="0.25">
      <c r="A632" t="str">
        <f t="shared" si="31"/>
        <v/>
      </c>
    </row>
    <row r="633" spans="1:1" x14ac:dyDescent="0.25">
      <c r="A633" t="str">
        <f t="shared" si="31"/>
        <v/>
      </c>
    </row>
    <row r="634" spans="1:1" x14ac:dyDescent="0.25">
      <c r="A634" t="str">
        <f t="shared" si="31"/>
        <v/>
      </c>
    </row>
    <row r="635" spans="1:1" x14ac:dyDescent="0.25">
      <c r="A635" t="str">
        <f t="shared" si="31"/>
        <v/>
      </c>
    </row>
    <row r="636" spans="1:1" x14ac:dyDescent="0.25">
      <c r="A636" t="str">
        <f t="shared" si="31"/>
        <v/>
      </c>
    </row>
    <row r="637" spans="1:1" x14ac:dyDescent="0.25">
      <c r="A637" t="str">
        <f t="shared" si="31"/>
        <v/>
      </c>
    </row>
    <row r="638" spans="1:1" x14ac:dyDescent="0.25">
      <c r="A638" t="str">
        <f t="shared" si="31"/>
        <v/>
      </c>
    </row>
    <row r="639" spans="1:1" x14ac:dyDescent="0.25">
      <c r="A639" t="str">
        <f t="shared" si="31"/>
        <v/>
      </c>
    </row>
    <row r="640" spans="1:1" x14ac:dyDescent="0.25">
      <c r="A640" t="str">
        <f t="shared" si="31"/>
        <v/>
      </c>
    </row>
    <row r="641" spans="1:1" x14ac:dyDescent="0.25">
      <c r="A641" t="str">
        <f t="shared" ref="A641:A704" si="32">E641&amp;C641&amp;D641</f>
        <v/>
      </c>
    </row>
    <row r="642" spans="1:1" x14ac:dyDescent="0.25">
      <c r="A642" t="str">
        <f t="shared" si="32"/>
        <v/>
      </c>
    </row>
    <row r="643" spans="1:1" x14ac:dyDescent="0.25">
      <c r="A643" t="str">
        <f t="shared" si="32"/>
        <v/>
      </c>
    </row>
    <row r="644" spans="1:1" x14ac:dyDescent="0.25">
      <c r="A644" t="str">
        <f t="shared" si="32"/>
        <v/>
      </c>
    </row>
    <row r="645" spans="1:1" x14ac:dyDescent="0.25">
      <c r="A645" t="str">
        <f t="shared" si="32"/>
        <v/>
      </c>
    </row>
    <row r="646" spans="1:1" x14ac:dyDescent="0.25">
      <c r="A646" t="str">
        <f t="shared" si="32"/>
        <v/>
      </c>
    </row>
    <row r="647" spans="1:1" x14ac:dyDescent="0.25">
      <c r="A647" t="str">
        <f t="shared" si="32"/>
        <v/>
      </c>
    </row>
    <row r="648" spans="1:1" x14ac:dyDescent="0.25">
      <c r="A648" t="str">
        <f t="shared" si="32"/>
        <v/>
      </c>
    </row>
    <row r="649" spans="1:1" x14ac:dyDescent="0.25">
      <c r="A649" t="str">
        <f t="shared" si="32"/>
        <v/>
      </c>
    </row>
    <row r="650" spans="1:1" x14ac:dyDescent="0.25">
      <c r="A650" t="str">
        <f t="shared" si="32"/>
        <v/>
      </c>
    </row>
    <row r="651" spans="1:1" x14ac:dyDescent="0.25">
      <c r="A651" t="str">
        <f t="shared" si="32"/>
        <v/>
      </c>
    </row>
    <row r="652" spans="1:1" x14ac:dyDescent="0.25">
      <c r="A652" t="str">
        <f t="shared" si="32"/>
        <v/>
      </c>
    </row>
    <row r="653" spans="1:1" x14ac:dyDescent="0.25">
      <c r="A653" t="str">
        <f t="shared" si="32"/>
        <v/>
      </c>
    </row>
    <row r="654" spans="1:1" x14ac:dyDescent="0.25">
      <c r="A654" t="str">
        <f t="shared" si="32"/>
        <v/>
      </c>
    </row>
    <row r="655" spans="1:1" x14ac:dyDescent="0.25">
      <c r="A655" t="str">
        <f t="shared" si="32"/>
        <v/>
      </c>
    </row>
    <row r="656" spans="1:1" x14ac:dyDescent="0.25">
      <c r="A656" t="str">
        <f t="shared" si="32"/>
        <v/>
      </c>
    </row>
    <row r="657" spans="1:1" x14ac:dyDescent="0.25">
      <c r="A657" t="str">
        <f t="shared" si="32"/>
        <v/>
      </c>
    </row>
    <row r="658" spans="1:1" x14ac:dyDescent="0.25">
      <c r="A658" t="str">
        <f t="shared" si="32"/>
        <v/>
      </c>
    </row>
    <row r="659" spans="1:1" x14ac:dyDescent="0.25">
      <c r="A659" t="str">
        <f t="shared" si="32"/>
        <v/>
      </c>
    </row>
    <row r="660" spans="1:1" x14ac:dyDescent="0.25">
      <c r="A660" t="str">
        <f t="shared" si="32"/>
        <v/>
      </c>
    </row>
    <row r="661" spans="1:1" x14ac:dyDescent="0.25">
      <c r="A661" t="str">
        <f t="shared" si="32"/>
        <v/>
      </c>
    </row>
    <row r="662" spans="1:1" x14ac:dyDescent="0.25">
      <c r="A662" t="str">
        <f t="shared" si="32"/>
        <v/>
      </c>
    </row>
    <row r="663" spans="1:1" x14ac:dyDescent="0.25">
      <c r="A663" t="str">
        <f t="shared" si="32"/>
        <v/>
      </c>
    </row>
    <row r="664" spans="1:1" x14ac:dyDescent="0.25">
      <c r="A664" t="str">
        <f t="shared" si="32"/>
        <v/>
      </c>
    </row>
    <row r="665" spans="1:1" x14ac:dyDescent="0.25">
      <c r="A665" t="str">
        <f t="shared" si="32"/>
        <v/>
      </c>
    </row>
    <row r="666" spans="1:1" x14ac:dyDescent="0.25">
      <c r="A666" t="str">
        <f t="shared" si="32"/>
        <v/>
      </c>
    </row>
    <row r="667" spans="1:1" x14ac:dyDescent="0.25">
      <c r="A667" t="str">
        <f t="shared" si="32"/>
        <v/>
      </c>
    </row>
    <row r="668" spans="1:1" x14ac:dyDescent="0.25">
      <c r="A668" t="str">
        <f t="shared" si="32"/>
        <v/>
      </c>
    </row>
    <row r="669" spans="1:1" x14ac:dyDescent="0.25">
      <c r="A669" t="str">
        <f t="shared" si="32"/>
        <v/>
      </c>
    </row>
    <row r="670" spans="1:1" x14ac:dyDescent="0.25">
      <c r="A670" t="str">
        <f t="shared" si="32"/>
        <v/>
      </c>
    </row>
    <row r="671" spans="1:1" x14ac:dyDescent="0.25">
      <c r="A671" t="str">
        <f t="shared" si="32"/>
        <v/>
      </c>
    </row>
    <row r="672" spans="1:1" x14ac:dyDescent="0.25">
      <c r="A672" t="str">
        <f t="shared" si="32"/>
        <v/>
      </c>
    </row>
    <row r="673" spans="1:1" x14ac:dyDescent="0.25">
      <c r="A673" t="str">
        <f t="shared" si="32"/>
        <v/>
      </c>
    </row>
    <row r="674" spans="1:1" x14ac:dyDescent="0.25">
      <c r="A674" t="str">
        <f t="shared" si="32"/>
        <v/>
      </c>
    </row>
    <row r="675" spans="1:1" x14ac:dyDescent="0.25">
      <c r="A675" t="str">
        <f t="shared" si="32"/>
        <v/>
      </c>
    </row>
    <row r="676" spans="1:1" x14ac:dyDescent="0.25">
      <c r="A676" t="str">
        <f t="shared" si="32"/>
        <v/>
      </c>
    </row>
    <row r="677" spans="1:1" x14ac:dyDescent="0.25">
      <c r="A677" t="str">
        <f t="shared" si="32"/>
        <v/>
      </c>
    </row>
    <row r="678" spans="1:1" x14ac:dyDescent="0.25">
      <c r="A678" t="str">
        <f t="shared" si="32"/>
        <v/>
      </c>
    </row>
    <row r="679" spans="1:1" x14ac:dyDescent="0.25">
      <c r="A679" t="str">
        <f t="shared" si="32"/>
        <v/>
      </c>
    </row>
    <row r="680" spans="1:1" x14ac:dyDescent="0.25">
      <c r="A680" t="str">
        <f t="shared" si="32"/>
        <v/>
      </c>
    </row>
    <row r="681" spans="1:1" x14ac:dyDescent="0.25">
      <c r="A681" t="str">
        <f t="shared" si="32"/>
        <v/>
      </c>
    </row>
    <row r="682" spans="1:1" x14ac:dyDescent="0.25">
      <c r="A682" t="str">
        <f t="shared" si="32"/>
        <v/>
      </c>
    </row>
    <row r="683" spans="1:1" x14ac:dyDescent="0.25">
      <c r="A683" t="str">
        <f t="shared" si="32"/>
        <v/>
      </c>
    </row>
    <row r="684" spans="1:1" x14ac:dyDescent="0.25">
      <c r="A684" t="str">
        <f t="shared" si="32"/>
        <v/>
      </c>
    </row>
    <row r="685" spans="1:1" x14ac:dyDescent="0.25">
      <c r="A685" t="str">
        <f t="shared" si="32"/>
        <v/>
      </c>
    </row>
    <row r="686" spans="1:1" x14ac:dyDescent="0.25">
      <c r="A686" t="str">
        <f t="shared" si="32"/>
        <v/>
      </c>
    </row>
    <row r="687" spans="1:1" x14ac:dyDescent="0.25">
      <c r="A687" t="str">
        <f t="shared" si="32"/>
        <v/>
      </c>
    </row>
    <row r="688" spans="1:1" x14ac:dyDescent="0.25">
      <c r="A688" t="str">
        <f t="shared" si="32"/>
        <v/>
      </c>
    </row>
    <row r="689" spans="1:1" x14ac:dyDescent="0.25">
      <c r="A689" t="str">
        <f t="shared" si="32"/>
        <v/>
      </c>
    </row>
    <row r="690" spans="1:1" x14ac:dyDescent="0.25">
      <c r="A690" t="str">
        <f t="shared" si="32"/>
        <v/>
      </c>
    </row>
    <row r="691" spans="1:1" x14ac:dyDescent="0.25">
      <c r="A691" t="str">
        <f t="shared" si="32"/>
        <v/>
      </c>
    </row>
    <row r="692" spans="1:1" x14ac:dyDescent="0.25">
      <c r="A692" t="str">
        <f t="shared" si="32"/>
        <v/>
      </c>
    </row>
    <row r="693" spans="1:1" x14ac:dyDescent="0.25">
      <c r="A693" t="str">
        <f t="shared" si="32"/>
        <v/>
      </c>
    </row>
    <row r="694" spans="1:1" x14ac:dyDescent="0.25">
      <c r="A694" t="str">
        <f t="shared" si="32"/>
        <v/>
      </c>
    </row>
    <row r="695" spans="1:1" x14ac:dyDescent="0.25">
      <c r="A695" t="str">
        <f t="shared" si="32"/>
        <v/>
      </c>
    </row>
    <row r="696" spans="1:1" x14ac:dyDescent="0.25">
      <c r="A696" t="str">
        <f t="shared" si="32"/>
        <v/>
      </c>
    </row>
    <row r="697" spans="1:1" x14ac:dyDescent="0.25">
      <c r="A697" t="str">
        <f t="shared" si="32"/>
        <v/>
      </c>
    </row>
    <row r="698" spans="1:1" x14ac:dyDescent="0.25">
      <c r="A698" t="str">
        <f t="shared" si="32"/>
        <v/>
      </c>
    </row>
    <row r="699" spans="1:1" x14ac:dyDescent="0.25">
      <c r="A699" t="str">
        <f t="shared" si="32"/>
        <v/>
      </c>
    </row>
    <row r="700" spans="1:1" x14ac:dyDescent="0.25">
      <c r="A700" t="str">
        <f t="shared" si="32"/>
        <v/>
      </c>
    </row>
    <row r="701" spans="1:1" x14ac:dyDescent="0.25">
      <c r="A701" t="str">
        <f t="shared" si="32"/>
        <v/>
      </c>
    </row>
    <row r="702" spans="1:1" x14ac:dyDescent="0.25">
      <c r="A702" t="str">
        <f t="shared" si="32"/>
        <v/>
      </c>
    </row>
    <row r="703" spans="1:1" x14ac:dyDescent="0.25">
      <c r="A703" t="str">
        <f t="shared" si="32"/>
        <v/>
      </c>
    </row>
    <row r="704" spans="1:1" x14ac:dyDescent="0.25">
      <c r="A704" t="str">
        <f t="shared" si="32"/>
        <v/>
      </c>
    </row>
    <row r="705" spans="1:1" x14ac:dyDescent="0.25">
      <c r="A705" t="str">
        <f t="shared" ref="A705:A768" si="33">E705&amp;C705&amp;D705</f>
        <v/>
      </c>
    </row>
    <row r="706" spans="1:1" x14ac:dyDescent="0.25">
      <c r="A706" t="str">
        <f t="shared" si="33"/>
        <v/>
      </c>
    </row>
    <row r="707" spans="1:1" x14ac:dyDescent="0.25">
      <c r="A707" t="str">
        <f t="shared" si="33"/>
        <v/>
      </c>
    </row>
    <row r="708" spans="1:1" x14ac:dyDescent="0.25">
      <c r="A708" t="str">
        <f t="shared" si="33"/>
        <v/>
      </c>
    </row>
    <row r="709" spans="1:1" x14ac:dyDescent="0.25">
      <c r="A709" t="str">
        <f t="shared" si="33"/>
        <v/>
      </c>
    </row>
    <row r="710" spans="1:1" x14ac:dyDescent="0.25">
      <c r="A710" t="str">
        <f t="shared" si="33"/>
        <v/>
      </c>
    </row>
    <row r="711" spans="1:1" x14ac:dyDescent="0.25">
      <c r="A711" t="str">
        <f t="shared" si="33"/>
        <v/>
      </c>
    </row>
    <row r="712" spans="1:1" x14ac:dyDescent="0.25">
      <c r="A712" t="str">
        <f t="shared" si="33"/>
        <v/>
      </c>
    </row>
    <row r="713" spans="1:1" x14ac:dyDescent="0.25">
      <c r="A713" t="str">
        <f t="shared" si="33"/>
        <v/>
      </c>
    </row>
    <row r="714" spans="1:1" x14ac:dyDescent="0.25">
      <c r="A714" t="str">
        <f t="shared" si="33"/>
        <v/>
      </c>
    </row>
    <row r="715" spans="1:1" x14ac:dyDescent="0.25">
      <c r="A715" t="str">
        <f t="shared" si="33"/>
        <v/>
      </c>
    </row>
    <row r="716" spans="1:1" x14ac:dyDescent="0.25">
      <c r="A716" t="str">
        <f t="shared" si="33"/>
        <v/>
      </c>
    </row>
    <row r="717" spans="1:1" x14ac:dyDescent="0.25">
      <c r="A717" t="str">
        <f t="shared" si="33"/>
        <v/>
      </c>
    </row>
    <row r="718" spans="1:1" x14ac:dyDescent="0.25">
      <c r="A718" t="str">
        <f t="shared" si="33"/>
        <v/>
      </c>
    </row>
    <row r="719" spans="1:1" x14ac:dyDescent="0.25">
      <c r="A719" t="str">
        <f t="shared" si="33"/>
        <v/>
      </c>
    </row>
    <row r="720" spans="1:1" x14ac:dyDescent="0.25">
      <c r="A720" t="str">
        <f t="shared" si="33"/>
        <v/>
      </c>
    </row>
    <row r="721" spans="1:1" x14ac:dyDescent="0.25">
      <c r="A721" t="str">
        <f t="shared" si="33"/>
        <v/>
      </c>
    </row>
    <row r="722" spans="1:1" x14ac:dyDescent="0.25">
      <c r="A722" t="str">
        <f t="shared" si="33"/>
        <v/>
      </c>
    </row>
    <row r="723" spans="1:1" x14ac:dyDescent="0.25">
      <c r="A723" t="str">
        <f t="shared" si="33"/>
        <v/>
      </c>
    </row>
    <row r="724" spans="1:1" x14ac:dyDescent="0.25">
      <c r="A724" t="str">
        <f t="shared" si="33"/>
        <v/>
      </c>
    </row>
    <row r="725" spans="1:1" x14ac:dyDescent="0.25">
      <c r="A725" t="str">
        <f t="shared" si="33"/>
        <v/>
      </c>
    </row>
    <row r="726" spans="1:1" x14ac:dyDescent="0.25">
      <c r="A726" t="str">
        <f t="shared" si="33"/>
        <v/>
      </c>
    </row>
    <row r="727" spans="1:1" x14ac:dyDescent="0.25">
      <c r="A727" t="str">
        <f t="shared" si="33"/>
        <v/>
      </c>
    </row>
    <row r="728" spans="1:1" x14ac:dyDescent="0.25">
      <c r="A728" t="str">
        <f t="shared" si="33"/>
        <v/>
      </c>
    </row>
    <row r="729" spans="1:1" x14ac:dyDescent="0.25">
      <c r="A729" t="str">
        <f t="shared" si="33"/>
        <v/>
      </c>
    </row>
    <row r="730" spans="1:1" x14ac:dyDescent="0.25">
      <c r="A730" t="str">
        <f t="shared" si="33"/>
        <v/>
      </c>
    </row>
    <row r="731" spans="1:1" x14ac:dyDescent="0.25">
      <c r="A731" t="str">
        <f t="shared" si="33"/>
        <v/>
      </c>
    </row>
    <row r="732" spans="1:1" x14ac:dyDescent="0.25">
      <c r="A732" t="str">
        <f t="shared" si="33"/>
        <v/>
      </c>
    </row>
    <row r="733" spans="1:1" x14ac:dyDescent="0.25">
      <c r="A733" t="str">
        <f t="shared" si="33"/>
        <v/>
      </c>
    </row>
    <row r="734" spans="1:1" x14ac:dyDescent="0.25">
      <c r="A734" t="str">
        <f t="shared" si="33"/>
        <v/>
      </c>
    </row>
    <row r="735" spans="1:1" x14ac:dyDescent="0.25">
      <c r="A735" t="str">
        <f t="shared" si="33"/>
        <v/>
      </c>
    </row>
    <row r="736" spans="1:1" x14ac:dyDescent="0.25">
      <c r="A736" t="str">
        <f t="shared" si="33"/>
        <v/>
      </c>
    </row>
    <row r="737" spans="1:1" x14ac:dyDescent="0.25">
      <c r="A737" t="str">
        <f t="shared" si="33"/>
        <v/>
      </c>
    </row>
    <row r="738" spans="1:1" x14ac:dyDescent="0.25">
      <c r="A738" t="str">
        <f t="shared" si="33"/>
        <v/>
      </c>
    </row>
    <row r="739" spans="1:1" x14ac:dyDescent="0.25">
      <c r="A739" t="str">
        <f t="shared" si="33"/>
        <v/>
      </c>
    </row>
    <row r="740" spans="1:1" x14ac:dyDescent="0.25">
      <c r="A740" t="str">
        <f t="shared" si="33"/>
        <v/>
      </c>
    </row>
    <row r="741" spans="1:1" x14ac:dyDescent="0.25">
      <c r="A741" t="str">
        <f t="shared" si="33"/>
        <v/>
      </c>
    </row>
    <row r="742" spans="1:1" x14ac:dyDescent="0.25">
      <c r="A742" t="str">
        <f t="shared" si="33"/>
        <v/>
      </c>
    </row>
    <row r="743" spans="1:1" x14ac:dyDescent="0.25">
      <c r="A743" t="str">
        <f t="shared" si="33"/>
        <v/>
      </c>
    </row>
    <row r="744" spans="1:1" x14ac:dyDescent="0.25">
      <c r="A744" t="str">
        <f t="shared" si="33"/>
        <v/>
      </c>
    </row>
    <row r="745" spans="1:1" x14ac:dyDescent="0.25">
      <c r="A745" t="str">
        <f t="shared" si="33"/>
        <v/>
      </c>
    </row>
    <row r="746" spans="1:1" x14ac:dyDescent="0.25">
      <c r="A746" t="str">
        <f t="shared" si="33"/>
        <v/>
      </c>
    </row>
    <row r="747" spans="1:1" x14ac:dyDescent="0.25">
      <c r="A747" t="str">
        <f t="shared" si="33"/>
        <v/>
      </c>
    </row>
    <row r="748" spans="1:1" x14ac:dyDescent="0.25">
      <c r="A748" t="str">
        <f t="shared" si="33"/>
        <v/>
      </c>
    </row>
    <row r="749" spans="1:1" x14ac:dyDescent="0.25">
      <c r="A749" t="str">
        <f t="shared" si="33"/>
        <v/>
      </c>
    </row>
    <row r="750" spans="1:1" x14ac:dyDescent="0.25">
      <c r="A750" t="str">
        <f t="shared" si="33"/>
        <v/>
      </c>
    </row>
    <row r="751" spans="1:1" x14ac:dyDescent="0.25">
      <c r="A751" t="str">
        <f t="shared" si="33"/>
        <v/>
      </c>
    </row>
    <row r="752" spans="1:1" x14ac:dyDescent="0.25">
      <c r="A752" t="str">
        <f t="shared" si="33"/>
        <v/>
      </c>
    </row>
    <row r="753" spans="1:1" x14ac:dyDescent="0.25">
      <c r="A753" t="str">
        <f t="shared" si="33"/>
        <v/>
      </c>
    </row>
    <row r="754" spans="1:1" x14ac:dyDescent="0.25">
      <c r="A754" t="str">
        <f t="shared" si="33"/>
        <v/>
      </c>
    </row>
    <row r="755" spans="1:1" x14ac:dyDescent="0.25">
      <c r="A755" t="str">
        <f t="shared" si="33"/>
        <v/>
      </c>
    </row>
    <row r="756" spans="1:1" x14ac:dyDescent="0.25">
      <c r="A756" t="str">
        <f t="shared" si="33"/>
        <v/>
      </c>
    </row>
    <row r="757" spans="1:1" x14ac:dyDescent="0.25">
      <c r="A757" t="str">
        <f t="shared" si="33"/>
        <v/>
      </c>
    </row>
    <row r="758" spans="1:1" x14ac:dyDescent="0.25">
      <c r="A758" t="str">
        <f t="shared" si="33"/>
        <v/>
      </c>
    </row>
    <row r="759" spans="1:1" x14ac:dyDescent="0.25">
      <c r="A759" t="str">
        <f t="shared" si="33"/>
        <v/>
      </c>
    </row>
    <row r="760" spans="1:1" x14ac:dyDescent="0.25">
      <c r="A760" t="str">
        <f t="shared" si="33"/>
        <v/>
      </c>
    </row>
    <row r="761" spans="1:1" x14ac:dyDescent="0.25">
      <c r="A761" t="str">
        <f t="shared" si="33"/>
        <v/>
      </c>
    </row>
    <row r="762" spans="1:1" x14ac:dyDescent="0.25">
      <c r="A762" t="str">
        <f t="shared" si="33"/>
        <v/>
      </c>
    </row>
    <row r="763" spans="1:1" x14ac:dyDescent="0.25">
      <c r="A763" t="str">
        <f t="shared" si="33"/>
        <v/>
      </c>
    </row>
    <row r="764" spans="1:1" x14ac:dyDescent="0.25">
      <c r="A764" t="str">
        <f t="shared" si="33"/>
        <v/>
      </c>
    </row>
    <row r="765" spans="1:1" x14ac:dyDescent="0.25">
      <c r="A765" t="str">
        <f t="shared" si="33"/>
        <v/>
      </c>
    </row>
    <row r="766" spans="1:1" x14ac:dyDescent="0.25">
      <c r="A766" t="str">
        <f t="shared" si="33"/>
        <v/>
      </c>
    </row>
    <row r="767" spans="1:1" x14ac:dyDescent="0.25">
      <c r="A767" t="str">
        <f t="shared" si="33"/>
        <v/>
      </c>
    </row>
    <row r="768" spans="1:1" x14ac:dyDescent="0.25">
      <c r="A768" t="str">
        <f t="shared" si="33"/>
        <v/>
      </c>
    </row>
    <row r="769" spans="1:1" x14ac:dyDescent="0.25">
      <c r="A769" t="str">
        <f t="shared" ref="A769:A832" si="34">E769&amp;C769&amp;D769</f>
        <v/>
      </c>
    </row>
    <row r="770" spans="1:1" x14ac:dyDescent="0.25">
      <c r="A770" t="str">
        <f t="shared" si="34"/>
        <v/>
      </c>
    </row>
    <row r="771" spans="1:1" x14ac:dyDescent="0.25">
      <c r="A771" t="str">
        <f t="shared" si="34"/>
        <v/>
      </c>
    </row>
    <row r="772" spans="1:1" x14ac:dyDescent="0.25">
      <c r="A772" t="str">
        <f t="shared" si="34"/>
        <v/>
      </c>
    </row>
    <row r="773" spans="1:1" x14ac:dyDescent="0.25">
      <c r="A773" t="str">
        <f t="shared" si="34"/>
        <v/>
      </c>
    </row>
    <row r="774" spans="1:1" x14ac:dyDescent="0.25">
      <c r="A774" t="str">
        <f t="shared" si="34"/>
        <v/>
      </c>
    </row>
    <row r="775" spans="1:1" x14ac:dyDescent="0.25">
      <c r="A775" t="str">
        <f t="shared" si="34"/>
        <v/>
      </c>
    </row>
    <row r="776" spans="1:1" x14ac:dyDescent="0.25">
      <c r="A776" t="str">
        <f t="shared" si="34"/>
        <v/>
      </c>
    </row>
    <row r="777" spans="1:1" x14ac:dyDescent="0.25">
      <c r="A777" t="str">
        <f t="shared" si="34"/>
        <v/>
      </c>
    </row>
    <row r="778" spans="1:1" x14ac:dyDescent="0.25">
      <c r="A778" t="str">
        <f t="shared" si="34"/>
        <v/>
      </c>
    </row>
    <row r="779" spans="1:1" x14ac:dyDescent="0.25">
      <c r="A779" t="str">
        <f t="shared" si="34"/>
        <v/>
      </c>
    </row>
    <row r="780" spans="1:1" x14ac:dyDescent="0.25">
      <c r="A780" t="str">
        <f t="shared" si="34"/>
        <v/>
      </c>
    </row>
    <row r="781" spans="1:1" x14ac:dyDescent="0.25">
      <c r="A781" t="str">
        <f t="shared" si="34"/>
        <v/>
      </c>
    </row>
    <row r="782" spans="1:1" x14ac:dyDescent="0.25">
      <c r="A782" t="str">
        <f t="shared" si="34"/>
        <v/>
      </c>
    </row>
    <row r="783" spans="1:1" x14ac:dyDescent="0.25">
      <c r="A783" t="str">
        <f t="shared" si="34"/>
        <v/>
      </c>
    </row>
    <row r="784" spans="1:1" x14ac:dyDescent="0.25">
      <c r="A784" t="str">
        <f t="shared" si="34"/>
        <v/>
      </c>
    </row>
    <row r="785" spans="1:1" x14ac:dyDescent="0.25">
      <c r="A785" t="str">
        <f t="shared" si="34"/>
        <v/>
      </c>
    </row>
    <row r="786" spans="1:1" x14ac:dyDescent="0.25">
      <c r="A786" t="str">
        <f t="shared" si="34"/>
        <v/>
      </c>
    </row>
    <row r="787" spans="1:1" x14ac:dyDescent="0.25">
      <c r="A787" t="str">
        <f t="shared" si="34"/>
        <v/>
      </c>
    </row>
    <row r="788" spans="1:1" x14ac:dyDescent="0.25">
      <c r="A788" t="str">
        <f t="shared" si="34"/>
        <v/>
      </c>
    </row>
    <row r="789" spans="1:1" x14ac:dyDescent="0.25">
      <c r="A789" t="str">
        <f t="shared" si="34"/>
        <v/>
      </c>
    </row>
    <row r="790" spans="1:1" x14ac:dyDescent="0.25">
      <c r="A790" t="str">
        <f t="shared" si="34"/>
        <v/>
      </c>
    </row>
    <row r="791" spans="1:1" x14ac:dyDescent="0.25">
      <c r="A791" t="str">
        <f t="shared" si="34"/>
        <v/>
      </c>
    </row>
    <row r="792" spans="1:1" x14ac:dyDescent="0.25">
      <c r="A792" t="str">
        <f t="shared" si="34"/>
        <v/>
      </c>
    </row>
    <row r="793" spans="1:1" x14ac:dyDescent="0.25">
      <c r="A793" t="str">
        <f t="shared" si="34"/>
        <v/>
      </c>
    </row>
    <row r="794" spans="1:1" x14ac:dyDescent="0.25">
      <c r="A794" t="str">
        <f t="shared" si="34"/>
        <v/>
      </c>
    </row>
    <row r="795" spans="1:1" x14ac:dyDescent="0.25">
      <c r="A795" t="str">
        <f t="shared" si="34"/>
        <v/>
      </c>
    </row>
    <row r="796" spans="1:1" x14ac:dyDescent="0.25">
      <c r="A796" t="str">
        <f t="shared" si="34"/>
        <v/>
      </c>
    </row>
    <row r="797" spans="1:1" x14ac:dyDescent="0.25">
      <c r="A797" t="str">
        <f t="shared" si="34"/>
        <v/>
      </c>
    </row>
    <row r="798" spans="1:1" x14ac:dyDescent="0.25">
      <c r="A798" t="str">
        <f t="shared" si="34"/>
        <v/>
      </c>
    </row>
    <row r="799" spans="1:1" x14ac:dyDescent="0.25">
      <c r="A799" t="str">
        <f t="shared" si="34"/>
        <v/>
      </c>
    </row>
    <row r="800" spans="1:1" x14ac:dyDescent="0.25">
      <c r="A800" t="str">
        <f t="shared" si="34"/>
        <v/>
      </c>
    </row>
    <row r="801" spans="1:1" x14ac:dyDescent="0.25">
      <c r="A801" t="str">
        <f t="shared" si="34"/>
        <v/>
      </c>
    </row>
    <row r="802" spans="1:1" x14ac:dyDescent="0.25">
      <c r="A802" t="str">
        <f t="shared" si="34"/>
        <v/>
      </c>
    </row>
    <row r="803" spans="1:1" x14ac:dyDescent="0.25">
      <c r="A803" t="str">
        <f t="shared" si="34"/>
        <v/>
      </c>
    </row>
    <row r="804" spans="1:1" x14ac:dyDescent="0.25">
      <c r="A804" t="str">
        <f t="shared" si="34"/>
        <v/>
      </c>
    </row>
    <row r="805" spans="1:1" x14ac:dyDescent="0.25">
      <c r="A805" t="str">
        <f t="shared" si="34"/>
        <v/>
      </c>
    </row>
    <row r="806" spans="1:1" x14ac:dyDescent="0.25">
      <c r="A806" t="str">
        <f t="shared" si="34"/>
        <v/>
      </c>
    </row>
    <row r="807" spans="1:1" x14ac:dyDescent="0.25">
      <c r="A807" t="str">
        <f t="shared" si="34"/>
        <v/>
      </c>
    </row>
    <row r="808" spans="1:1" x14ac:dyDescent="0.25">
      <c r="A808" t="str">
        <f t="shared" si="34"/>
        <v/>
      </c>
    </row>
    <row r="809" spans="1:1" x14ac:dyDescent="0.25">
      <c r="A809" t="str">
        <f t="shared" si="34"/>
        <v/>
      </c>
    </row>
    <row r="810" spans="1:1" x14ac:dyDescent="0.25">
      <c r="A810" t="str">
        <f t="shared" si="34"/>
        <v/>
      </c>
    </row>
    <row r="811" spans="1:1" x14ac:dyDescent="0.25">
      <c r="A811" t="str">
        <f t="shared" si="34"/>
        <v/>
      </c>
    </row>
    <row r="812" spans="1:1" x14ac:dyDescent="0.25">
      <c r="A812" t="str">
        <f t="shared" si="34"/>
        <v/>
      </c>
    </row>
    <row r="813" spans="1:1" x14ac:dyDescent="0.25">
      <c r="A813" t="str">
        <f t="shared" si="34"/>
        <v/>
      </c>
    </row>
    <row r="814" spans="1:1" x14ac:dyDescent="0.25">
      <c r="A814" t="str">
        <f t="shared" si="34"/>
        <v/>
      </c>
    </row>
    <row r="815" spans="1:1" x14ac:dyDescent="0.25">
      <c r="A815" t="str">
        <f t="shared" si="34"/>
        <v/>
      </c>
    </row>
    <row r="816" spans="1:1" x14ac:dyDescent="0.25">
      <c r="A816" t="str">
        <f t="shared" si="34"/>
        <v/>
      </c>
    </row>
    <row r="817" spans="1:1" x14ac:dyDescent="0.25">
      <c r="A817" t="str">
        <f t="shared" si="34"/>
        <v/>
      </c>
    </row>
    <row r="818" spans="1:1" x14ac:dyDescent="0.25">
      <c r="A818" t="str">
        <f t="shared" si="34"/>
        <v/>
      </c>
    </row>
    <row r="819" spans="1:1" x14ac:dyDescent="0.25">
      <c r="A819" t="str">
        <f t="shared" si="34"/>
        <v/>
      </c>
    </row>
    <row r="820" spans="1:1" x14ac:dyDescent="0.25">
      <c r="A820" t="str">
        <f t="shared" si="34"/>
        <v/>
      </c>
    </row>
    <row r="821" spans="1:1" x14ac:dyDescent="0.25">
      <c r="A821" t="str">
        <f t="shared" si="34"/>
        <v/>
      </c>
    </row>
    <row r="822" spans="1:1" x14ac:dyDescent="0.25">
      <c r="A822" t="str">
        <f t="shared" si="34"/>
        <v/>
      </c>
    </row>
    <row r="823" spans="1:1" x14ac:dyDescent="0.25">
      <c r="A823" t="str">
        <f t="shared" si="34"/>
        <v/>
      </c>
    </row>
    <row r="824" spans="1:1" x14ac:dyDescent="0.25">
      <c r="A824" t="str">
        <f t="shared" si="34"/>
        <v/>
      </c>
    </row>
    <row r="825" spans="1:1" x14ac:dyDescent="0.25">
      <c r="A825" t="str">
        <f t="shared" si="34"/>
        <v/>
      </c>
    </row>
    <row r="826" spans="1:1" x14ac:dyDescent="0.25">
      <c r="A826" t="str">
        <f t="shared" si="34"/>
        <v/>
      </c>
    </row>
    <row r="827" spans="1:1" x14ac:dyDescent="0.25">
      <c r="A827" t="str">
        <f t="shared" si="34"/>
        <v/>
      </c>
    </row>
    <row r="828" spans="1:1" x14ac:dyDescent="0.25">
      <c r="A828" t="str">
        <f t="shared" si="34"/>
        <v/>
      </c>
    </row>
    <row r="829" spans="1:1" x14ac:dyDescent="0.25">
      <c r="A829" t="str">
        <f t="shared" si="34"/>
        <v/>
      </c>
    </row>
    <row r="830" spans="1:1" x14ac:dyDescent="0.25">
      <c r="A830" t="str">
        <f t="shared" si="34"/>
        <v/>
      </c>
    </row>
    <row r="831" spans="1:1" x14ac:dyDescent="0.25">
      <c r="A831" t="str">
        <f t="shared" si="34"/>
        <v/>
      </c>
    </row>
    <row r="832" spans="1:1" x14ac:dyDescent="0.25">
      <c r="A832" t="str">
        <f t="shared" si="34"/>
        <v/>
      </c>
    </row>
    <row r="833" spans="1:1" x14ac:dyDescent="0.25">
      <c r="A833" t="str">
        <f t="shared" ref="A833:A896" si="35">E833&amp;C833&amp;D833</f>
        <v/>
      </c>
    </row>
    <row r="834" spans="1:1" x14ac:dyDescent="0.25">
      <c r="A834" t="str">
        <f t="shared" si="35"/>
        <v/>
      </c>
    </row>
    <row r="835" spans="1:1" x14ac:dyDescent="0.25">
      <c r="A835" t="str">
        <f t="shared" si="35"/>
        <v/>
      </c>
    </row>
    <row r="836" spans="1:1" x14ac:dyDescent="0.25">
      <c r="A836" t="str">
        <f t="shared" si="35"/>
        <v/>
      </c>
    </row>
    <row r="837" spans="1:1" x14ac:dyDescent="0.25">
      <c r="A837" t="str">
        <f t="shared" si="35"/>
        <v/>
      </c>
    </row>
    <row r="838" spans="1:1" x14ac:dyDescent="0.25">
      <c r="A838" t="str">
        <f t="shared" si="35"/>
        <v/>
      </c>
    </row>
    <row r="839" spans="1:1" x14ac:dyDescent="0.25">
      <c r="A839" t="str">
        <f t="shared" si="35"/>
        <v/>
      </c>
    </row>
    <row r="840" spans="1:1" x14ac:dyDescent="0.25">
      <c r="A840" t="str">
        <f t="shared" si="35"/>
        <v/>
      </c>
    </row>
    <row r="841" spans="1:1" x14ac:dyDescent="0.25">
      <c r="A841" t="str">
        <f t="shared" si="35"/>
        <v/>
      </c>
    </row>
    <row r="842" spans="1:1" x14ac:dyDescent="0.25">
      <c r="A842" t="str">
        <f t="shared" si="35"/>
        <v/>
      </c>
    </row>
    <row r="843" spans="1:1" x14ac:dyDescent="0.25">
      <c r="A843" t="str">
        <f t="shared" si="35"/>
        <v/>
      </c>
    </row>
    <row r="844" spans="1:1" x14ac:dyDescent="0.25">
      <c r="A844" t="str">
        <f t="shared" si="35"/>
        <v/>
      </c>
    </row>
    <row r="845" spans="1:1" x14ac:dyDescent="0.25">
      <c r="A845" t="str">
        <f t="shared" si="35"/>
        <v/>
      </c>
    </row>
    <row r="846" spans="1:1" x14ac:dyDescent="0.25">
      <c r="A846" t="str">
        <f t="shared" si="35"/>
        <v/>
      </c>
    </row>
    <row r="847" spans="1:1" x14ac:dyDescent="0.25">
      <c r="A847" t="str">
        <f t="shared" si="35"/>
        <v/>
      </c>
    </row>
    <row r="848" spans="1:1" x14ac:dyDescent="0.25">
      <c r="A848" t="str">
        <f t="shared" si="35"/>
        <v/>
      </c>
    </row>
    <row r="849" spans="1:1" x14ac:dyDescent="0.25">
      <c r="A849" t="str">
        <f t="shared" si="35"/>
        <v/>
      </c>
    </row>
    <row r="850" spans="1:1" x14ac:dyDescent="0.25">
      <c r="A850" t="str">
        <f t="shared" si="35"/>
        <v/>
      </c>
    </row>
    <row r="851" spans="1:1" x14ac:dyDescent="0.25">
      <c r="A851" t="str">
        <f t="shared" si="35"/>
        <v/>
      </c>
    </row>
    <row r="852" spans="1:1" x14ac:dyDescent="0.25">
      <c r="A852" t="str">
        <f t="shared" si="35"/>
        <v/>
      </c>
    </row>
    <row r="853" spans="1:1" x14ac:dyDescent="0.25">
      <c r="A853" t="str">
        <f t="shared" si="35"/>
        <v/>
      </c>
    </row>
    <row r="854" spans="1:1" x14ac:dyDescent="0.25">
      <c r="A854" t="str">
        <f t="shared" si="35"/>
        <v/>
      </c>
    </row>
    <row r="855" spans="1:1" x14ac:dyDescent="0.25">
      <c r="A855" t="str">
        <f t="shared" si="35"/>
        <v/>
      </c>
    </row>
    <row r="856" spans="1:1" x14ac:dyDescent="0.25">
      <c r="A856" t="str">
        <f t="shared" si="35"/>
        <v/>
      </c>
    </row>
    <row r="857" spans="1:1" x14ac:dyDescent="0.25">
      <c r="A857" t="str">
        <f t="shared" si="35"/>
        <v/>
      </c>
    </row>
    <row r="858" spans="1:1" x14ac:dyDescent="0.25">
      <c r="A858" t="str">
        <f t="shared" si="35"/>
        <v/>
      </c>
    </row>
    <row r="859" spans="1:1" x14ac:dyDescent="0.25">
      <c r="A859" t="str">
        <f t="shared" si="35"/>
        <v/>
      </c>
    </row>
    <row r="860" spans="1:1" x14ac:dyDescent="0.25">
      <c r="A860" t="str">
        <f t="shared" si="35"/>
        <v/>
      </c>
    </row>
    <row r="861" spans="1:1" x14ac:dyDescent="0.25">
      <c r="A861" t="str">
        <f t="shared" si="35"/>
        <v/>
      </c>
    </row>
    <row r="862" spans="1:1" x14ac:dyDescent="0.25">
      <c r="A862" t="str">
        <f t="shared" si="35"/>
        <v/>
      </c>
    </row>
    <row r="863" spans="1:1" x14ac:dyDescent="0.25">
      <c r="A863" t="str">
        <f t="shared" si="35"/>
        <v/>
      </c>
    </row>
    <row r="864" spans="1:1" x14ac:dyDescent="0.25">
      <c r="A864" t="str">
        <f t="shared" si="35"/>
        <v/>
      </c>
    </row>
    <row r="865" spans="1:1" x14ac:dyDescent="0.25">
      <c r="A865" t="str">
        <f t="shared" si="35"/>
        <v/>
      </c>
    </row>
    <row r="866" spans="1:1" x14ac:dyDescent="0.25">
      <c r="A866" t="str">
        <f t="shared" si="35"/>
        <v/>
      </c>
    </row>
    <row r="867" spans="1:1" x14ac:dyDescent="0.25">
      <c r="A867" t="str">
        <f t="shared" si="35"/>
        <v/>
      </c>
    </row>
    <row r="868" spans="1:1" x14ac:dyDescent="0.25">
      <c r="A868" t="str">
        <f t="shared" si="35"/>
        <v/>
      </c>
    </row>
    <row r="869" spans="1:1" x14ac:dyDescent="0.25">
      <c r="A869" t="str">
        <f t="shared" si="35"/>
        <v/>
      </c>
    </row>
    <row r="870" spans="1:1" x14ac:dyDescent="0.25">
      <c r="A870" t="str">
        <f t="shared" si="35"/>
        <v/>
      </c>
    </row>
    <row r="871" spans="1:1" x14ac:dyDescent="0.25">
      <c r="A871" t="str">
        <f t="shared" si="35"/>
        <v/>
      </c>
    </row>
    <row r="872" spans="1:1" x14ac:dyDescent="0.25">
      <c r="A872" t="str">
        <f t="shared" si="35"/>
        <v/>
      </c>
    </row>
    <row r="873" spans="1:1" x14ac:dyDescent="0.25">
      <c r="A873" t="str">
        <f t="shared" si="35"/>
        <v/>
      </c>
    </row>
    <row r="874" spans="1:1" x14ac:dyDescent="0.25">
      <c r="A874" t="str">
        <f t="shared" si="35"/>
        <v/>
      </c>
    </row>
    <row r="875" spans="1:1" x14ac:dyDescent="0.25">
      <c r="A875" t="str">
        <f t="shared" si="35"/>
        <v/>
      </c>
    </row>
    <row r="876" spans="1:1" x14ac:dyDescent="0.25">
      <c r="A876" t="str">
        <f t="shared" si="35"/>
        <v/>
      </c>
    </row>
    <row r="877" spans="1:1" x14ac:dyDescent="0.25">
      <c r="A877" t="str">
        <f t="shared" si="35"/>
        <v/>
      </c>
    </row>
    <row r="878" spans="1:1" x14ac:dyDescent="0.25">
      <c r="A878" t="str">
        <f t="shared" si="35"/>
        <v/>
      </c>
    </row>
    <row r="879" spans="1:1" x14ac:dyDescent="0.25">
      <c r="A879" t="str">
        <f t="shared" si="35"/>
        <v/>
      </c>
    </row>
    <row r="880" spans="1:1" x14ac:dyDescent="0.25">
      <c r="A880" t="str">
        <f t="shared" si="35"/>
        <v/>
      </c>
    </row>
    <row r="881" spans="1:1" x14ac:dyDescent="0.25">
      <c r="A881" t="str">
        <f t="shared" si="35"/>
        <v/>
      </c>
    </row>
    <row r="882" spans="1:1" x14ac:dyDescent="0.25">
      <c r="A882" t="str">
        <f t="shared" si="35"/>
        <v/>
      </c>
    </row>
    <row r="883" spans="1:1" x14ac:dyDescent="0.25">
      <c r="A883" t="str">
        <f t="shared" si="35"/>
        <v/>
      </c>
    </row>
    <row r="884" spans="1:1" x14ac:dyDescent="0.25">
      <c r="A884" t="str">
        <f t="shared" si="35"/>
        <v/>
      </c>
    </row>
    <row r="885" spans="1:1" x14ac:dyDescent="0.25">
      <c r="A885" t="str">
        <f t="shared" si="35"/>
        <v/>
      </c>
    </row>
    <row r="886" spans="1:1" x14ac:dyDescent="0.25">
      <c r="A886" t="str">
        <f t="shared" si="35"/>
        <v/>
      </c>
    </row>
    <row r="887" spans="1:1" x14ac:dyDescent="0.25">
      <c r="A887" t="str">
        <f t="shared" si="35"/>
        <v/>
      </c>
    </row>
    <row r="888" spans="1:1" x14ac:dyDescent="0.25">
      <c r="A888" t="str">
        <f t="shared" si="35"/>
        <v/>
      </c>
    </row>
    <row r="889" spans="1:1" x14ac:dyDescent="0.25">
      <c r="A889" t="str">
        <f t="shared" si="35"/>
        <v/>
      </c>
    </row>
    <row r="890" spans="1:1" x14ac:dyDescent="0.25">
      <c r="A890" t="str">
        <f t="shared" si="35"/>
        <v/>
      </c>
    </row>
    <row r="891" spans="1:1" x14ac:dyDescent="0.25">
      <c r="A891" t="str">
        <f t="shared" si="35"/>
        <v/>
      </c>
    </row>
    <row r="892" spans="1:1" x14ac:dyDescent="0.25">
      <c r="A892" t="str">
        <f t="shared" si="35"/>
        <v/>
      </c>
    </row>
    <row r="893" spans="1:1" x14ac:dyDescent="0.25">
      <c r="A893" t="str">
        <f t="shared" si="35"/>
        <v/>
      </c>
    </row>
    <row r="894" spans="1:1" x14ac:dyDescent="0.25">
      <c r="A894" t="str">
        <f t="shared" si="35"/>
        <v/>
      </c>
    </row>
    <row r="895" spans="1:1" x14ac:dyDescent="0.25">
      <c r="A895" t="str">
        <f t="shared" si="35"/>
        <v/>
      </c>
    </row>
    <row r="896" spans="1:1" x14ac:dyDescent="0.25">
      <c r="A896" t="str">
        <f t="shared" si="35"/>
        <v/>
      </c>
    </row>
    <row r="897" spans="1:1" x14ac:dyDescent="0.25">
      <c r="A897" t="str">
        <f t="shared" ref="A897:A960" si="36">E897&amp;C897&amp;D897</f>
        <v/>
      </c>
    </row>
    <row r="898" spans="1:1" x14ac:dyDescent="0.25">
      <c r="A898" t="str">
        <f t="shared" si="36"/>
        <v/>
      </c>
    </row>
    <row r="899" spans="1:1" x14ac:dyDescent="0.25">
      <c r="A899" t="str">
        <f t="shared" si="36"/>
        <v/>
      </c>
    </row>
    <row r="900" spans="1:1" x14ac:dyDescent="0.25">
      <c r="A900" t="str">
        <f t="shared" si="36"/>
        <v/>
      </c>
    </row>
    <row r="901" spans="1:1" x14ac:dyDescent="0.25">
      <c r="A901" t="str">
        <f t="shared" si="36"/>
        <v/>
      </c>
    </row>
    <row r="902" spans="1:1" x14ac:dyDescent="0.25">
      <c r="A902" t="str">
        <f t="shared" si="36"/>
        <v/>
      </c>
    </row>
    <row r="903" spans="1:1" x14ac:dyDescent="0.25">
      <c r="A903" t="str">
        <f t="shared" si="36"/>
        <v/>
      </c>
    </row>
    <row r="904" spans="1:1" x14ac:dyDescent="0.25">
      <c r="A904" t="str">
        <f t="shared" si="36"/>
        <v/>
      </c>
    </row>
    <row r="905" spans="1:1" x14ac:dyDescent="0.25">
      <c r="A905" t="str">
        <f t="shared" si="36"/>
        <v/>
      </c>
    </row>
    <row r="906" spans="1:1" x14ac:dyDescent="0.25">
      <c r="A906" t="str">
        <f t="shared" si="36"/>
        <v/>
      </c>
    </row>
    <row r="907" spans="1:1" x14ac:dyDescent="0.25">
      <c r="A907" t="str">
        <f t="shared" si="36"/>
        <v/>
      </c>
    </row>
    <row r="908" spans="1:1" x14ac:dyDescent="0.25">
      <c r="A908" t="str">
        <f t="shared" si="36"/>
        <v/>
      </c>
    </row>
    <row r="909" spans="1:1" x14ac:dyDescent="0.25">
      <c r="A909" t="str">
        <f t="shared" si="36"/>
        <v/>
      </c>
    </row>
    <row r="910" spans="1:1" x14ac:dyDescent="0.25">
      <c r="A910" t="str">
        <f t="shared" si="36"/>
        <v/>
      </c>
    </row>
    <row r="911" spans="1:1" x14ac:dyDescent="0.25">
      <c r="A911" t="str">
        <f t="shared" si="36"/>
        <v/>
      </c>
    </row>
    <row r="912" spans="1:1" x14ac:dyDescent="0.25">
      <c r="A912" t="str">
        <f t="shared" si="36"/>
        <v/>
      </c>
    </row>
    <row r="913" spans="1:1" x14ac:dyDescent="0.25">
      <c r="A913" t="str">
        <f t="shared" si="36"/>
        <v/>
      </c>
    </row>
    <row r="914" spans="1:1" x14ac:dyDescent="0.25">
      <c r="A914" t="str">
        <f t="shared" si="36"/>
        <v/>
      </c>
    </row>
    <row r="915" spans="1:1" x14ac:dyDescent="0.25">
      <c r="A915" t="str">
        <f t="shared" si="36"/>
        <v/>
      </c>
    </row>
    <row r="916" spans="1:1" x14ac:dyDescent="0.25">
      <c r="A916" t="str">
        <f t="shared" si="36"/>
        <v/>
      </c>
    </row>
    <row r="917" spans="1:1" x14ac:dyDescent="0.25">
      <c r="A917" t="str">
        <f t="shared" si="36"/>
        <v/>
      </c>
    </row>
    <row r="918" spans="1:1" x14ac:dyDescent="0.25">
      <c r="A918" t="str">
        <f t="shared" si="36"/>
        <v/>
      </c>
    </row>
    <row r="919" spans="1:1" x14ac:dyDescent="0.25">
      <c r="A919" t="str">
        <f t="shared" si="36"/>
        <v/>
      </c>
    </row>
    <row r="920" spans="1:1" x14ac:dyDescent="0.25">
      <c r="A920" t="str">
        <f t="shared" si="36"/>
        <v/>
      </c>
    </row>
    <row r="921" spans="1:1" x14ac:dyDescent="0.25">
      <c r="A921" t="str">
        <f t="shared" si="36"/>
        <v/>
      </c>
    </row>
    <row r="922" spans="1:1" x14ac:dyDescent="0.25">
      <c r="A922" t="str">
        <f t="shared" si="36"/>
        <v/>
      </c>
    </row>
    <row r="923" spans="1:1" x14ac:dyDescent="0.25">
      <c r="A923" t="str">
        <f t="shared" si="36"/>
        <v/>
      </c>
    </row>
    <row r="924" spans="1:1" x14ac:dyDescent="0.25">
      <c r="A924" t="str">
        <f t="shared" si="36"/>
        <v/>
      </c>
    </row>
    <row r="925" spans="1:1" x14ac:dyDescent="0.25">
      <c r="A925" t="str">
        <f t="shared" si="36"/>
        <v/>
      </c>
    </row>
    <row r="926" spans="1:1" x14ac:dyDescent="0.25">
      <c r="A926" t="str">
        <f t="shared" si="36"/>
        <v/>
      </c>
    </row>
    <row r="927" spans="1:1" x14ac:dyDescent="0.25">
      <c r="A927" t="str">
        <f t="shared" si="36"/>
        <v/>
      </c>
    </row>
    <row r="928" spans="1:1" x14ac:dyDescent="0.25">
      <c r="A928" t="str">
        <f t="shared" si="36"/>
        <v/>
      </c>
    </row>
    <row r="929" spans="1:1" x14ac:dyDescent="0.25">
      <c r="A929" t="str">
        <f t="shared" si="36"/>
        <v/>
      </c>
    </row>
    <row r="930" spans="1:1" x14ac:dyDescent="0.25">
      <c r="A930" t="str">
        <f t="shared" si="36"/>
        <v/>
      </c>
    </row>
    <row r="931" spans="1:1" x14ac:dyDescent="0.25">
      <c r="A931" t="str">
        <f t="shared" si="36"/>
        <v/>
      </c>
    </row>
    <row r="932" spans="1:1" x14ac:dyDescent="0.25">
      <c r="A932" t="str">
        <f t="shared" si="36"/>
        <v/>
      </c>
    </row>
    <row r="933" spans="1:1" x14ac:dyDescent="0.25">
      <c r="A933" t="str">
        <f t="shared" si="36"/>
        <v/>
      </c>
    </row>
    <row r="934" spans="1:1" x14ac:dyDescent="0.25">
      <c r="A934" t="str">
        <f t="shared" si="36"/>
        <v/>
      </c>
    </row>
    <row r="935" spans="1:1" x14ac:dyDescent="0.25">
      <c r="A935" t="str">
        <f t="shared" si="36"/>
        <v/>
      </c>
    </row>
    <row r="936" spans="1:1" x14ac:dyDescent="0.25">
      <c r="A936" t="str">
        <f t="shared" si="36"/>
        <v/>
      </c>
    </row>
    <row r="937" spans="1:1" x14ac:dyDescent="0.25">
      <c r="A937" t="str">
        <f t="shared" si="36"/>
        <v/>
      </c>
    </row>
    <row r="938" spans="1:1" x14ac:dyDescent="0.25">
      <c r="A938" t="str">
        <f t="shared" si="36"/>
        <v/>
      </c>
    </row>
    <row r="939" spans="1:1" x14ac:dyDescent="0.25">
      <c r="A939" t="str">
        <f t="shared" si="36"/>
        <v/>
      </c>
    </row>
    <row r="940" spans="1:1" x14ac:dyDescent="0.25">
      <c r="A940" t="str">
        <f t="shared" si="36"/>
        <v/>
      </c>
    </row>
    <row r="941" spans="1:1" x14ac:dyDescent="0.25">
      <c r="A941" t="str">
        <f t="shared" si="36"/>
        <v/>
      </c>
    </row>
    <row r="942" spans="1:1" x14ac:dyDescent="0.25">
      <c r="A942" t="str">
        <f t="shared" si="36"/>
        <v/>
      </c>
    </row>
    <row r="943" spans="1:1" x14ac:dyDescent="0.25">
      <c r="A943" t="str">
        <f t="shared" si="36"/>
        <v/>
      </c>
    </row>
    <row r="944" spans="1:1" x14ac:dyDescent="0.25">
      <c r="A944" t="str">
        <f t="shared" si="36"/>
        <v/>
      </c>
    </row>
    <row r="945" spans="1:1" x14ac:dyDescent="0.25">
      <c r="A945" t="str">
        <f t="shared" si="36"/>
        <v/>
      </c>
    </row>
    <row r="946" spans="1:1" x14ac:dyDescent="0.25">
      <c r="A946" t="str">
        <f t="shared" si="36"/>
        <v/>
      </c>
    </row>
    <row r="947" spans="1:1" x14ac:dyDescent="0.25">
      <c r="A947" t="str">
        <f t="shared" si="36"/>
        <v/>
      </c>
    </row>
    <row r="948" spans="1:1" x14ac:dyDescent="0.25">
      <c r="A948" t="str">
        <f t="shared" si="36"/>
        <v/>
      </c>
    </row>
    <row r="949" spans="1:1" x14ac:dyDescent="0.25">
      <c r="A949" t="str">
        <f t="shared" si="36"/>
        <v/>
      </c>
    </row>
    <row r="950" spans="1:1" x14ac:dyDescent="0.25">
      <c r="A950" t="str">
        <f t="shared" si="36"/>
        <v/>
      </c>
    </row>
    <row r="951" spans="1:1" x14ac:dyDescent="0.25">
      <c r="A951" t="str">
        <f t="shared" si="36"/>
        <v/>
      </c>
    </row>
    <row r="952" spans="1:1" x14ac:dyDescent="0.25">
      <c r="A952" t="str">
        <f t="shared" si="36"/>
        <v/>
      </c>
    </row>
    <row r="953" spans="1:1" x14ac:dyDescent="0.25">
      <c r="A953" t="str">
        <f t="shared" si="36"/>
        <v/>
      </c>
    </row>
    <row r="954" spans="1:1" x14ac:dyDescent="0.25">
      <c r="A954" t="str">
        <f t="shared" si="36"/>
        <v/>
      </c>
    </row>
    <row r="955" spans="1:1" x14ac:dyDescent="0.25">
      <c r="A955" t="str">
        <f t="shared" si="36"/>
        <v/>
      </c>
    </row>
    <row r="956" spans="1:1" x14ac:dyDescent="0.25">
      <c r="A956" t="str">
        <f t="shared" si="36"/>
        <v/>
      </c>
    </row>
    <row r="957" spans="1:1" x14ac:dyDescent="0.25">
      <c r="A957" t="str">
        <f t="shared" si="36"/>
        <v/>
      </c>
    </row>
    <row r="958" spans="1:1" x14ac:dyDescent="0.25">
      <c r="A958" t="str">
        <f t="shared" si="36"/>
        <v/>
      </c>
    </row>
    <row r="959" spans="1:1" x14ac:dyDescent="0.25">
      <c r="A959" t="str">
        <f t="shared" si="36"/>
        <v/>
      </c>
    </row>
    <row r="960" spans="1:1" x14ac:dyDescent="0.25">
      <c r="A960" t="str">
        <f t="shared" si="36"/>
        <v/>
      </c>
    </row>
    <row r="961" spans="1:1" x14ac:dyDescent="0.25">
      <c r="A961" t="str">
        <f t="shared" ref="A961:A1024" si="37">E961&amp;C961&amp;D961</f>
        <v/>
      </c>
    </row>
    <row r="962" spans="1:1" x14ac:dyDescent="0.25">
      <c r="A962" t="str">
        <f t="shared" si="37"/>
        <v/>
      </c>
    </row>
    <row r="963" spans="1:1" x14ac:dyDescent="0.25">
      <c r="A963" t="str">
        <f t="shared" si="37"/>
        <v/>
      </c>
    </row>
    <row r="964" spans="1:1" x14ac:dyDescent="0.25">
      <c r="A964" t="str">
        <f t="shared" si="37"/>
        <v/>
      </c>
    </row>
    <row r="965" spans="1:1" x14ac:dyDescent="0.25">
      <c r="A965" t="str">
        <f t="shared" si="37"/>
        <v/>
      </c>
    </row>
    <row r="966" spans="1:1" x14ac:dyDescent="0.25">
      <c r="A966" t="str">
        <f t="shared" si="37"/>
        <v/>
      </c>
    </row>
    <row r="967" spans="1:1" x14ac:dyDescent="0.25">
      <c r="A967" t="str">
        <f t="shared" si="37"/>
        <v/>
      </c>
    </row>
    <row r="968" spans="1:1" x14ac:dyDescent="0.25">
      <c r="A968" t="str">
        <f t="shared" si="37"/>
        <v/>
      </c>
    </row>
    <row r="969" spans="1:1" x14ac:dyDescent="0.25">
      <c r="A969" t="str">
        <f t="shared" si="37"/>
        <v/>
      </c>
    </row>
    <row r="970" spans="1:1" x14ac:dyDescent="0.25">
      <c r="A970" t="str">
        <f t="shared" si="37"/>
        <v/>
      </c>
    </row>
    <row r="971" spans="1:1" x14ac:dyDescent="0.25">
      <c r="A971" t="str">
        <f t="shared" si="37"/>
        <v/>
      </c>
    </row>
    <row r="972" spans="1:1" x14ac:dyDescent="0.25">
      <c r="A972" t="str">
        <f t="shared" si="37"/>
        <v/>
      </c>
    </row>
    <row r="973" spans="1:1" x14ac:dyDescent="0.25">
      <c r="A973" t="str">
        <f t="shared" si="37"/>
        <v/>
      </c>
    </row>
    <row r="974" spans="1:1" x14ac:dyDescent="0.25">
      <c r="A974" t="str">
        <f t="shared" si="37"/>
        <v/>
      </c>
    </row>
    <row r="975" spans="1:1" x14ac:dyDescent="0.25">
      <c r="A975" t="str">
        <f t="shared" si="37"/>
        <v/>
      </c>
    </row>
    <row r="976" spans="1:1" x14ac:dyDescent="0.25">
      <c r="A976" t="str">
        <f t="shared" si="37"/>
        <v/>
      </c>
    </row>
    <row r="977" spans="1:1" x14ac:dyDescent="0.25">
      <c r="A977" t="str">
        <f t="shared" si="37"/>
        <v/>
      </c>
    </row>
    <row r="978" spans="1:1" x14ac:dyDescent="0.25">
      <c r="A978" t="str">
        <f t="shared" si="37"/>
        <v/>
      </c>
    </row>
    <row r="979" spans="1:1" x14ac:dyDescent="0.25">
      <c r="A979" t="str">
        <f t="shared" si="37"/>
        <v/>
      </c>
    </row>
    <row r="980" spans="1:1" x14ac:dyDescent="0.25">
      <c r="A980" t="str">
        <f t="shared" si="37"/>
        <v/>
      </c>
    </row>
    <row r="981" spans="1:1" x14ac:dyDescent="0.25">
      <c r="A981" t="str">
        <f t="shared" si="37"/>
        <v/>
      </c>
    </row>
    <row r="982" spans="1:1" x14ac:dyDescent="0.25">
      <c r="A982" t="str">
        <f t="shared" si="37"/>
        <v/>
      </c>
    </row>
    <row r="983" spans="1:1" x14ac:dyDescent="0.25">
      <c r="A983" t="str">
        <f t="shared" si="37"/>
        <v/>
      </c>
    </row>
    <row r="984" spans="1:1" x14ac:dyDescent="0.25">
      <c r="A984" t="str">
        <f t="shared" si="37"/>
        <v/>
      </c>
    </row>
    <row r="985" spans="1:1" x14ac:dyDescent="0.25">
      <c r="A985" t="str">
        <f t="shared" si="37"/>
        <v/>
      </c>
    </row>
    <row r="986" spans="1:1" x14ac:dyDescent="0.25">
      <c r="A986" t="str">
        <f t="shared" si="37"/>
        <v/>
      </c>
    </row>
    <row r="987" spans="1:1" x14ac:dyDescent="0.25">
      <c r="A987" t="str">
        <f t="shared" si="37"/>
        <v/>
      </c>
    </row>
    <row r="988" spans="1:1" x14ac:dyDescent="0.25">
      <c r="A988" t="str">
        <f t="shared" si="37"/>
        <v/>
      </c>
    </row>
    <row r="989" spans="1:1" x14ac:dyDescent="0.25">
      <c r="A989" t="str">
        <f t="shared" si="37"/>
        <v/>
      </c>
    </row>
    <row r="990" spans="1:1" x14ac:dyDescent="0.25">
      <c r="A990" t="str">
        <f t="shared" si="37"/>
        <v/>
      </c>
    </row>
    <row r="991" spans="1:1" x14ac:dyDescent="0.25">
      <c r="A991" t="str">
        <f t="shared" si="37"/>
        <v/>
      </c>
    </row>
    <row r="992" spans="1:1" x14ac:dyDescent="0.25">
      <c r="A992" t="str">
        <f t="shared" si="37"/>
        <v/>
      </c>
    </row>
    <row r="993" spans="1:1" x14ac:dyDescent="0.25">
      <c r="A993" t="str">
        <f t="shared" si="37"/>
        <v/>
      </c>
    </row>
    <row r="994" spans="1:1" x14ac:dyDescent="0.25">
      <c r="A994" t="str">
        <f t="shared" si="37"/>
        <v/>
      </c>
    </row>
    <row r="995" spans="1:1" x14ac:dyDescent="0.25">
      <c r="A995" t="str">
        <f t="shared" si="37"/>
        <v/>
      </c>
    </row>
    <row r="996" spans="1:1" x14ac:dyDescent="0.25">
      <c r="A996" t="str">
        <f t="shared" si="37"/>
        <v/>
      </c>
    </row>
    <row r="997" spans="1:1" x14ac:dyDescent="0.25">
      <c r="A997" t="str">
        <f t="shared" si="37"/>
        <v/>
      </c>
    </row>
    <row r="998" spans="1:1" x14ac:dyDescent="0.25">
      <c r="A998" t="str">
        <f t="shared" si="37"/>
        <v/>
      </c>
    </row>
    <row r="999" spans="1:1" x14ac:dyDescent="0.25">
      <c r="A999" t="str">
        <f t="shared" si="37"/>
        <v/>
      </c>
    </row>
    <row r="1000" spans="1:1" x14ac:dyDescent="0.25">
      <c r="A1000" t="str">
        <f t="shared" si="37"/>
        <v/>
      </c>
    </row>
    <row r="1001" spans="1:1" x14ac:dyDescent="0.25">
      <c r="A1001" t="str">
        <f t="shared" si="37"/>
        <v/>
      </c>
    </row>
    <row r="1002" spans="1:1" x14ac:dyDescent="0.25">
      <c r="A1002" t="str">
        <f t="shared" si="37"/>
        <v/>
      </c>
    </row>
    <row r="1003" spans="1:1" x14ac:dyDescent="0.25">
      <c r="A1003" t="str">
        <f t="shared" si="37"/>
        <v/>
      </c>
    </row>
    <row r="1004" spans="1:1" x14ac:dyDescent="0.25">
      <c r="A1004" t="str">
        <f t="shared" si="37"/>
        <v/>
      </c>
    </row>
    <row r="1005" spans="1:1" x14ac:dyDescent="0.25">
      <c r="A1005" t="str">
        <f t="shared" si="37"/>
        <v/>
      </c>
    </row>
    <row r="1006" spans="1:1" x14ac:dyDescent="0.25">
      <c r="A1006" t="str">
        <f t="shared" si="37"/>
        <v/>
      </c>
    </row>
    <row r="1007" spans="1:1" x14ac:dyDescent="0.25">
      <c r="A1007" t="str">
        <f t="shared" si="37"/>
        <v/>
      </c>
    </row>
    <row r="1008" spans="1:1" x14ac:dyDescent="0.25">
      <c r="A1008" t="str">
        <f t="shared" si="37"/>
        <v/>
      </c>
    </row>
    <row r="1009" spans="1:1" x14ac:dyDescent="0.25">
      <c r="A1009" t="str">
        <f t="shared" si="37"/>
        <v/>
      </c>
    </row>
    <row r="1010" spans="1:1" x14ac:dyDescent="0.25">
      <c r="A1010" t="str">
        <f t="shared" si="37"/>
        <v/>
      </c>
    </row>
    <row r="1011" spans="1:1" x14ac:dyDescent="0.25">
      <c r="A1011" t="str">
        <f t="shared" si="37"/>
        <v/>
      </c>
    </row>
    <row r="1012" spans="1:1" x14ac:dyDescent="0.25">
      <c r="A1012" t="str">
        <f t="shared" si="37"/>
        <v/>
      </c>
    </row>
    <row r="1013" spans="1:1" x14ac:dyDescent="0.25">
      <c r="A1013" t="str">
        <f t="shared" si="37"/>
        <v/>
      </c>
    </row>
    <row r="1014" spans="1:1" x14ac:dyDescent="0.25">
      <c r="A1014" t="str">
        <f t="shared" si="37"/>
        <v/>
      </c>
    </row>
    <row r="1015" spans="1:1" x14ac:dyDescent="0.25">
      <c r="A1015" t="str">
        <f t="shared" si="37"/>
        <v/>
      </c>
    </row>
    <row r="1016" spans="1:1" x14ac:dyDescent="0.25">
      <c r="A1016" t="str">
        <f t="shared" si="37"/>
        <v/>
      </c>
    </row>
    <row r="1017" spans="1:1" x14ac:dyDescent="0.25">
      <c r="A1017" t="str">
        <f t="shared" si="37"/>
        <v/>
      </c>
    </row>
    <row r="1018" spans="1:1" x14ac:dyDescent="0.25">
      <c r="A1018" t="str">
        <f t="shared" si="37"/>
        <v/>
      </c>
    </row>
    <row r="1019" spans="1:1" x14ac:dyDescent="0.25">
      <c r="A1019" t="str">
        <f t="shared" si="37"/>
        <v/>
      </c>
    </row>
    <row r="1020" spans="1:1" x14ac:dyDescent="0.25">
      <c r="A1020" t="str">
        <f t="shared" si="37"/>
        <v/>
      </c>
    </row>
    <row r="1021" spans="1:1" x14ac:dyDescent="0.25">
      <c r="A1021" t="str">
        <f t="shared" si="37"/>
        <v/>
      </c>
    </row>
    <row r="1022" spans="1:1" x14ac:dyDescent="0.25">
      <c r="A1022" t="str">
        <f t="shared" si="37"/>
        <v/>
      </c>
    </row>
    <row r="1023" spans="1:1" x14ac:dyDescent="0.25">
      <c r="A1023" t="str">
        <f t="shared" si="37"/>
        <v/>
      </c>
    </row>
    <row r="1024" spans="1:1" x14ac:dyDescent="0.25">
      <c r="A1024" t="str">
        <f t="shared" si="37"/>
        <v/>
      </c>
    </row>
    <row r="1025" spans="1:1" x14ac:dyDescent="0.25">
      <c r="A1025" t="str">
        <f t="shared" ref="A1025:A1088" si="38">E1025&amp;C1025&amp;D1025</f>
        <v/>
      </c>
    </row>
    <row r="1026" spans="1:1" x14ac:dyDescent="0.25">
      <c r="A1026" t="str">
        <f t="shared" si="38"/>
        <v/>
      </c>
    </row>
    <row r="1027" spans="1:1" x14ac:dyDescent="0.25">
      <c r="A1027" t="str">
        <f t="shared" si="38"/>
        <v/>
      </c>
    </row>
    <row r="1028" spans="1:1" x14ac:dyDescent="0.25">
      <c r="A1028" t="str">
        <f t="shared" si="38"/>
        <v/>
      </c>
    </row>
    <row r="1029" spans="1:1" x14ac:dyDescent="0.25">
      <c r="A1029" t="str">
        <f t="shared" si="38"/>
        <v/>
      </c>
    </row>
    <row r="1030" spans="1:1" x14ac:dyDescent="0.25">
      <c r="A1030" t="str">
        <f t="shared" si="38"/>
        <v/>
      </c>
    </row>
    <row r="1031" spans="1:1" x14ac:dyDescent="0.25">
      <c r="A1031" t="str">
        <f t="shared" si="38"/>
        <v/>
      </c>
    </row>
    <row r="1032" spans="1:1" x14ac:dyDescent="0.25">
      <c r="A1032" t="str">
        <f t="shared" si="38"/>
        <v/>
      </c>
    </row>
    <row r="1033" spans="1:1" x14ac:dyDescent="0.25">
      <c r="A1033" t="str">
        <f t="shared" si="38"/>
        <v/>
      </c>
    </row>
    <row r="1034" spans="1:1" x14ac:dyDescent="0.25">
      <c r="A1034" t="str">
        <f t="shared" si="38"/>
        <v/>
      </c>
    </row>
    <row r="1035" spans="1:1" x14ac:dyDescent="0.25">
      <c r="A1035" t="str">
        <f t="shared" si="38"/>
        <v/>
      </c>
    </row>
    <row r="1036" spans="1:1" x14ac:dyDescent="0.25">
      <c r="A1036" t="str">
        <f t="shared" si="38"/>
        <v/>
      </c>
    </row>
    <row r="1037" spans="1:1" x14ac:dyDescent="0.25">
      <c r="A1037" t="str">
        <f t="shared" si="38"/>
        <v/>
      </c>
    </row>
    <row r="1038" spans="1:1" x14ac:dyDescent="0.25">
      <c r="A1038" t="str">
        <f t="shared" si="38"/>
        <v/>
      </c>
    </row>
    <row r="1039" spans="1:1" x14ac:dyDescent="0.25">
      <c r="A1039" t="str">
        <f t="shared" si="38"/>
        <v/>
      </c>
    </row>
    <row r="1040" spans="1:1" x14ac:dyDescent="0.25">
      <c r="A1040" t="str">
        <f t="shared" si="38"/>
        <v/>
      </c>
    </row>
    <row r="1041" spans="1:1" x14ac:dyDescent="0.25">
      <c r="A1041" t="str">
        <f t="shared" si="38"/>
        <v/>
      </c>
    </row>
    <row r="1042" spans="1:1" x14ac:dyDescent="0.25">
      <c r="A1042" t="str">
        <f t="shared" si="38"/>
        <v/>
      </c>
    </row>
    <row r="1043" spans="1:1" x14ac:dyDescent="0.25">
      <c r="A1043" t="str">
        <f t="shared" si="38"/>
        <v/>
      </c>
    </row>
    <row r="1044" spans="1:1" x14ac:dyDescent="0.25">
      <c r="A1044" t="str">
        <f t="shared" si="38"/>
        <v/>
      </c>
    </row>
    <row r="1045" spans="1:1" x14ac:dyDescent="0.25">
      <c r="A1045" t="str">
        <f t="shared" si="38"/>
        <v/>
      </c>
    </row>
    <row r="1046" spans="1:1" x14ac:dyDescent="0.25">
      <c r="A1046" t="str">
        <f t="shared" si="38"/>
        <v/>
      </c>
    </row>
    <row r="1047" spans="1:1" x14ac:dyDescent="0.25">
      <c r="A1047" t="str">
        <f t="shared" si="38"/>
        <v/>
      </c>
    </row>
    <row r="1048" spans="1:1" x14ac:dyDescent="0.25">
      <c r="A1048" t="str">
        <f t="shared" si="38"/>
        <v/>
      </c>
    </row>
    <row r="1049" spans="1:1" x14ac:dyDescent="0.25">
      <c r="A1049" t="str">
        <f t="shared" si="38"/>
        <v/>
      </c>
    </row>
    <row r="1050" spans="1:1" x14ac:dyDescent="0.25">
      <c r="A1050" t="str">
        <f t="shared" si="38"/>
        <v/>
      </c>
    </row>
    <row r="1051" spans="1:1" x14ac:dyDescent="0.25">
      <c r="A1051" t="str">
        <f t="shared" si="38"/>
        <v/>
      </c>
    </row>
    <row r="1052" spans="1:1" x14ac:dyDescent="0.25">
      <c r="A1052" t="str">
        <f t="shared" si="38"/>
        <v/>
      </c>
    </row>
    <row r="1053" spans="1:1" x14ac:dyDescent="0.25">
      <c r="A1053" t="str">
        <f t="shared" si="38"/>
        <v/>
      </c>
    </row>
    <row r="1054" spans="1:1" x14ac:dyDescent="0.25">
      <c r="A1054" t="str">
        <f t="shared" si="38"/>
        <v/>
      </c>
    </row>
    <row r="1055" spans="1:1" x14ac:dyDescent="0.25">
      <c r="A1055" t="str">
        <f t="shared" si="38"/>
        <v/>
      </c>
    </row>
    <row r="1056" spans="1:1" x14ac:dyDescent="0.25">
      <c r="A1056" t="str">
        <f t="shared" si="38"/>
        <v/>
      </c>
    </row>
    <row r="1057" spans="1:1" x14ac:dyDescent="0.25">
      <c r="A1057" t="str">
        <f t="shared" si="38"/>
        <v/>
      </c>
    </row>
    <row r="1058" spans="1:1" x14ac:dyDescent="0.25">
      <c r="A1058" t="str">
        <f t="shared" si="38"/>
        <v/>
      </c>
    </row>
    <row r="1059" spans="1:1" x14ac:dyDescent="0.25">
      <c r="A1059" t="str">
        <f t="shared" si="38"/>
        <v/>
      </c>
    </row>
    <row r="1060" spans="1:1" x14ac:dyDescent="0.25">
      <c r="A1060" t="str">
        <f t="shared" si="38"/>
        <v/>
      </c>
    </row>
    <row r="1061" spans="1:1" x14ac:dyDescent="0.25">
      <c r="A1061" t="str">
        <f t="shared" si="38"/>
        <v/>
      </c>
    </row>
    <row r="1062" spans="1:1" x14ac:dyDescent="0.25">
      <c r="A1062" t="str">
        <f t="shared" si="38"/>
        <v/>
      </c>
    </row>
    <row r="1063" spans="1:1" x14ac:dyDescent="0.25">
      <c r="A1063" t="str">
        <f t="shared" si="38"/>
        <v/>
      </c>
    </row>
    <row r="1064" spans="1:1" x14ac:dyDescent="0.25">
      <c r="A1064" t="str">
        <f t="shared" si="38"/>
        <v/>
      </c>
    </row>
    <row r="1065" spans="1:1" x14ac:dyDescent="0.25">
      <c r="A1065" t="str">
        <f t="shared" si="38"/>
        <v/>
      </c>
    </row>
    <row r="1066" spans="1:1" x14ac:dyDescent="0.25">
      <c r="A1066" t="str">
        <f t="shared" si="38"/>
        <v/>
      </c>
    </row>
    <row r="1067" spans="1:1" x14ac:dyDescent="0.25">
      <c r="A1067" t="str">
        <f t="shared" si="38"/>
        <v/>
      </c>
    </row>
    <row r="1068" spans="1:1" x14ac:dyDescent="0.25">
      <c r="A1068" t="str">
        <f t="shared" si="38"/>
        <v/>
      </c>
    </row>
    <row r="1069" spans="1:1" x14ac:dyDescent="0.25">
      <c r="A1069" t="str">
        <f t="shared" si="38"/>
        <v/>
      </c>
    </row>
    <row r="1070" spans="1:1" x14ac:dyDescent="0.25">
      <c r="A1070" t="str">
        <f t="shared" si="38"/>
        <v/>
      </c>
    </row>
    <row r="1071" spans="1:1" x14ac:dyDescent="0.25">
      <c r="A1071" t="str">
        <f t="shared" si="38"/>
        <v/>
      </c>
    </row>
    <row r="1072" spans="1:1" x14ac:dyDescent="0.25">
      <c r="A1072" t="str">
        <f t="shared" si="38"/>
        <v/>
      </c>
    </row>
    <row r="1073" spans="1:1" x14ac:dyDescent="0.25">
      <c r="A1073" t="str">
        <f t="shared" si="38"/>
        <v/>
      </c>
    </row>
    <row r="1074" spans="1:1" x14ac:dyDescent="0.25">
      <c r="A1074" t="str">
        <f t="shared" si="38"/>
        <v/>
      </c>
    </row>
    <row r="1075" spans="1:1" x14ac:dyDescent="0.25">
      <c r="A1075" t="str">
        <f t="shared" si="38"/>
        <v/>
      </c>
    </row>
    <row r="1076" spans="1:1" x14ac:dyDescent="0.25">
      <c r="A1076" t="str">
        <f t="shared" si="38"/>
        <v/>
      </c>
    </row>
    <row r="1077" spans="1:1" x14ac:dyDescent="0.25">
      <c r="A1077" t="str">
        <f t="shared" si="38"/>
        <v/>
      </c>
    </row>
    <row r="1078" spans="1:1" x14ac:dyDescent="0.25">
      <c r="A1078" t="str">
        <f t="shared" si="38"/>
        <v/>
      </c>
    </row>
    <row r="1079" spans="1:1" x14ac:dyDescent="0.25">
      <c r="A1079" t="str">
        <f t="shared" si="38"/>
        <v/>
      </c>
    </row>
    <row r="1080" spans="1:1" x14ac:dyDescent="0.25">
      <c r="A1080" t="str">
        <f t="shared" si="38"/>
        <v/>
      </c>
    </row>
    <row r="1081" spans="1:1" x14ac:dyDescent="0.25">
      <c r="A1081" t="str">
        <f t="shared" si="38"/>
        <v/>
      </c>
    </row>
    <row r="1082" spans="1:1" x14ac:dyDescent="0.25">
      <c r="A1082" t="str">
        <f t="shared" si="38"/>
        <v/>
      </c>
    </row>
    <row r="1083" spans="1:1" x14ac:dyDescent="0.25">
      <c r="A1083" t="str">
        <f t="shared" si="38"/>
        <v/>
      </c>
    </row>
    <row r="1084" spans="1:1" x14ac:dyDescent="0.25">
      <c r="A1084" t="str">
        <f t="shared" si="38"/>
        <v/>
      </c>
    </row>
    <row r="1085" spans="1:1" x14ac:dyDescent="0.25">
      <c r="A1085" t="str">
        <f t="shared" si="38"/>
        <v/>
      </c>
    </row>
    <row r="1086" spans="1:1" x14ac:dyDescent="0.25">
      <c r="A1086" t="str">
        <f t="shared" si="38"/>
        <v/>
      </c>
    </row>
    <row r="1087" spans="1:1" x14ac:dyDescent="0.25">
      <c r="A1087" t="str">
        <f t="shared" si="38"/>
        <v/>
      </c>
    </row>
    <row r="1088" spans="1:1" x14ac:dyDescent="0.25">
      <c r="A1088" t="str">
        <f t="shared" si="38"/>
        <v/>
      </c>
    </row>
    <row r="1089" spans="1:1" x14ac:dyDescent="0.25">
      <c r="A1089" t="str">
        <f t="shared" ref="A1089:A1152" si="39">E1089&amp;C1089&amp;D1089</f>
        <v/>
      </c>
    </row>
    <row r="1090" spans="1:1" x14ac:dyDescent="0.25">
      <c r="A1090" t="str">
        <f t="shared" si="39"/>
        <v/>
      </c>
    </row>
    <row r="1091" spans="1:1" x14ac:dyDescent="0.25">
      <c r="A1091" t="str">
        <f t="shared" si="39"/>
        <v/>
      </c>
    </row>
    <row r="1092" spans="1:1" x14ac:dyDescent="0.25">
      <c r="A1092" t="str">
        <f t="shared" si="39"/>
        <v/>
      </c>
    </row>
    <row r="1093" spans="1:1" x14ac:dyDescent="0.25">
      <c r="A1093" t="str">
        <f t="shared" si="39"/>
        <v/>
      </c>
    </row>
    <row r="1094" spans="1:1" x14ac:dyDescent="0.25">
      <c r="A1094" t="str">
        <f t="shared" si="39"/>
        <v/>
      </c>
    </row>
    <row r="1095" spans="1:1" x14ac:dyDescent="0.25">
      <c r="A1095" t="str">
        <f t="shared" si="39"/>
        <v/>
      </c>
    </row>
    <row r="1096" spans="1:1" x14ac:dyDescent="0.25">
      <c r="A1096" t="str">
        <f t="shared" si="39"/>
        <v/>
      </c>
    </row>
    <row r="1097" spans="1:1" x14ac:dyDescent="0.25">
      <c r="A1097" t="str">
        <f t="shared" si="39"/>
        <v/>
      </c>
    </row>
    <row r="1098" spans="1:1" x14ac:dyDescent="0.25">
      <c r="A1098" t="str">
        <f t="shared" si="39"/>
        <v/>
      </c>
    </row>
    <row r="1099" spans="1:1" x14ac:dyDescent="0.25">
      <c r="A1099" t="str">
        <f t="shared" si="39"/>
        <v/>
      </c>
    </row>
    <row r="1100" spans="1:1" x14ac:dyDescent="0.25">
      <c r="A1100" t="str">
        <f t="shared" si="39"/>
        <v/>
      </c>
    </row>
    <row r="1101" spans="1:1" x14ac:dyDescent="0.25">
      <c r="A1101" t="str">
        <f t="shared" si="39"/>
        <v/>
      </c>
    </row>
    <row r="1102" spans="1:1" x14ac:dyDescent="0.25">
      <c r="A1102" t="str">
        <f t="shared" si="39"/>
        <v/>
      </c>
    </row>
    <row r="1103" spans="1:1" x14ac:dyDescent="0.25">
      <c r="A1103" t="str">
        <f t="shared" si="39"/>
        <v/>
      </c>
    </row>
    <row r="1104" spans="1:1" x14ac:dyDescent="0.25">
      <c r="A1104" t="str">
        <f t="shared" si="39"/>
        <v/>
      </c>
    </row>
    <row r="1105" spans="1:1" x14ac:dyDescent="0.25">
      <c r="A1105" t="str">
        <f t="shared" si="39"/>
        <v/>
      </c>
    </row>
    <row r="1106" spans="1:1" x14ac:dyDescent="0.25">
      <c r="A1106" t="str">
        <f t="shared" si="39"/>
        <v/>
      </c>
    </row>
    <row r="1107" spans="1:1" x14ac:dyDescent="0.25">
      <c r="A1107" t="str">
        <f t="shared" si="39"/>
        <v/>
      </c>
    </row>
    <row r="1108" spans="1:1" x14ac:dyDescent="0.25">
      <c r="A1108" t="str">
        <f t="shared" si="39"/>
        <v/>
      </c>
    </row>
    <row r="1109" spans="1:1" x14ac:dyDescent="0.25">
      <c r="A1109" t="str">
        <f t="shared" si="39"/>
        <v/>
      </c>
    </row>
    <row r="1110" spans="1:1" x14ac:dyDescent="0.25">
      <c r="A1110" t="str">
        <f t="shared" si="39"/>
        <v/>
      </c>
    </row>
    <row r="1111" spans="1:1" x14ac:dyDescent="0.25">
      <c r="A1111" t="str">
        <f t="shared" si="39"/>
        <v/>
      </c>
    </row>
    <row r="1112" spans="1:1" x14ac:dyDescent="0.25">
      <c r="A1112" t="str">
        <f t="shared" si="39"/>
        <v/>
      </c>
    </row>
    <row r="1113" spans="1:1" x14ac:dyDescent="0.25">
      <c r="A1113" t="str">
        <f t="shared" si="39"/>
        <v/>
      </c>
    </row>
    <row r="1114" spans="1:1" x14ac:dyDescent="0.25">
      <c r="A1114" t="str">
        <f t="shared" si="39"/>
        <v/>
      </c>
    </row>
    <row r="1115" spans="1:1" x14ac:dyDescent="0.25">
      <c r="A1115" t="str">
        <f t="shared" si="39"/>
        <v/>
      </c>
    </row>
    <row r="1116" spans="1:1" x14ac:dyDescent="0.25">
      <c r="A1116" t="str">
        <f t="shared" si="39"/>
        <v/>
      </c>
    </row>
    <row r="1117" spans="1:1" x14ac:dyDescent="0.25">
      <c r="A1117" t="str">
        <f t="shared" si="39"/>
        <v/>
      </c>
    </row>
    <row r="1118" spans="1:1" x14ac:dyDescent="0.25">
      <c r="A1118" t="str">
        <f t="shared" si="39"/>
        <v/>
      </c>
    </row>
    <row r="1119" spans="1:1" x14ac:dyDescent="0.25">
      <c r="A1119" t="str">
        <f t="shared" si="39"/>
        <v/>
      </c>
    </row>
    <row r="1120" spans="1:1" x14ac:dyDescent="0.25">
      <c r="A1120" t="str">
        <f t="shared" si="39"/>
        <v/>
      </c>
    </row>
    <row r="1121" spans="1:1" x14ac:dyDescent="0.25">
      <c r="A1121" t="str">
        <f t="shared" si="39"/>
        <v/>
      </c>
    </row>
    <row r="1122" spans="1:1" x14ac:dyDescent="0.25">
      <c r="A1122" t="str">
        <f t="shared" si="39"/>
        <v/>
      </c>
    </row>
    <row r="1123" spans="1:1" x14ac:dyDescent="0.25">
      <c r="A1123" t="str">
        <f t="shared" si="39"/>
        <v/>
      </c>
    </row>
    <row r="1124" spans="1:1" x14ac:dyDescent="0.25">
      <c r="A1124" t="str">
        <f t="shared" si="39"/>
        <v/>
      </c>
    </row>
    <row r="1125" spans="1:1" x14ac:dyDescent="0.25">
      <c r="A1125" t="str">
        <f t="shared" si="39"/>
        <v/>
      </c>
    </row>
    <row r="1126" spans="1:1" x14ac:dyDescent="0.25">
      <c r="A1126" t="str">
        <f t="shared" si="39"/>
        <v/>
      </c>
    </row>
    <row r="1127" spans="1:1" x14ac:dyDescent="0.25">
      <c r="A1127" t="str">
        <f t="shared" si="39"/>
        <v/>
      </c>
    </row>
    <row r="1128" spans="1:1" x14ac:dyDescent="0.25">
      <c r="A1128" t="str">
        <f t="shared" si="39"/>
        <v/>
      </c>
    </row>
    <row r="1129" spans="1:1" x14ac:dyDescent="0.25">
      <c r="A1129" t="str">
        <f t="shared" si="39"/>
        <v/>
      </c>
    </row>
    <row r="1130" spans="1:1" x14ac:dyDescent="0.25">
      <c r="A1130" t="str">
        <f t="shared" si="39"/>
        <v/>
      </c>
    </row>
    <row r="1131" spans="1:1" x14ac:dyDescent="0.25">
      <c r="A1131" t="str">
        <f t="shared" si="39"/>
        <v/>
      </c>
    </row>
    <row r="1132" spans="1:1" x14ac:dyDescent="0.25">
      <c r="A1132" t="str">
        <f t="shared" si="39"/>
        <v/>
      </c>
    </row>
    <row r="1133" spans="1:1" x14ac:dyDescent="0.25">
      <c r="A1133" t="str">
        <f t="shared" si="39"/>
        <v/>
      </c>
    </row>
    <row r="1134" spans="1:1" x14ac:dyDescent="0.25">
      <c r="A1134" t="str">
        <f t="shared" si="39"/>
        <v/>
      </c>
    </row>
    <row r="1135" spans="1:1" x14ac:dyDescent="0.25">
      <c r="A1135" t="str">
        <f t="shared" si="39"/>
        <v/>
      </c>
    </row>
    <row r="1136" spans="1:1" x14ac:dyDescent="0.25">
      <c r="A1136" t="str">
        <f t="shared" si="39"/>
        <v/>
      </c>
    </row>
    <row r="1137" spans="1:1" x14ac:dyDescent="0.25">
      <c r="A1137" t="str">
        <f t="shared" si="39"/>
        <v/>
      </c>
    </row>
    <row r="1138" spans="1:1" x14ac:dyDescent="0.25">
      <c r="A1138" t="str">
        <f t="shared" si="39"/>
        <v/>
      </c>
    </row>
    <row r="1139" spans="1:1" x14ac:dyDescent="0.25">
      <c r="A1139" t="str">
        <f t="shared" si="39"/>
        <v/>
      </c>
    </row>
    <row r="1140" spans="1:1" x14ac:dyDescent="0.25">
      <c r="A1140" t="str">
        <f t="shared" si="39"/>
        <v/>
      </c>
    </row>
    <row r="1141" spans="1:1" x14ac:dyDescent="0.25">
      <c r="A1141" t="str">
        <f t="shared" si="39"/>
        <v/>
      </c>
    </row>
    <row r="1142" spans="1:1" x14ac:dyDescent="0.25">
      <c r="A1142" t="str">
        <f t="shared" si="39"/>
        <v/>
      </c>
    </row>
    <row r="1143" spans="1:1" x14ac:dyDescent="0.25">
      <c r="A1143" t="str">
        <f t="shared" si="39"/>
        <v/>
      </c>
    </row>
    <row r="1144" spans="1:1" x14ac:dyDescent="0.25">
      <c r="A1144" t="str">
        <f t="shared" si="39"/>
        <v/>
      </c>
    </row>
    <row r="1145" spans="1:1" x14ac:dyDescent="0.25">
      <c r="A1145" t="str">
        <f t="shared" si="39"/>
        <v/>
      </c>
    </row>
    <row r="1146" spans="1:1" x14ac:dyDescent="0.25">
      <c r="A1146" t="str">
        <f t="shared" si="39"/>
        <v/>
      </c>
    </row>
    <row r="1147" spans="1:1" x14ac:dyDescent="0.25">
      <c r="A1147" t="str">
        <f t="shared" si="39"/>
        <v/>
      </c>
    </row>
    <row r="1148" spans="1:1" x14ac:dyDescent="0.25">
      <c r="A1148" t="str">
        <f t="shared" si="39"/>
        <v/>
      </c>
    </row>
    <row r="1149" spans="1:1" x14ac:dyDescent="0.25">
      <c r="A1149" t="str">
        <f t="shared" si="39"/>
        <v/>
      </c>
    </row>
    <row r="1150" spans="1:1" x14ac:dyDescent="0.25">
      <c r="A1150" t="str">
        <f t="shared" si="39"/>
        <v/>
      </c>
    </row>
    <row r="1151" spans="1:1" x14ac:dyDescent="0.25">
      <c r="A1151" t="str">
        <f t="shared" si="39"/>
        <v/>
      </c>
    </row>
    <row r="1152" spans="1:1" x14ac:dyDescent="0.25">
      <c r="A1152" t="str">
        <f t="shared" si="39"/>
        <v/>
      </c>
    </row>
    <row r="1153" spans="1:1" x14ac:dyDescent="0.25">
      <c r="A1153" t="str">
        <f t="shared" ref="A1153:A1216" si="40">E1153&amp;C1153&amp;D1153</f>
        <v/>
      </c>
    </row>
    <row r="1154" spans="1:1" x14ac:dyDescent="0.25">
      <c r="A1154" t="str">
        <f t="shared" si="40"/>
        <v/>
      </c>
    </row>
    <row r="1155" spans="1:1" x14ac:dyDescent="0.25">
      <c r="A1155" t="str">
        <f t="shared" si="40"/>
        <v/>
      </c>
    </row>
    <row r="1156" spans="1:1" x14ac:dyDescent="0.25">
      <c r="A1156" t="str">
        <f t="shared" si="40"/>
        <v/>
      </c>
    </row>
    <row r="1157" spans="1:1" x14ac:dyDescent="0.25">
      <c r="A1157" t="str">
        <f t="shared" si="40"/>
        <v/>
      </c>
    </row>
    <row r="1158" spans="1:1" x14ac:dyDescent="0.25">
      <c r="A1158" t="str">
        <f t="shared" si="40"/>
        <v/>
      </c>
    </row>
    <row r="1159" spans="1:1" x14ac:dyDescent="0.25">
      <c r="A1159" t="str">
        <f t="shared" si="40"/>
        <v/>
      </c>
    </row>
    <row r="1160" spans="1:1" x14ac:dyDescent="0.25">
      <c r="A1160" t="str">
        <f t="shared" si="40"/>
        <v/>
      </c>
    </row>
    <row r="1161" spans="1:1" x14ac:dyDescent="0.25">
      <c r="A1161" t="str">
        <f t="shared" si="40"/>
        <v/>
      </c>
    </row>
    <row r="1162" spans="1:1" x14ac:dyDescent="0.25">
      <c r="A1162" t="str">
        <f t="shared" si="40"/>
        <v/>
      </c>
    </row>
    <row r="1163" spans="1:1" x14ac:dyDescent="0.25">
      <c r="A1163" t="str">
        <f t="shared" si="40"/>
        <v/>
      </c>
    </row>
    <row r="1164" spans="1:1" x14ac:dyDescent="0.25">
      <c r="A1164" t="str">
        <f t="shared" si="40"/>
        <v/>
      </c>
    </row>
    <row r="1165" spans="1:1" x14ac:dyDescent="0.25">
      <c r="A1165" t="str">
        <f t="shared" si="40"/>
        <v/>
      </c>
    </row>
    <row r="1166" spans="1:1" x14ac:dyDescent="0.25">
      <c r="A1166" t="str">
        <f t="shared" si="40"/>
        <v/>
      </c>
    </row>
    <row r="1167" spans="1:1" x14ac:dyDescent="0.25">
      <c r="A1167" t="str">
        <f t="shared" si="40"/>
        <v/>
      </c>
    </row>
    <row r="1168" spans="1:1" x14ac:dyDescent="0.25">
      <c r="A1168" t="str">
        <f t="shared" si="40"/>
        <v/>
      </c>
    </row>
    <row r="1169" spans="1:1" x14ac:dyDescent="0.25">
      <c r="A1169" t="str">
        <f t="shared" si="40"/>
        <v/>
      </c>
    </row>
    <row r="1170" spans="1:1" x14ac:dyDescent="0.25">
      <c r="A1170" t="str">
        <f t="shared" si="40"/>
        <v/>
      </c>
    </row>
    <row r="1171" spans="1:1" x14ac:dyDescent="0.25">
      <c r="A1171" t="str">
        <f t="shared" si="40"/>
        <v/>
      </c>
    </row>
    <row r="1172" spans="1:1" x14ac:dyDescent="0.25">
      <c r="A1172" t="str">
        <f t="shared" si="40"/>
        <v/>
      </c>
    </row>
    <row r="1173" spans="1:1" x14ac:dyDescent="0.25">
      <c r="A1173" t="str">
        <f t="shared" si="40"/>
        <v/>
      </c>
    </row>
    <row r="1174" spans="1:1" x14ac:dyDescent="0.25">
      <c r="A1174" t="str">
        <f t="shared" si="40"/>
        <v/>
      </c>
    </row>
    <row r="1175" spans="1:1" x14ac:dyDescent="0.25">
      <c r="A1175" t="str">
        <f t="shared" si="40"/>
        <v/>
      </c>
    </row>
    <row r="1176" spans="1:1" x14ac:dyDescent="0.25">
      <c r="A1176" t="str">
        <f t="shared" si="40"/>
        <v/>
      </c>
    </row>
    <row r="1177" spans="1:1" x14ac:dyDescent="0.25">
      <c r="A1177" t="str">
        <f t="shared" si="40"/>
        <v/>
      </c>
    </row>
    <row r="1178" spans="1:1" x14ac:dyDescent="0.25">
      <c r="A1178" t="str">
        <f t="shared" si="40"/>
        <v/>
      </c>
    </row>
    <row r="1179" spans="1:1" x14ac:dyDescent="0.25">
      <c r="A1179" t="str">
        <f t="shared" si="40"/>
        <v/>
      </c>
    </row>
    <row r="1180" spans="1:1" x14ac:dyDescent="0.25">
      <c r="A1180" t="str">
        <f t="shared" si="40"/>
        <v/>
      </c>
    </row>
    <row r="1181" spans="1:1" x14ac:dyDescent="0.25">
      <c r="A1181" t="str">
        <f t="shared" si="40"/>
        <v/>
      </c>
    </row>
    <row r="1182" spans="1:1" x14ac:dyDescent="0.25">
      <c r="A1182" t="str">
        <f t="shared" si="40"/>
        <v/>
      </c>
    </row>
    <row r="1183" spans="1:1" x14ac:dyDescent="0.25">
      <c r="A1183" t="str">
        <f t="shared" si="40"/>
        <v/>
      </c>
    </row>
    <row r="1184" spans="1:1" x14ac:dyDescent="0.25">
      <c r="A1184" t="str">
        <f t="shared" si="40"/>
        <v/>
      </c>
    </row>
    <row r="1185" spans="1:1" x14ac:dyDescent="0.25">
      <c r="A1185" t="str">
        <f t="shared" si="40"/>
        <v/>
      </c>
    </row>
    <row r="1186" spans="1:1" x14ac:dyDescent="0.25">
      <c r="A1186" t="str">
        <f t="shared" si="40"/>
        <v/>
      </c>
    </row>
    <row r="1187" spans="1:1" x14ac:dyDescent="0.25">
      <c r="A1187" t="str">
        <f t="shared" si="40"/>
        <v/>
      </c>
    </row>
    <row r="1188" spans="1:1" x14ac:dyDescent="0.25">
      <c r="A1188" t="str">
        <f t="shared" si="40"/>
        <v/>
      </c>
    </row>
    <row r="1189" spans="1:1" x14ac:dyDescent="0.25">
      <c r="A1189" t="str">
        <f t="shared" si="40"/>
        <v/>
      </c>
    </row>
    <row r="1190" spans="1:1" x14ac:dyDescent="0.25">
      <c r="A1190" t="str">
        <f t="shared" si="40"/>
        <v/>
      </c>
    </row>
    <row r="1191" spans="1:1" x14ac:dyDescent="0.25">
      <c r="A1191" t="str">
        <f t="shared" si="40"/>
        <v/>
      </c>
    </row>
    <row r="1192" spans="1:1" x14ac:dyDescent="0.25">
      <c r="A1192" t="str">
        <f t="shared" si="40"/>
        <v/>
      </c>
    </row>
    <row r="1193" spans="1:1" x14ac:dyDescent="0.25">
      <c r="A1193" t="str">
        <f t="shared" si="40"/>
        <v/>
      </c>
    </row>
    <row r="1194" spans="1:1" x14ac:dyDescent="0.25">
      <c r="A1194" t="str">
        <f t="shared" si="40"/>
        <v/>
      </c>
    </row>
    <row r="1195" spans="1:1" x14ac:dyDescent="0.25">
      <c r="A1195" t="str">
        <f t="shared" si="40"/>
        <v/>
      </c>
    </row>
    <row r="1196" spans="1:1" x14ac:dyDescent="0.25">
      <c r="A1196" t="str">
        <f t="shared" si="40"/>
        <v/>
      </c>
    </row>
    <row r="1197" spans="1:1" x14ac:dyDescent="0.25">
      <c r="A1197" t="str">
        <f t="shared" si="40"/>
        <v/>
      </c>
    </row>
    <row r="1198" spans="1:1" x14ac:dyDescent="0.25">
      <c r="A1198" t="str">
        <f t="shared" si="40"/>
        <v/>
      </c>
    </row>
    <row r="1199" spans="1:1" x14ac:dyDescent="0.25">
      <c r="A1199" t="str">
        <f t="shared" si="40"/>
        <v/>
      </c>
    </row>
    <row r="1200" spans="1:1" x14ac:dyDescent="0.25">
      <c r="A1200" t="str">
        <f t="shared" si="40"/>
        <v/>
      </c>
    </row>
    <row r="1201" spans="1:1" x14ac:dyDescent="0.25">
      <c r="A1201" t="str">
        <f t="shared" si="40"/>
        <v/>
      </c>
    </row>
    <row r="1202" spans="1:1" x14ac:dyDescent="0.25">
      <c r="A1202" t="str">
        <f t="shared" si="40"/>
        <v/>
      </c>
    </row>
    <row r="1203" spans="1:1" x14ac:dyDescent="0.25">
      <c r="A1203" t="str">
        <f t="shared" si="40"/>
        <v/>
      </c>
    </row>
    <row r="1204" spans="1:1" x14ac:dyDescent="0.25">
      <c r="A1204" t="str">
        <f t="shared" si="40"/>
        <v/>
      </c>
    </row>
    <row r="1205" spans="1:1" x14ac:dyDescent="0.25">
      <c r="A1205" t="str">
        <f t="shared" si="40"/>
        <v/>
      </c>
    </row>
    <row r="1206" spans="1:1" x14ac:dyDescent="0.25">
      <c r="A1206" t="str">
        <f t="shared" si="40"/>
        <v/>
      </c>
    </row>
    <row r="1207" spans="1:1" x14ac:dyDescent="0.25">
      <c r="A1207" t="str">
        <f t="shared" si="40"/>
        <v/>
      </c>
    </row>
    <row r="1208" spans="1:1" x14ac:dyDescent="0.25">
      <c r="A1208" t="str">
        <f t="shared" si="40"/>
        <v/>
      </c>
    </row>
    <row r="1209" spans="1:1" x14ac:dyDescent="0.25">
      <c r="A1209" t="str">
        <f t="shared" si="40"/>
        <v/>
      </c>
    </row>
    <row r="1210" spans="1:1" x14ac:dyDescent="0.25">
      <c r="A1210" t="str">
        <f t="shared" si="40"/>
        <v/>
      </c>
    </row>
    <row r="1211" spans="1:1" x14ac:dyDescent="0.25">
      <c r="A1211" t="str">
        <f t="shared" si="40"/>
        <v/>
      </c>
    </row>
    <row r="1212" spans="1:1" x14ac:dyDescent="0.25">
      <c r="A1212" t="str">
        <f t="shared" si="40"/>
        <v/>
      </c>
    </row>
    <row r="1213" spans="1:1" x14ac:dyDescent="0.25">
      <c r="A1213" t="str">
        <f t="shared" si="40"/>
        <v/>
      </c>
    </row>
    <row r="1214" spans="1:1" x14ac:dyDescent="0.25">
      <c r="A1214" t="str">
        <f t="shared" si="40"/>
        <v/>
      </c>
    </row>
    <row r="1215" spans="1:1" x14ac:dyDescent="0.25">
      <c r="A1215" t="str">
        <f t="shared" si="40"/>
        <v/>
      </c>
    </row>
    <row r="1216" spans="1:1" x14ac:dyDescent="0.25">
      <c r="A1216" t="str">
        <f t="shared" si="40"/>
        <v/>
      </c>
    </row>
    <row r="1217" spans="1:1" x14ac:dyDescent="0.25">
      <c r="A1217" t="str">
        <f t="shared" ref="A1217:A1280" si="41">E1217&amp;C1217&amp;D1217</f>
        <v/>
      </c>
    </row>
    <row r="1218" spans="1:1" x14ac:dyDescent="0.25">
      <c r="A1218" t="str">
        <f t="shared" si="41"/>
        <v/>
      </c>
    </row>
    <row r="1219" spans="1:1" x14ac:dyDescent="0.25">
      <c r="A1219" t="str">
        <f t="shared" si="41"/>
        <v/>
      </c>
    </row>
    <row r="1220" spans="1:1" x14ac:dyDescent="0.25">
      <c r="A1220" t="str">
        <f t="shared" si="41"/>
        <v/>
      </c>
    </row>
    <row r="1221" spans="1:1" x14ac:dyDescent="0.25">
      <c r="A1221" t="str">
        <f t="shared" si="41"/>
        <v/>
      </c>
    </row>
    <row r="1222" spans="1:1" x14ac:dyDescent="0.25">
      <c r="A1222" t="str">
        <f t="shared" si="41"/>
        <v/>
      </c>
    </row>
    <row r="1223" spans="1:1" x14ac:dyDescent="0.25">
      <c r="A1223" t="str">
        <f t="shared" si="41"/>
        <v/>
      </c>
    </row>
    <row r="1224" spans="1:1" x14ac:dyDescent="0.25">
      <c r="A1224" t="str">
        <f t="shared" si="41"/>
        <v/>
      </c>
    </row>
    <row r="1225" spans="1:1" x14ac:dyDescent="0.25">
      <c r="A1225" t="str">
        <f t="shared" si="41"/>
        <v/>
      </c>
    </row>
    <row r="1226" spans="1:1" x14ac:dyDescent="0.25">
      <c r="A1226" t="str">
        <f t="shared" si="41"/>
        <v/>
      </c>
    </row>
    <row r="1227" spans="1:1" x14ac:dyDescent="0.25">
      <c r="A1227" t="str">
        <f t="shared" si="41"/>
        <v/>
      </c>
    </row>
    <row r="1228" spans="1:1" x14ac:dyDescent="0.25">
      <c r="A1228" t="str">
        <f t="shared" si="41"/>
        <v/>
      </c>
    </row>
    <row r="1229" spans="1:1" x14ac:dyDescent="0.25">
      <c r="A1229" t="str">
        <f t="shared" si="41"/>
        <v/>
      </c>
    </row>
    <row r="1230" spans="1:1" x14ac:dyDescent="0.25">
      <c r="A1230" t="str">
        <f t="shared" si="41"/>
        <v/>
      </c>
    </row>
    <row r="1231" spans="1:1" x14ac:dyDescent="0.25">
      <c r="A1231" t="str">
        <f t="shared" si="41"/>
        <v/>
      </c>
    </row>
    <row r="1232" spans="1:1" x14ac:dyDescent="0.25">
      <c r="A1232" t="str">
        <f t="shared" si="41"/>
        <v/>
      </c>
    </row>
    <row r="1233" spans="1:1" x14ac:dyDescent="0.25">
      <c r="A1233" t="str">
        <f t="shared" si="41"/>
        <v/>
      </c>
    </row>
    <row r="1234" spans="1:1" x14ac:dyDescent="0.25">
      <c r="A1234" t="str">
        <f t="shared" si="41"/>
        <v/>
      </c>
    </row>
    <row r="1235" spans="1:1" x14ac:dyDescent="0.25">
      <c r="A1235" t="str">
        <f t="shared" si="41"/>
        <v/>
      </c>
    </row>
    <row r="1236" spans="1:1" x14ac:dyDescent="0.25">
      <c r="A1236" t="str">
        <f t="shared" si="41"/>
        <v/>
      </c>
    </row>
    <row r="1237" spans="1:1" x14ac:dyDescent="0.25">
      <c r="A1237" t="str">
        <f t="shared" si="41"/>
        <v/>
      </c>
    </row>
    <row r="1238" spans="1:1" x14ac:dyDescent="0.25">
      <c r="A1238" t="str">
        <f t="shared" si="41"/>
        <v/>
      </c>
    </row>
    <row r="1239" spans="1:1" x14ac:dyDescent="0.25">
      <c r="A1239" t="str">
        <f t="shared" si="41"/>
        <v/>
      </c>
    </row>
    <row r="1240" spans="1:1" x14ac:dyDescent="0.25">
      <c r="A1240" t="str">
        <f t="shared" si="41"/>
        <v/>
      </c>
    </row>
    <row r="1241" spans="1:1" x14ac:dyDescent="0.25">
      <c r="A1241" t="str">
        <f t="shared" si="41"/>
        <v/>
      </c>
    </row>
    <row r="1242" spans="1:1" x14ac:dyDescent="0.25">
      <c r="A1242" t="str">
        <f t="shared" si="41"/>
        <v/>
      </c>
    </row>
    <row r="1243" spans="1:1" x14ac:dyDescent="0.25">
      <c r="A1243" t="str">
        <f t="shared" si="41"/>
        <v/>
      </c>
    </row>
    <row r="1244" spans="1:1" x14ac:dyDescent="0.25">
      <c r="A1244" t="str">
        <f t="shared" si="41"/>
        <v/>
      </c>
    </row>
    <row r="1245" spans="1:1" x14ac:dyDescent="0.25">
      <c r="A1245" t="str">
        <f t="shared" si="41"/>
        <v/>
      </c>
    </row>
    <row r="1246" spans="1:1" x14ac:dyDescent="0.25">
      <c r="A1246" t="str">
        <f t="shared" si="41"/>
        <v/>
      </c>
    </row>
    <row r="1247" spans="1:1" x14ac:dyDescent="0.25">
      <c r="A1247" t="str">
        <f t="shared" si="41"/>
        <v/>
      </c>
    </row>
    <row r="1248" spans="1:1" x14ac:dyDescent="0.25">
      <c r="A1248" t="str">
        <f t="shared" si="41"/>
        <v/>
      </c>
    </row>
    <row r="1249" spans="1:1" x14ac:dyDescent="0.25">
      <c r="A1249" t="str">
        <f t="shared" si="41"/>
        <v/>
      </c>
    </row>
    <row r="1250" spans="1:1" x14ac:dyDescent="0.25">
      <c r="A1250" t="str">
        <f t="shared" si="41"/>
        <v/>
      </c>
    </row>
    <row r="1251" spans="1:1" x14ac:dyDescent="0.25">
      <c r="A1251" t="str">
        <f t="shared" si="41"/>
        <v/>
      </c>
    </row>
    <row r="1252" spans="1:1" x14ac:dyDescent="0.25">
      <c r="A1252" t="str">
        <f t="shared" si="41"/>
        <v/>
      </c>
    </row>
    <row r="1253" spans="1:1" x14ac:dyDescent="0.25">
      <c r="A1253" t="str">
        <f t="shared" si="41"/>
        <v/>
      </c>
    </row>
    <row r="1254" spans="1:1" x14ac:dyDescent="0.25">
      <c r="A1254" t="str">
        <f t="shared" si="41"/>
        <v/>
      </c>
    </row>
    <row r="1255" spans="1:1" x14ac:dyDescent="0.25">
      <c r="A1255" t="str">
        <f t="shared" si="41"/>
        <v/>
      </c>
    </row>
    <row r="1256" spans="1:1" x14ac:dyDescent="0.25">
      <c r="A1256" t="str">
        <f t="shared" si="41"/>
        <v/>
      </c>
    </row>
    <row r="1257" spans="1:1" x14ac:dyDescent="0.25">
      <c r="A1257" t="str">
        <f t="shared" si="41"/>
        <v/>
      </c>
    </row>
    <row r="1258" spans="1:1" x14ac:dyDescent="0.25">
      <c r="A1258" t="str">
        <f t="shared" si="41"/>
        <v/>
      </c>
    </row>
    <row r="1259" spans="1:1" x14ac:dyDescent="0.25">
      <c r="A1259" t="str">
        <f t="shared" si="41"/>
        <v/>
      </c>
    </row>
    <row r="1260" spans="1:1" x14ac:dyDescent="0.25">
      <c r="A1260" t="str">
        <f t="shared" si="41"/>
        <v/>
      </c>
    </row>
    <row r="1261" spans="1:1" x14ac:dyDescent="0.25">
      <c r="A1261" t="str">
        <f t="shared" si="41"/>
        <v/>
      </c>
    </row>
    <row r="1262" spans="1:1" x14ac:dyDescent="0.25">
      <c r="A1262" t="str">
        <f t="shared" si="41"/>
        <v/>
      </c>
    </row>
    <row r="1263" spans="1:1" x14ac:dyDescent="0.25">
      <c r="A1263" t="str">
        <f t="shared" si="41"/>
        <v/>
      </c>
    </row>
    <row r="1264" spans="1:1" x14ac:dyDescent="0.25">
      <c r="A1264" t="str">
        <f t="shared" si="41"/>
        <v/>
      </c>
    </row>
    <row r="1265" spans="1:1" x14ac:dyDescent="0.25">
      <c r="A1265" t="str">
        <f t="shared" si="41"/>
        <v/>
      </c>
    </row>
    <row r="1266" spans="1:1" x14ac:dyDescent="0.25">
      <c r="A1266" t="str">
        <f t="shared" si="41"/>
        <v/>
      </c>
    </row>
    <row r="1267" spans="1:1" x14ac:dyDescent="0.25">
      <c r="A1267" t="str">
        <f t="shared" si="41"/>
        <v/>
      </c>
    </row>
    <row r="1268" spans="1:1" x14ac:dyDescent="0.25">
      <c r="A1268" t="str">
        <f t="shared" si="41"/>
        <v/>
      </c>
    </row>
    <row r="1269" spans="1:1" x14ac:dyDescent="0.25">
      <c r="A1269" t="str">
        <f t="shared" si="41"/>
        <v/>
      </c>
    </row>
    <row r="1270" spans="1:1" x14ac:dyDescent="0.25">
      <c r="A1270" t="str">
        <f t="shared" si="41"/>
        <v/>
      </c>
    </row>
    <row r="1271" spans="1:1" x14ac:dyDescent="0.25">
      <c r="A1271" t="str">
        <f t="shared" si="41"/>
        <v/>
      </c>
    </row>
    <row r="1272" spans="1:1" x14ac:dyDescent="0.25">
      <c r="A1272" t="str">
        <f t="shared" si="41"/>
        <v/>
      </c>
    </row>
    <row r="1273" spans="1:1" x14ac:dyDescent="0.25">
      <c r="A1273" t="str">
        <f t="shared" si="41"/>
        <v/>
      </c>
    </row>
    <row r="1274" spans="1:1" x14ac:dyDescent="0.25">
      <c r="A1274" t="str">
        <f t="shared" si="41"/>
        <v/>
      </c>
    </row>
    <row r="1275" spans="1:1" x14ac:dyDescent="0.25">
      <c r="A1275" t="str">
        <f t="shared" si="41"/>
        <v/>
      </c>
    </row>
    <row r="1276" spans="1:1" x14ac:dyDescent="0.25">
      <c r="A1276" t="str">
        <f t="shared" si="41"/>
        <v/>
      </c>
    </row>
    <row r="1277" spans="1:1" x14ac:dyDescent="0.25">
      <c r="A1277" t="str">
        <f t="shared" si="41"/>
        <v/>
      </c>
    </row>
    <row r="1278" spans="1:1" x14ac:dyDescent="0.25">
      <c r="A1278" t="str">
        <f t="shared" si="41"/>
        <v/>
      </c>
    </row>
    <row r="1279" spans="1:1" x14ac:dyDescent="0.25">
      <c r="A1279" t="str">
        <f t="shared" si="41"/>
        <v/>
      </c>
    </row>
    <row r="1280" spans="1:1" x14ac:dyDescent="0.25">
      <c r="A1280" t="str">
        <f t="shared" si="41"/>
        <v/>
      </c>
    </row>
    <row r="1281" spans="1:1" x14ac:dyDescent="0.25">
      <c r="A1281" t="str">
        <f t="shared" ref="A1281:A1344" si="42">E1281&amp;C1281&amp;D1281</f>
        <v/>
      </c>
    </row>
    <row r="1282" spans="1:1" x14ac:dyDescent="0.25">
      <c r="A1282" t="str">
        <f t="shared" si="42"/>
        <v/>
      </c>
    </row>
    <row r="1283" spans="1:1" x14ac:dyDescent="0.25">
      <c r="A1283" t="str">
        <f t="shared" si="42"/>
        <v/>
      </c>
    </row>
    <row r="1284" spans="1:1" x14ac:dyDescent="0.25">
      <c r="A1284" t="str">
        <f t="shared" si="42"/>
        <v/>
      </c>
    </row>
    <row r="1285" spans="1:1" x14ac:dyDescent="0.25">
      <c r="A1285" t="str">
        <f t="shared" si="42"/>
        <v/>
      </c>
    </row>
    <row r="1286" spans="1:1" x14ac:dyDescent="0.25">
      <c r="A1286" t="str">
        <f t="shared" si="42"/>
        <v/>
      </c>
    </row>
    <row r="1287" spans="1:1" x14ac:dyDescent="0.25">
      <c r="A1287" t="str">
        <f t="shared" si="42"/>
        <v/>
      </c>
    </row>
    <row r="1288" spans="1:1" x14ac:dyDescent="0.25">
      <c r="A1288" t="str">
        <f t="shared" si="42"/>
        <v/>
      </c>
    </row>
    <row r="1289" spans="1:1" x14ac:dyDescent="0.25">
      <c r="A1289" t="str">
        <f t="shared" si="42"/>
        <v/>
      </c>
    </row>
    <row r="1290" spans="1:1" x14ac:dyDescent="0.25">
      <c r="A1290" t="str">
        <f t="shared" si="42"/>
        <v/>
      </c>
    </row>
    <row r="1291" spans="1:1" x14ac:dyDescent="0.25">
      <c r="A1291" t="str">
        <f t="shared" si="42"/>
        <v/>
      </c>
    </row>
    <row r="1292" spans="1:1" x14ac:dyDescent="0.25">
      <c r="A1292" t="str">
        <f t="shared" si="42"/>
        <v/>
      </c>
    </row>
    <row r="1293" spans="1:1" x14ac:dyDescent="0.25">
      <c r="A1293" t="str">
        <f t="shared" si="42"/>
        <v/>
      </c>
    </row>
    <row r="1294" spans="1:1" x14ac:dyDescent="0.25">
      <c r="A1294" t="str">
        <f t="shared" si="42"/>
        <v/>
      </c>
    </row>
    <row r="1295" spans="1:1" x14ac:dyDescent="0.25">
      <c r="A1295" t="str">
        <f t="shared" si="42"/>
        <v/>
      </c>
    </row>
    <row r="1296" spans="1:1" x14ac:dyDescent="0.25">
      <c r="A1296" t="str">
        <f t="shared" si="42"/>
        <v/>
      </c>
    </row>
    <row r="1297" spans="1:1" x14ac:dyDescent="0.25">
      <c r="A1297" t="str">
        <f t="shared" si="42"/>
        <v/>
      </c>
    </row>
    <row r="1298" spans="1:1" x14ac:dyDescent="0.25">
      <c r="A1298" t="str">
        <f t="shared" si="42"/>
        <v/>
      </c>
    </row>
    <row r="1299" spans="1:1" x14ac:dyDescent="0.25">
      <c r="A1299" t="str">
        <f t="shared" si="42"/>
        <v/>
      </c>
    </row>
    <row r="1300" spans="1:1" x14ac:dyDescent="0.25">
      <c r="A1300" t="str">
        <f t="shared" si="42"/>
        <v/>
      </c>
    </row>
    <row r="1301" spans="1:1" x14ac:dyDescent="0.25">
      <c r="A1301" t="str">
        <f t="shared" si="42"/>
        <v/>
      </c>
    </row>
    <row r="1302" spans="1:1" x14ac:dyDescent="0.25">
      <c r="A1302" t="str">
        <f t="shared" si="42"/>
        <v/>
      </c>
    </row>
    <row r="1303" spans="1:1" x14ac:dyDescent="0.25">
      <c r="A1303" t="str">
        <f t="shared" si="42"/>
        <v/>
      </c>
    </row>
    <row r="1304" spans="1:1" x14ac:dyDescent="0.25">
      <c r="A1304" t="str">
        <f t="shared" si="42"/>
        <v/>
      </c>
    </row>
    <row r="1305" spans="1:1" x14ac:dyDescent="0.25">
      <c r="A1305" t="str">
        <f t="shared" si="42"/>
        <v/>
      </c>
    </row>
    <row r="1306" spans="1:1" x14ac:dyDescent="0.25">
      <c r="A1306" t="str">
        <f t="shared" si="42"/>
        <v/>
      </c>
    </row>
    <row r="1307" spans="1:1" x14ac:dyDescent="0.25">
      <c r="A1307" t="str">
        <f t="shared" si="42"/>
        <v/>
      </c>
    </row>
    <row r="1308" spans="1:1" x14ac:dyDescent="0.25">
      <c r="A1308" t="str">
        <f t="shared" si="42"/>
        <v/>
      </c>
    </row>
    <row r="1309" spans="1:1" x14ac:dyDescent="0.25">
      <c r="A1309" t="str">
        <f t="shared" si="42"/>
        <v/>
      </c>
    </row>
    <row r="1310" spans="1:1" x14ac:dyDescent="0.25">
      <c r="A1310" t="str">
        <f t="shared" si="42"/>
        <v/>
      </c>
    </row>
    <row r="1311" spans="1:1" x14ac:dyDescent="0.25">
      <c r="A1311" t="str">
        <f t="shared" si="42"/>
        <v/>
      </c>
    </row>
    <row r="1312" spans="1:1" x14ac:dyDescent="0.25">
      <c r="A1312" t="str">
        <f t="shared" si="42"/>
        <v/>
      </c>
    </row>
    <row r="1313" spans="1:1" x14ac:dyDescent="0.25">
      <c r="A1313" t="str">
        <f t="shared" si="42"/>
        <v/>
      </c>
    </row>
    <row r="1314" spans="1:1" x14ac:dyDescent="0.25">
      <c r="A1314" t="str">
        <f t="shared" si="42"/>
        <v/>
      </c>
    </row>
    <row r="1315" spans="1:1" x14ac:dyDescent="0.25">
      <c r="A1315" t="str">
        <f t="shared" si="42"/>
        <v/>
      </c>
    </row>
    <row r="1316" spans="1:1" x14ac:dyDescent="0.25">
      <c r="A1316" t="str">
        <f t="shared" si="42"/>
        <v/>
      </c>
    </row>
    <row r="1317" spans="1:1" x14ac:dyDescent="0.25">
      <c r="A1317" t="str">
        <f t="shared" si="42"/>
        <v/>
      </c>
    </row>
    <row r="1318" spans="1:1" x14ac:dyDescent="0.25">
      <c r="A1318" t="str">
        <f t="shared" si="42"/>
        <v/>
      </c>
    </row>
    <row r="1319" spans="1:1" x14ac:dyDescent="0.25">
      <c r="A1319" t="str">
        <f t="shared" si="42"/>
        <v/>
      </c>
    </row>
    <row r="1320" spans="1:1" x14ac:dyDescent="0.25">
      <c r="A1320" t="str">
        <f t="shared" si="42"/>
        <v/>
      </c>
    </row>
    <row r="1321" spans="1:1" x14ac:dyDescent="0.25">
      <c r="A1321" t="str">
        <f t="shared" si="42"/>
        <v/>
      </c>
    </row>
    <row r="1322" spans="1:1" x14ac:dyDescent="0.25">
      <c r="A1322" t="str">
        <f t="shared" si="42"/>
        <v/>
      </c>
    </row>
    <row r="1323" spans="1:1" x14ac:dyDescent="0.25">
      <c r="A1323" t="str">
        <f t="shared" si="42"/>
        <v/>
      </c>
    </row>
    <row r="1324" spans="1:1" x14ac:dyDescent="0.25">
      <c r="A1324" t="str">
        <f t="shared" si="42"/>
        <v/>
      </c>
    </row>
    <row r="1325" spans="1:1" x14ac:dyDescent="0.25">
      <c r="A1325" t="str">
        <f t="shared" si="42"/>
        <v/>
      </c>
    </row>
    <row r="1326" spans="1:1" x14ac:dyDescent="0.25">
      <c r="A1326" t="str">
        <f t="shared" si="42"/>
        <v/>
      </c>
    </row>
    <row r="1327" spans="1:1" x14ac:dyDescent="0.25">
      <c r="A1327" t="str">
        <f t="shared" si="42"/>
        <v/>
      </c>
    </row>
    <row r="1328" spans="1:1" x14ac:dyDescent="0.25">
      <c r="A1328" t="str">
        <f t="shared" si="42"/>
        <v/>
      </c>
    </row>
    <row r="1329" spans="1:1" x14ac:dyDescent="0.25">
      <c r="A1329" t="str">
        <f t="shared" si="42"/>
        <v/>
      </c>
    </row>
    <row r="1330" spans="1:1" x14ac:dyDescent="0.25">
      <c r="A1330" t="str">
        <f t="shared" si="42"/>
        <v/>
      </c>
    </row>
    <row r="1331" spans="1:1" x14ac:dyDescent="0.25">
      <c r="A1331" t="str">
        <f t="shared" si="42"/>
        <v/>
      </c>
    </row>
    <row r="1332" spans="1:1" x14ac:dyDescent="0.25">
      <c r="A1332" t="str">
        <f t="shared" si="42"/>
        <v/>
      </c>
    </row>
    <row r="1333" spans="1:1" x14ac:dyDescent="0.25">
      <c r="A1333" t="str">
        <f t="shared" si="42"/>
        <v/>
      </c>
    </row>
    <row r="1334" spans="1:1" x14ac:dyDescent="0.25">
      <c r="A1334" t="str">
        <f t="shared" si="42"/>
        <v/>
      </c>
    </row>
    <row r="1335" spans="1:1" x14ac:dyDescent="0.25">
      <c r="A1335" t="str">
        <f t="shared" si="42"/>
        <v/>
      </c>
    </row>
    <row r="1336" spans="1:1" x14ac:dyDescent="0.25">
      <c r="A1336" t="str">
        <f t="shared" si="42"/>
        <v/>
      </c>
    </row>
    <row r="1337" spans="1:1" x14ac:dyDescent="0.25">
      <c r="A1337" t="str">
        <f t="shared" si="42"/>
        <v/>
      </c>
    </row>
    <row r="1338" spans="1:1" x14ac:dyDescent="0.25">
      <c r="A1338" t="str">
        <f t="shared" si="42"/>
        <v/>
      </c>
    </row>
    <row r="1339" spans="1:1" x14ac:dyDescent="0.25">
      <c r="A1339" t="str">
        <f t="shared" si="42"/>
        <v/>
      </c>
    </row>
    <row r="1340" spans="1:1" x14ac:dyDescent="0.25">
      <c r="A1340" t="str">
        <f t="shared" si="42"/>
        <v/>
      </c>
    </row>
    <row r="1341" spans="1:1" x14ac:dyDescent="0.25">
      <c r="A1341" t="str">
        <f t="shared" si="42"/>
        <v/>
      </c>
    </row>
    <row r="1342" spans="1:1" x14ac:dyDescent="0.25">
      <c r="A1342" t="str">
        <f t="shared" si="42"/>
        <v/>
      </c>
    </row>
    <row r="1343" spans="1:1" x14ac:dyDescent="0.25">
      <c r="A1343" t="str">
        <f t="shared" si="42"/>
        <v/>
      </c>
    </row>
    <row r="1344" spans="1:1" x14ac:dyDescent="0.25">
      <c r="A1344" t="str">
        <f t="shared" si="42"/>
        <v/>
      </c>
    </row>
    <row r="1345" spans="1:1" x14ac:dyDescent="0.25">
      <c r="A1345" t="str">
        <f t="shared" ref="A1345:A1408" si="43">E1345&amp;C1345&amp;D1345</f>
        <v/>
      </c>
    </row>
    <row r="1346" spans="1:1" x14ac:dyDescent="0.25">
      <c r="A1346" t="str">
        <f t="shared" si="43"/>
        <v/>
      </c>
    </row>
    <row r="1347" spans="1:1" x14ac:dyDescent="0.25">
      <c r="A1347" t="str">
        <f t="shared" si="43"/>
        <v/>
      </c>
    </row>
    <row r="1348" spans="1:1" x14ac:dyDescent="0.25">
      <c r="A1348" t="str">
        <f t="shared" si="43"/>
        <v/>
      </c>
    </row>
    <row r="1349" spans="1:1" x14ac:dyDescent="0.25">
      <c r="A1349" t="str">
        <f t="shared" si="43"/>
        <v/>
      </c>
    </row>
    <row r="1350" spans="1:1" x14ac:dyDescent="0.25">
      <c r="A1350" t="str">
        <f t="shared" si="43"/>
        <v/>
      </c>
    </row>
    <row r="1351" spans="1:1" x14ac:dyDescent="0.25">
      <c r="A1351" t="str">
        <f t="shared" si="43"/>
        <v/>
      </c>
    </row>
    <row r="1352" spans="1:1" x14ac:dyDescent="0.25">
      <c r="A1352" t="str">
        <f t="shared" si="43"/>
        <v/>
      </c>
    </row>
    <row r="1353" spans="1:1" x14ac:dyDescent="0.25">
      <c r="A1353" t="str">
        <f t="shared" si="43"/>
        <v/>
      </c>
    </row>
    <row r="1354" spans="1:1" x14ac:dyDescent="0.25">
      <c r="A1354" t="str">
        <f t="shared" si="43"/>
        <v/>
      </c>
    </row>
    <row r="1355" spans="1:1" x14ac:dyDescent="0.25">
      <c r="A1355" t="str">
        <f t="shared" si="43"/>
        <v/>
      </c>
    </row>
    <row r="1356" spans="1:1" x14ac:dyDescent="0.25">
      <c r="A1356" t="str">
        <f t="shared" si="43"/>
        <v/>
      </c>
    </row>
    <row r="1357" spans="1:1" x14ac:dyDescent="0.25">
      <c r="A1357" t="str">
        <f t="shared" si="43"/>
        <v/>
      </c>
    </row>
    <row r="1358" spans="1:1" x14ac:dyDescent="0.25">
      <c r="A1358" t="str">
        <f t="shared" si="43"/>
        <v/>
      </c>
    </row>
    <row r="1359" spans="1:1" x14ac:dyDescent="0.25">
      <c r="A1359" t="str">
        <f t="shared" si="43"/>
        <v/>
      </c>
    </row>
    <row r="1360" spans="1:1" x14ac:dyDescent="0.25">
      <c r="A1360" t="str">
        <f t="shared" si="43"/>
        <v/>
      </c>
    </row>
    <row r="1361" spans="1:1" x14ac:dyDescent="0.25">
      <c r="A1361" t="str">
        <f t="shared" si="43"/>
        <v/>
      </c>
    </row>
    <row r="1362" spans="1:1" x14ac:dyDescent="0.25">
      <c r="A1362" t="str">
        <f t="shared" si="43"/>
        <v/>
      </c>
    </row>
    <row r="1363" spans="1:1" x14ac:dyDescent="0.25">
      <c r="A1363" t="str">
        <f t="shared" si="43"/>
        <v/>
      </c>
    </row>
    <row r="1364" spans="1:1" x14ac:dyDescent="0.25">
      <c r="A1364" t="str">
        <f t="shared" si="43"/>
        <v/>
      </c>
    </row>
    <row r="1365" spans="1:1" x14ac:dyDescent="0.25">
      <c r="A1365" t="str">
        <f t="shared" si="43"/>
        <v/>
      </c>
    </row>
    <row r="1366" spans="1:1" x14ac:dyDescent="0.25">
      <c r="A1366" t="str">
        <f t="shared" si="43"/>
        <v/>
      </c>
    </row>
    <row r="1367" spans="1:1" x14ac:dyDescent="0.25">
      <c r="A1367" t="str">
        <f t="shared" si="43"/>
        <v/>
      </c>
    </row>
    <row r="1368" spans="1:1" x14ac:dyDescent="0.25">
      <c r="A1368" t="str">
        <f t="shared" si="43"/>
        <v/>
      </c>
    </row>
    <row r="1369" spans="1:1" x14ac:dyDescent="0.25">
      <c r="A1369" t="str">
        <f t="shared" si="43"/>
        <v/>
      </c>
    </row>
    <row r="1370" spans="1:1" x14ac:dyDescent="0.25">
      <c r="A1370" t="str">
        <f t="shared" si="43"/>
        <v/>
      </c>
    </row>
    <row r="1371" spans="1:1" x14ac:dyDescent="0.25">
      <c r="A1371" t="str">
        <f t="shared" si="43"/>
        <v/>
      </c>
    </row>
    <row r="1372" spans="1:1" x14ac:dyDescent="0.25">
      <c r="A1372" t="str">
        <f t="shared" si="43"/>
        <v/>
      </c>
    </row>
    <row r="1373" spans="1:1" x14ac:dyDescent="0.25">
      <c r="A1373" t="str">
        <f t="shared" si="43"/>
        <v/>
      </c>
    </row>
    <row r="1374" spans="1:1" x14ac:dyDescent="0.25">
      <c r="A1374" t="str">
        <f t="shared" si="43"/>
        <v/>
      </c>
    </row>
    <row r="1375" spans="1:1" x14ac:dyDescent="0.25">
      <c r="A1375" t="str">
        <f t="shared" si="43"/>
        <v/>
      </c>
    </row>
    <row r="1376" spans="1:1" x14ac:dyDescent="0.25">
      <c r="A1376" t="str">
        <f t="shared" si="43"/>
        <v/>
      </c>
    </row>
    <row r="1377" spans="1:1" x14ac:dyDescent="0.25">
      <c r="A1377" t="str">
        <f t="shared" si="43"/>
        <v/>
      </c>
    </row>
    <row r="1378" spans="1:1" x14ac:dyDescent="0.25">
      <c r="A1378" t="str">
        <f t="shared" si="43"/>
        <v/>
      </c>
    </row>
    <row r="1379" spans="1:1" x14ac:dyDescent="0.25">
      <c r="A1379" t="str">
        <f t="shared" si="43"/>
        <v/>
      </c>
    </row>
    <row r="1380" spans="1:1" x14ac:dyDescent="0.25">
      <c r="A1380" t="str">
        <f t="shared" si="43"/>
        <v/>
      </c>
    </row>
    <row r="1381" spans="1:1" x14ac:dyDescent="0.25">
      <c r="A1381" t="str">
        <f t="shared" si="43"/>
        <v/>
      </c>
    </row>
    <row r="1382" spans="1:1" x14ac:dyDescent="0.25">
      <c r="A1382" t="str">
        <f t="shared" si="43"/>
        <v/>
      </c>
    </row>
    <row r="1383" spans="1:1" x14ac:dyDescent="0.25">
      <c r="A1383" t="str">
        <f t="shared" si="43"/>
        <v/>
      </c>
    </row>
    <row r="1384" spans="1:1" x14ac:dyDescent="0.25">
      <c r="A1384" t="str">
        <f t="shared" si="43"/>
        <v/>
      </c>
    </row>
    <row r="1385" spans="1:1" x14ac:dyDescent="0.25">
      <c r="A1385" t="str">
        <f t="shared" si="43"/>
        <v/>
      </c>
    </row>
    <row r="1386" spans="1:1" x14ac:dyDescent="0.25">
      <c r="A1386" t="str">
        <f t="shared" si="43"/>
        <v/>
      </c>
    </row>
    <row r="1387" spans="1:1" x14ac:dyDescent="0.25">
      <c r="A1387" t="str">
        <f t="shared" si="43"/>
        <v/>
      </c>
    </row>
    <row r="1388" spans="1:1" x14ac:dyDescent="0.25">
      <c r="A1388" t="str">
        <f t="shared" si="43"/>
        <v/>
      </c>
    </row>
    <row r="1389" spans="1:1" x14ac:dyDescent="0.25">
      <c r="A1389" t="str">
        <f t="shared" si="43"/>
        <v/>
      </c>
    </row>
    <row r="1390" spans="1:1" x14ac:dyDescent="0.25">
      <c r="A1390" t="str">
        <f t="shared" si="43"/>
        <v/>
      </c>
    </row>
    <row r="1391" spans="1:1" x14ac:dyDescent="0.25">
      <c r="A1391" t="str">
        <f t="shared" si="43"/>
        <v/>
      </c>
    </row>
    <row r="1392" spans="1:1" x14ac:dyDescent="0.25">
      <c r="A1392" t="str">
        <f t="shared" si="43"/>
        <v/>
      </c>
    </row>
    <row r="1393" spans="1:1" x14ac:dyDescent="0.25">
      <c r="A1393" t="str">
        <f t="shared" si="43"/>
        <v/>
      </c>
    </row>
    <row r="1394" spans="1:1" x14ac:dyDescent="0.25">
      <c r="A1394" t="str">
        <f t="shared" si="43"/>
        <v/>
      </c>
    </row>
    <row r="1395" spans="1:1" x14ac:dyDescent="0.25">
      <c r="A1395" t="str">
        <f t="shared" si="43"/>
        <v/>
      </c>
    </row>
    <row r="1396" spans="1:1" x14ac:dyDescent="0.25">
      <c r="A1396" t="str">
        <f t="shared" si="43"/>
        <v/>
      </c>
    </row>
    <row r="1397" spans="1:1" x14ac:dyDescent="0.25">
      <c r="A1397" t="str">
        <f t="shared" si="43"/>
        <v/>
      </c>
    </row>
    <row r="1398" spans="1:1" x14ac:dyDescent="0.25">
      <c r="A1398" t="str">
        <f t="shared" si="43"/>
        <v/>
      </c>
    </row>
    <row r="1399" spans="1:1" x14ac:dyDescent="0.25">
      <c r="A1399" t="str">
        <f t="shared" si="43"/>
        <v/>
      </c>
    </row>
    <row r="1400" spans="1:1" x14ac:dyDescent="0.25">
      <c r="A1400" t="str">
        <f t="shared" si="43"/>
        <v/>
      </c>
    </row>
    <row r="1401" spans="1:1" x14ac:dyDescent="0.25">
      <c r="A1401" t="str">
        <f t="shared" si="43"/>
        <v/>
      </c>
    </row>
    <row r="1402" spans="1:1" x14ac:dyDescent="0.25">
      <c r="A1402" t="str">
        <f t="shared" si="43"/>
        <v/>
      </c>
    </row>
    <row r="1403" spans="1:1" x14ac:dyDescent="0.25">
      <c r="A1403" t="str">
        <f t="shared" si="43"/>
        <v/>
      </c>
    </row>
    <row r="1404" spans="1:1" x14ac:dyDescent="0.25">
      <c r="A1404" t="str">
        <f t="shared" si="43"/>
        <v/>
      </c>
    </row>
    <row r="1405" spans="1:1" x14ac:dyDescent="0.25">
      <c r="A1405" t="str">
        <f t="shared" si="43"/>
        <v/>
      </c>
    </row>
    <row r="1406" spans="1:1" x14ac:dyDescent="0.25">
      <c r="A1406" t="str">
        <f t="shared" si="43"/>
        <v/>
      </c>
    </row>
    <row r="1407" spans="1:1" x14ac:dyDescent="0.25">
      <c r="A1407" t="str">
        <f t="shared" si="43"/>
        <v/>
      </c>
    </row>
    <row r="1408" spans="1:1" x14ac:dyDescent="0.25">
      <c r="A1408" t="str">
        <f t="shared" si="43"/>
        <v/>
      </c>
    </row>
    <row r="1409" spans="1:1" x14ac:dyDescent="0.25">
      <c r="A1409" t="str">
        <f t="shared" ref="A1409:A1472" si="44">E1409&amp;C1409&amp;D1409</f>
        <v/>
      </c>
    </row>
    <row r="1410" spans="1:1" x14ac:dyDescent="0.25">
      <c r="A1410" t="str">
        <f t="shared" si="44"/>
        <v/>
      </c>
    </row>
    <row r="1411" spans="1:1" x14ac:dyDescent="0.25">
      <c r="A1411" t="str">
        <f t="shared" si="44"/>
        <v/>
      </c>
    </row>
    <row r="1412" spans="1:1" x14ac:dyDescent="0.25">
      <c r="A1412" t="str">
        <f t="shared" si="44"/>
        <v/>
      </c>
    </row>
    <row r="1413" spans="1:1" x14ac:dyDescent="0.25">
      <c r="A1413" t="str">
        <f t="shared" si="44"/>
        <v/>
      </c>
    </row>
    <row r="1414" spans="1:1" x14ac:dyDescent="0.25">
      <c r="A1414" t="str">
        <f t="shared" si="44"/>
        <v/>
      </c>
    </row>
    <row r="1415" spans="1:1" x14ac:dyDescent="0.25">
      <c r="A1415" t="str">
        <f t="shared" si="44"/>
        <v/>
      </c>
    </row>
    <row r="1416" spans="1:1" x14ac:dyDescent="0.25">
      <c r="A1416" t="str">
        <f t="shared" si="44"/>
        <v/>
      </c>
    </row>
    <row r="1417" spans="1:1" x14ac:dyDescent="0.25">
      <c r="A1417" t="str">
        <f t="shared" si="44"/>
        <v/>
      </c>
    </row>
    <row r="1418" spans="1:1" x14ac:dyDescent="0.25">
      <c r="A1418" t="str">
        <f t="shared" si="44"/>
        <v/>
      </c>
    </row>
    <row r="1419" spans="1:1" x14ac:dyDescent="0.25">
      <c r="A1419" t="str">
        <f t="shared" si="44"/>
        <v/>
      </c>
    </row>
    <row r="1420" spans="1:1" x14ac:dyDescent="0.25">
      <c r="A1420" t="str">
        <f t="shared" si="44"/>
        <v/>
      </c>
    </row>
    <row r="1421" spans="1:1" x14ac:dyDescent="0.25">
      <c r="A1421" t="str">
        <f t="shared" si="44"/>
        <v/>
      </c>
    </row>
    <row r="1422" spans="1:1" x14ac:dyDescent="0.25">
      <c r="A1422" t="str">
        <f t="shared" si="44"/>
        <v/>
      </c>
    </row>
    <row r="1423" spans="1:1" x14ac:dyDescent="0.25">
      <c r="A1423" t="str">
        <f t="shared" si="44"/>
        <v/>
      </c>
    </row>
    <row r="1424" spans="1:1" x14ac:dyDescent="0.25">
      <c r="A1424" t="str">
        <f t="shared" si="44"/>
        <v/>
      </c>
    </row>
    <row r="1425" spans="1:1" x14ac:dyDescent="0.25">
      <c r="A1425" t="str">
        <f t="shared" si="44"/>
        <v/>
      </c>
    </row>
    <row r="1426" spans="1:1" x14ac:dyDescent="0.25">
      <c r="A1426" t="str">
        <f t="shared" si="44"/>
        <v/>
      </c>
    </row>
    <row r="1427" spans="1:1" x14ac:dyDescent="0.25">
      <c r="A1427" t="str">
        <f t="shared" si="44"/>
        <v/>
      </c>
    </row>
    <row r="1428" spans="1:1" x14ac:dyDescent="0.25">
      <c r="A1428" t="str">
        <f t="shared" si="44"/>
        <v/>
      </c>
    </row>
    <row r="1429" spans="1:1" x14ac:dyDescent="0.25">
      <c r="A1429" t="str">
        <f t="shared" si="44"/>
        <v/>
      </c>
    </row>
    <row r="1430" spans="1:1" x14ac:dyDescent="0.25">
      <c r="A1430" t="str">
        <f t="shared" si="44"/>
        <v/>
      </c>
    </row>
    <row r="1431" spans="1:1" x14ac:dyDescent="0.25">
      <c r="A1431" t="str">
        <f t="shared" si="44"/>
        <v/>
      </c>
    </row>
    <row r="1432" spans="1:1" x14ac:dyDescent="0.25">
      <c r="A1432" t="str">
        <f t="shared" si="44"/>
        <v/>
      </c>
    </row>
    <row r="1433" spans="1:1" x14ac:dyDescent="0.25">
      <c r="A1433" t="str">
        <f t="shared" si="44"/>
        <v/>
      </c>
    </row>
    <row r="1434" spans="1:1" x14ac:dyDescent="0.25">
      <c r="A1434" t="str">
        <f t="shared" si="44"/>
        <v/>
      </c>
    </row>
    <row r="1435" spans="1:1" x14ac:dyDescent="0.25">
      <c r="A1435" t="str">
        <f t="shared" si="44"/>
        <v/>
      </c>
    </row>
    <row r="1436" spans="1:1" x14ac:dyDescent="0.25">
      <c r="A1436" t="str">
        <f t="shared" si="44"/>
        <v/>
      </c>
    </row>
    <row r="1437" spans="1:1" x14ac:dyDescent="0.25">
      <c r="A1437" t="str">
        <f t="shared" si="44"/>
        <v/>
      </c>
    </row>
    <row r="1438" spans="1:1" x14ac:dyDescent="0.25">
      <c r="A1438" t="str">
        <f t="shared" si="44"/>
        <v/>
      </c>
    </row>
    <row r="1439" spans="1:1" x14ac:dyDescent="0.25">
      <c r="A1439" t="str">
        <f t="shared" si="44"/>
        <v/>
      </c>
    </row>
    <row r="1440" spans="1:1" x14ac:dyDescent="0.25">
      <c r="A1440" t="str">
        <f t="shared" si="44"/>
        <v/>
      </c>
    </row>
    <row r="1441" spans="1:1" x14ac:dyDescent="0.25">
      <c r="A1441" t="str">
        <f t="shared" si="44"/>
        <v/>
      </c>
    </row>
    <row r="1442" spans="1:1" x14ac:dyDescent="0.25">
      <c r="A1442" t="str">
        <f t="shared" si="44"/>
        <v/>
      </c>
    </row>
    <row r="1443" spans="1:1" x14ac:dyDescent="0.25">
      <c r="A1443" t="str">
        <f t="shared" si="44"/>
        <v/>
      </c>
    </row>
    <row r="1444" spans="1:1" x14ac:dyDescent="0.25">
      <c r="A1444" t="str">
        <f t="shared" si="44"/>
        <v/>
      </c>
    </row>
    <row r="1445" spans="1:1" x14ac:dyDescent="0.25">
      <c r="A1445" t="str">
        <f t="shared" si="44"/>
        <v/>
      </c>
    </row>
    <row r="1446" spans="1:1" x14ac:dyDescent="0.25">
      <c r="A1446" t="str">
        <f t="shared" si="44"/>
        <v/>
      </c>
    </row>
    <row r="1447" spans="1:1" x14ac:dyDescent="0.25">
      <c r="A1447" t="str">
        <f t="shared" si="44"/>
        <v/>
      </c>
    </row>
    <row r="1448" spans="1:1" x14ac:dyDescent="0.25">
      <c r="A1448" t="str">
        <f t="shared" si="44"/>
        <v/>
      </c>
    </row>
    <row r="1449" spans="1:1" x14ac:dyDescent="0.25">
      <c r="A1449" t="str">
        <f t="shared" si="44"/>
        <v/>
      </c>
    </row>
    <row r="1450" spans="1:1" x14ac:dyDescent="0.25">
      <c r="A1450" t="str">
        <f t="shared" si="44"/>
        <v/>
      </c>
    </row>
    <row r="1451" spans="1:1" x14ac:dyDescent="0.25">
      <c r="A1451" t="str">
        <f t="shared" si="44"/>
        <v/>
      </c>
    </row>
    <row r="1452" spans="1:1" x14ac:dyDescent="0.25">
      <c r="A1452" t="str">
        <f t="shared" si="44"/>
        <v/>
      </c>
    </row>
    <row r="1453" spans="1:1" x14ac:dyDescent="0.25">
      <c r="A1453" t="str">
        <f t="shared" si="44"/>
        <v/>
      </c>
    </row>
    <row r="1454" spans="1:1" x14ac:dyDescent="0.25">
      <c r="A1454" t="str">
        <f t="shared" si="44"/>
        <v/>
      </c>
    </row>
    <row r="1455" spans="1:1" x14ac:dyDescent="0.25">
      <c r="A1455" t="str">
        <f t="shared" si="44"/>
        <v/>
      </c>
    </row>
    <row r="1456" spans="1:1" x14ac:dyDescent="0.25">
      <c r="A1456" t="str">
        <f t="shared" si="44"/>
        <v/>
      </c>
    </row>
    <row r="1457" spans="1:1" x14ac:dyDescent="0.25">
      <c r="A1457" t="str">
        <f t="shared" si="44"/>
        <v/>
      </c>
    </row>
    <row r="1458" spans="1:1" x14ac:dyDescent="0.25">
      <c r="A1458" t="str">
        <f t="shared" si="44"/>
        <v/>
      </c>
    </row>
    <row r="1459" spans="1:1" x14ac:dyDescent="0.25">
      <c r="A1459" t="str">
        <f t="shared" si="44"/>
        <v/>
      </c>
    </row>
    <row r="1460" spans="1:1" x14ac:dyDescent="0.25">
      <c r="A1460" t="str">
        <f t="shared" si="44"/>
        <v/>
      </c>
    </row>
    <row r="1461" spans="1:1" x14ac:dyDescent="0.25">
      <c r="A1461" t="str">
        <f t="shared" si="44"/>
        <v/>
      </c>
    </row>
    <row r="1462" spans="1:1" x14ac:dyDescent="0.25">
      <c r="A1462" t="str">
        <f t="shared" si="44"/>
        <v/>
      </c>
    </row>
    <row r="1463" spans="1:1" x14ac:dyDescent="0.25">
      <c r="A1463" t="str">
        <f t="shared" si="44"/>
        <v/>
      </c>
    </row>
    <row r="1464" spans="1:1" x14ac:dyDescent="0.25">
      <c r="A1464" t="str">
        <f t="shared" si="44"/>
        <v/>
      </c>
    </row>
    <row r="1465" spans="1:1" x14ac:dyDescent="0.25">
      <c r="A1465" t="str">
        <f t="shared" si="44"/>
        <v/>
      </c>
    </row>
    <row r="1466" spans="1:1" x14ac:dyDescent="0.25">
      <c r="A1466" t="str">
        <f t="shared" si="44"/>
        <v/>
      </c>
    </row>
    <row r="1467" spans="1:1" x14ac:dyDescent="0.25">
      <c r="A1467" t="str">
        <f t="shared" si="44"/>
        <v/>
      </c>
    </row>
    <row r="1468" spans="1:1" x14ac:dyDescent="0.25">
      <c r="A1468" t="str">
        <f t="shared" si="44"/>
        <v/>
      </c>
    </row>
    <row r="1469" spans="1:1" x14ac:dyDescent="0.25">
      <c r="A1469" t="str">
        <f t="shared" si="44"/>
        <v/>
      </c>
    </row>
    <row r="1470" spans="1:1" x14ac:dyDescent="0.25">
      <c r="A1470" t="str">
        <f t="shared" si="44"/>
        <v/>
      </c>
    </row>
    <row r="1471" spans="1:1" x14ac:dyDescent="0.25">
      <c r="A1471" t="str">
        <f t="shared" si="44"/>
        <v/>
      </c>
    </row>
    <row r="1472" spans="1:1" x14ac:dyDescent="0.25">
      <c r="A1472" t="str">
        <f t="shared" si="44"/>
        <v/>
      </c>
    </row>
    <row r="1473" spans="1:1" x14ac:dyDescent="0.25">
      <c r="A1473" t="str">
        <f t="shared" ref="A1473:A1536" si="45">E1473&amp;C1473&amp;D1473</f>
        <v/>
      </c>
    </row>
    <row r="1474" spans="1:1" x14ac:dyDescent="0.25">
      <c r="A1474" t="str">
        <f t="shared" si="45"/>
        <v/>
      </c>
    </row>
    <row r="1475" spans="1:1" x14ac:dyDescent="0.25">
      <c r="A1475" t="str">
        <f t="shared" si="45"/>
        <v/>
      </c>
    </row>
    <row r="1476" spans="1:1" x14ac:dyDescent="0.25">
      <c r="A1476" t="str">
        <f t="shared" si="45"/>
        <v/>
      </c>
    </row>
    <row r="1477" spans="1:1" x14ac:dyDescent="0.25">
      <c r="A1477" t="str">
        <f t="shared" si="45"/>
        <v/>
      </c>
    </row>
    <row r="1478" spans="1:1" x14ac:dyDescent="0.25">
      <c r="A1478" t="str">
        <f t="shared" si="45"/>
        <v/>
      </c>
    </row>
    <row r="1479" spans="1:1" x14ac:dyDescent="0.25">
      <c r="A1479" t="str">
        <f t="shared" si="45"/>
        <v/>
      </c>
    </row>
    <row r="1480" spans="1:1" x14ac:dyDescent="0.25">
      <c r="A1480" t="str">
        <f t="shared" si="45"/>
        <v/>
      </c>
    </row>
    <row r="1481" spans="1:1" x14ac:dyDescent="0.25">
      <c r="A1481" t="str">
        <f t="shared" si="45"/>
        <v/>
      </c>
    </row>
    <row r="1482" spans="1:1" x14ac:dyDescent="0.25">
      <c r="A1482" t="str">
        <f t="shared" si="45"/>
        <v/>
      </c>
    </row>
    <row r="1483" spans="1:1" x14ac:dyDescent="0.25">
      <c r="A1483" t="str">
        <f t="shared" si="45"/>
        <v/>
      </c>
    </row>
    <row r="1484" spans="1:1" x14ac:dyDescent="0.25">
      <c r="A1484" t="str">
        <f t="shared" si="45"/>
        <v/>
      </c>
    </row>
    <row r="1485" spans="1:1" x14ac:dyDescent="0.25">
      <c r="A1485" t="str">
        <f t="shared" si="45"/>
        <v/>
      </c>
    </row>
    <row r="1486" spans="1:1" x14ac:dyDescent="0.25">
      <c r="A1486" t="str">
        <f t="shared" si="45"/>
        <v/>
      </c>
    </row>
    <row r="1487" spans="1:1" x14ac:dyDescent="0.25">
      <c r="A1487" t="str">
        <f t="shared" si="45"/>
        <v/>
      </c>
    </row>
    <row r="1488" spans="1:1" x14ac:dyDescent="0.25">
      <c r="A1488" t="str">
        <f t="shared" si="45"/>
        <v/>
      </c>
    </row>
    <row r="1489" spans="1:1" x14ac:dyDescent="0.25">
      <c r="A1489" t="str">
        <f t="shared" si="45"/>
        <v/>
      </c>
    </row>
    <row r="1490" spans="1:1" x14ac:dyDescent="0.25">
      <c r="A1490" t="str">
        <f t="shared" si="45"/>
        <v/>
      </c>
    </row>
    <row r="1491" spans="1:1" x14ac:dyDescent="0.25">
      <c r="A1491" t="str">
        <f t="shared" si="45"/>
        <v/>
      </c>
    </row>
    <row r="1492" spans="1:1" x14ac:dyDescent="0.25">
      <c r="A1492" t="str">
        <f t="shared" si="45"/>
        <v/>
      </c>
    </row>
    <row r="1493" spans="1:1" x14ac:dyDescent="0.25">
      <c r="A1493" t="str">
        <f t="shared" si="45"/>
        <v/>
      </c>
    </row>
    <row r="1494" spans="1:1" x14ac:dyDescent="0.25">
      <c r="A1494" t="str">
        <f t="shared" si="45"/>
        <v/>
      </c>
    </row>
    <row r="1495" spans="1:1" x14ac:dyDescent="0.25">
      <c r="A1495" t="str">
        <f t="shared" si="45"/>
        <v/>
      </c>
    </row>
    <row r="1496" spans="1:1" x14ac:dyDescent="0.25">
      <c r="A1496" t="str">
        <f t="shared" si="45"/>
        <v/>
      </c>
    </row>
    <row r="1497" spans="1:1" x14ac:dyDescent="0.25">
      <c r="A1497" t="str">
        <f t="shared" si="45"/>
        <v/>
      </c>
    </row>
    <row r="1498" spans="1:1" x14ac:dyDescent="0.25">
      <c r="A1498" t="str">
        <f t="shared" si="45"/>
        <v/>
      </c>
    </row>
    <row r="1499" spans="1:1" x14ac:dyDescent="0.25">
      <c r="A1499" t="str">
        <f t="shared" si="45"/>
        <v/>
      </c>
    </row>
    <row r="1500" spans="1:1" x14ac:dyDescent="0.25">
      <c r="A1500" t="str">
        <f t="shared" si="45"/>
        <v/>
      </c>
    </row>
    <row r="1501" spans="1:1" x14ac:dyDescent="0.25">
      <c r="A1501" t="str">
        <f t="shared" si="45"/>
        <v/>
      </c>
    </row>
    <row r="1502" spans="1:1" x14ac:dyDescent="0.25">
      <c r="A1502" t="str">
        <f t="shared" si="45"/>
        <v/>
      </c>
    </row>
    <row r="1503" spans="1:1" x14ac:dyDescent="0.25">
      <c r="A1503" t="str">
        <f t="shared" si="45"/>
        <v/>
      </c>
    </row>
    <row r="1504" spans="1:1" x14ac:dyDescent="0.25">
      <c r="A1504" t="str">
        <f t="shared" si="45"/>
        <v/>
      </c>
    </row>
    <row r="1505" spans="1:1" x14ac:dyDescent="0.25">
      <c r="A1505" t="str">
        <f t="shared" si="45"/>
        <v/>
      </c>
    </row>
    <row r="1506" spans="1:1" x14ac:dyDescent="0.25">
      <c r="A1506" t="str">
        <f t="shared" si="45"/>
        <v/>
      </c>
    </row>
    <row r="1507" spans="1:1" x14ac:dyDescent="0.25">
      <c r="A1507" t="str">
        <f t="shared" si="45"/>
        <v/>
      </c>
    </row>
    <row r="1508" spans="1:1" x14ac:dyDescent="0.25">
      <c r="A1508" t="str">
        <f t="shared" si="45"/>
        <v/>
      </c>
    </row>
    <row r="1509" spans="1:1" x14ac:dyDescent="0.25">
      <c r="A1509" t="str">
        <f t="shared" si="45"/>
        <v/>
      </c>
    </row>
    <row r="1510" spans="1:1" x14ac:dyDescent="0.25">
      <c r="A1510" t="str">
        <f t="shared" si="45"/>
        <v/>
      </c>
    </row>
    <row r="1511" spans="1:1" x14ac:dyDescent="0.25">
      <c r="A1511" t="str">
        <f t="shared" si="45"/>
        <v/>
      </c>
    </row>
    <row r="1512" spans="1:1" x14ac:dyDescent="0.25">
      <c r="A1512" t="str">
        <f t="shared" si="45"/>
        <v/>
      </c>
    </row>
    <row r="1513" spans="1:1" x14ac:dyDescent="0.25">
      <c r="A1513" t="str">
        <f t="shared" si="45"/>
        <v/>
      </c>
    </row>
    <row r="1514" spans="1:1" x14ac:dyDescent="0.25">
      <c r="A1514" t="str">
        <f t="shared" si="45"/>
        <v/>
      </c>
    </row>
    <row r="1515" spans="1:1" x14ac:dyDescent="0.25">
      <c r="A1515" t="str">
        <f t="shared" si="45"/>
        <v/>
      </c>
    </row>
    <row r="1516" spans="1:1" x14ac:dyDescent="0.25">
      <c r="A1516" t="str">
        <f t="shared" si="45"/>
        <v/>
      </c>
    </row>
    <row r="1517" spans="1:1" x14ac:dyDescent="0.25">
      <c r="A1517" t="str">
        <f t="shared" si="45"/>
        <v/>
      </c>
    </row>
    <row r="1518" spans="1:1" x14ac:dyDescent="0.25">
      <c r="A1518" t="str">
        <f t="shared" si="45"/>
        <v/>
      </c>
    </row>
    <row r="1519" spans="1:1" x14ac:dyDescent="0.25">
      <c r="A1519" t="str">
        <f t="shared" si="45"/>
        <v/>
      </c>
    </row>
    <row r="1520" spans="1:1" x14ac:dyDescent="0.25">
      <c r="A1520" t="str">
        <f t="shared" si="45"/>
        <v/>
      </c>
    </row>
    <row r="1521" spans="1:1" x14ac:dyDescent="0.25">
      <c r="A1521" t="str">
        <f t="shared" si="45"/>
        <v/>
      </c>
    </row>
    <row r="1522" spans="1:1" x14ac:dyDescent="0.25">
      <c r="A1522" t="str">
        <f t="shared" si="45"/>
        <v/>
      </c>
    </row>
    <row r="1523" spans="1:1" x14ac:dyDescent="0.25">
      <c r="A1523" t="str">
        <f t="shared" si="45"/>
        <v/>
      </c>
    </row>
    <row r="1524" spans="1:1" x14ac:dyDescent="0.25">
      <c r="A1524" t="str">
        <f t="shared" si="45"/>
        <v/>
      </c>
    </row>
    <row r="1525" spans="1:1" x14ac:dyDescent="0.25">
      <c r="A1525" t="str">
        <f t="shared" si="45"/>
        <v/>
      </c>
    </row>
    <row r="1526" spans="1:1" x14ac:dyDescent="0.25">
      <c r="A1526" t="str">
        <f t="shared" si="45"/>
        <v/>
      </c>
    </row>
    <row r="1527" spans="1:1" x14ac:dyDescent="0.25">
      <c r="A1527" t="str">
        <f t="shared" si="45"/>
        <v/>
      </c>
    </row>
    <row r="1528" spans="1:1" x14ac:dyDescent="0.25">
      <c r="A1528" t="str">
        <f t="shared" si="45"/>
        <v/>
      </c>
    </row>
    <row r="1529" spans="1:1" x14ac:dyDescent="0.25">
      <c r="A1529" t="str">
        <f t="shared" si="45"/>
        <v/>
      </c>
    </row>
    <row r="1530" spans="1:1" x14ac:dyDescent="0.25">
      <c r="A1530" t="str">
        <f t="shared" si="45"/>
        <v/>
      </c>
    </row>
    <row r="1531" spans="1:1" x14ac:dyDescent="0.25">
      <c r="A1531" t="str">
        <f t="shared" si="45"/>
        <v/>
      </c>
    </row>
    <row r="1532" spans="1:1" x14ac:dyDescent="0.25">
      <c r="A1532" t="str">
        <f t="shared" si="45"/>
        <v/>
      </c>
    </row>
    <row r="1533" spans="1:1" x14ac:dyDescent="0.25">
      <c r="A1533" t="str">
        <f t="shared" si="45"/>
        <v/>
      </c>
    </row>
    <row r="1534" spans="1:1" x14ac:dyDescent="0.25">
      <c r="A1534" t="str">
        <f t="shared" si="45"/>
        <v/>
      </c>
    </row>
    <row r="1535" spans="1:1" x14ac:dyDescent="0.25">
      <c r="A1535" t="str">
        <f t="shared" si="45"/>
        <v/>
      </c>
    </row>
    <row r="1536" spans="1:1" x14ac:dyDescent="0.25">
      <c r="A1536" t="str">
        <f t="shared" si="45"/>
        <v/>
      </c>
    </row>
    <row r="1537" spans="1:1" x14ac:dyDescent="0.25">
      <c r="A1537" t="str">
        <f t="shared" ref="A1537:A1600" si="46">E1537&amp;C1537&amp;D1537</f>
        <v/>
      </c>
    </row>
    <row r="1538" spans="1:1" x14ac:dyDescent="0.25">
      <c r="A1538" t="str">
        <f t="shared" si="46"/>
        <v/>
      </c>
    </row>
    <row r="1539" spans="1:1" x14ac:dyDescent="0.25">
      <c r="A1539" t="str">
        <f t="shared" si="46"/>
        <v/>
      </c>
    </row>
    <row r="1540" spans="1:1" x14ac:dyDescent="0.25">
      <c r="A1540" t="str">
        <f t="shared" si="46"/>
        <v/>
      </c>
    </row>
    <row r="1541" spans="1:1" x14ac:dyDescent="0.25">
      <c r="A1541" t="str">
        <f t="shared" si="46"/>
        <v/>
      </c>
    </row>
    <row r="1542" spans="1:1" x14ac:dyDescent="0.25">
      <c r="A1542" t="str">
        <f t="shared" si="46"/>
        <v/>
      </c>
    </row>
    <row r="1543" spans="1:1" x14ac:dyDescent="0.25">
      <c r="A1543" t="str">
        <f t="shared" si="46"/>
        <v/>
      </c>
    </row>
    <row r="1544" spans="1:1" x14ac:dyDescent="0.25">
      <c r="A1544" t="str">
        <f t="shared" si="46"/>
        <v/>
      </c>
    </row>
    <row r="1545" spans="1:1" x14ac:dyDescent="0.25">
      <c r="A1545" t="str">
        <f t="shared" si="46"/>
        <v/>
      </c>
    </row>
    <row r="1546" spans="1:1" x14ac:dyDescent="0.25">
      <c r="A1546" t="str">
        <f t="shared" si="46"/>
        <v/>
      </c>
    </row>
    <row r="1547" spans="1:1" x14ac:dyDescent="0.25">
      <c r="A1547" t="str">
        <f t="shared" si="46"/>
        <v/>
      </c>
    </row>
    <row r="1548" spans="1:1" x14ac:dyDescent="0.25">
      <c r="A1548" t="str">
        <f t="shared" si="46"/>
        <v/>
      </c>
    </row>
    <row r="1549" spans="1:1" x14ac:dyDescent="0.25">
      <c r="A1549" t="str">
        <f t="shared" si="46"/>
        <v/>
      </c>
    </row>
    <row r="1550" spans="1:1" x14ac:dyDescent="0.25">
      <c r="A1550" t="str">
        <f t="shared" si="46"/>
        <v/>
      </c>
    </row>
    <row r="1551" spans="1:1" x14ac:dyDescent="0.25">
      <c r="A1551" t="str">
        <f t="shared" si="46"/>
        <v/>
      </c>
    </row>
    <row r="1552" spans="1:1" x14ac:dyDescent="0.25">
      <c r="A1552" t="str">
        <f t="shared" si="46"/>
        <v/>
      </c>
    </row>
    <row r="1553" spans="1:1" x14ac:dyDescent="0.25">
      <c r="A1553" t="str">
        <f t="shared" si="46"/>
        <v/>
      </c>
    </row>
    <row r="1554" spans="1:1" x14ac:dyDescent="0.25">
      <c r="A1554" t="str">
        <f t="shared" si="46"/>
        <v/>
      </c>
    </row>
    <row r="1555" spans="1:1" x14ac:dyDescent="0.25">
      <c r="A1555" t="str">
        <f t="shared" si="46"/>
        <v/>
      </c>
    </row>
    <row r="1556" spans="1:1" x14ac:dyDescent="0.25">
      <c r="A1556" t="str">
        <f t="shared" si="46"/>
        <v/>
      </c>
    </row>
    <row r="1557" spans="1:1" x14ac:dyDescent="0.25">
      <c r="A1557" t="str">
        <f t="shared" si="46"/>
        <v/>
      </c>
    </row>
    <row r="1558" spans="1:1" x14ac:dyDescent="0.25">
      <c r="A1558" t="str">
        <f t="shared" si="46"/>
        <v/>
      </c>
    </row>
    <row r="1559" spans="1:1" x14ac:dyDescent="0.25">
      <c r="A1559" t="str">
        <f t="shared" si="46"/>
        <v/>
      </c>
    </row>
    <row r="1560" spans="1:1" x14ac:dyDescent="0.25">
      <c r="A1560" t="str">
        <f t="shared" si="46"/>
        <v/>
      </c>
    </row>
    <row r="1561" spans="1:1" x14ac:dyDescent="0.25">
      <c r="A1561" t="str">
        <f t="shared" si="46"/>
        <v/>
      </c>
    </row>
    <row r="1562" spans="1:1" x14ac:dyDescent="0.25">
      <c r="A1562" t="str">
        <f t="shared" si="46"/>
        <v/>
      </c>
    </row>
    <row r="1563" spans="1:1" x14ac:dyDescent="0.25">
      <c r="A1563" t="str">
        <f t="shared" si="46"/>
        <v/>
      </c>
    </row>
    <row r="1564" spans="1:1" x14ac:dyDescent="0.25">
      <c r="A1564" t="str">
        <f t="shared" si="46"/>
        <v/>
      </c>
    </row>
    <row r="1565" spans="1:1" x14ac:dyDescent="0.25">
      <c r="A1565" t="str">
        <f t="shared" si="46"/>
        <v/>
      </c>
    </row>
    <row r="1566" spans="1:1" x14ac:dyDescent="0.25">
      <c r="A1566" t="str">
        <f t="shared" si="46"/>
        <v/>
      </c>
    </row>
    <row r="1567" spans="1:1" x14ac:dyDescent="0.25">
      <c r="A1567" t="str">
        <f t="shared" si="46"/>
        <v/>
      </c>
    </row>
    <row r="1568" spans="1:1" x14ac:dyDescent="0.25">
      <c r="A1568" t="str">
        <f t="shared" si="46"/>
        <v/>
      </c>
    </row>
    <row r="1569" spans="1:1" x14ac:dyDescent="0.25">
      <c r="A1569" t="str">
        <f t="shared" si="46"/>
        <v/>
      </c>
    </row>
    <row r="1570" spans="1:1" x14ac:dyDescent="0.25">
      <c r="A1570" t="str">
        <f t="shared" si="46"/>
        <v/>
      </c>
    </row>
    <row r="1571" spans="1:1" x14ac:dyDescent="0.25">
      <c r="A1571" t="str">
        <f t="shared" si="46"/>
        <v/>
      </c>
    </row>
    <row r="1572" spans="1:1" x14ac:dyDescent="0.25">
      <c r="A1572" t="str">
        <f t="shared" si="46"/>
        <v/>
      </c>
    </row>
    <row r="1573" spans="1:1" x14ac:dyDescent="0.25">
      <c r="A1573" t="str">
        <f t="shared" si="46"/>
        <v/>
      </c>
    </row>
    <row r="1574" spans="1:1" x14ac:dyDescent="0.25">
      <c r="A1574" t="str">
        <f t="shared" si="46"/>
        <v/>
      </c>
    </row>
    <row r="1575" spans="1:1" x14ac:dyDescent="0.25">
      <c r="A1575" t="str">
        <f t="shared" si="46"/>
        <v/>
      </c>
    </row>
    <row r="1576" spans="1:1" x14ac:dyDescent="0.25">
      <c r="A1576" t="str">
        <f t="shared" si="46"/>
        <v/>
      </c>
    </row>
    <row r="1577" spans="1:1" x14ac:dyDescent="0.25">
      <c r="A1577" t="str">
        <f t="shared" si="46"/>
        <v/>
      </c>
    </row>
    <row r="1578" spans="1:1" x14ac:dyDescent="0.25">
      <c r="A1578" t="str">
        <f t="shared" si="46"/>
        <v/>
      </c>
    </row>
    <row r="1579" spans="1:1" x14ac:dyDescent="0.25">
      <c r="A1579" t="str">
        <f t="shared" si="46"/>
        <v/>
      </c>
    </row>
    <row r="1580" spans="1:1" x14ac:dyDescent="0.25">
      <c r="A1580" t="str">
        <f t="shared" si="46"/>
        <v/>
      </c>
    </row>
    <row r="1581" spans="1:1" x14ac:dyDescent="0.25">
      <c r="A1581" t="str">
        <f t="shared" si="46"/>
        <v/>
      </c>
    </row>
    <row r="1582" spans="1:1" x14ac:dyDescent="0.25">
      <c r="A1582" t="str">
        <f t="shared" si="46"/>
        <v/>
      </c>
    </row>
    <row r="1583" spans="1:1" x14ac:dyDescent="0.25">
      <c r="A1583" t="str">
        <f t="shared" si="46"/>
        <v/>
      </c>
    </row>
    <row r="1584" spans="1:1" x14ac:dyDescent="0.25">
      <c r="A1584" t="str">
        <f t="shared" si="46"/>
        <v/>
      </c>
    </row>
    <row r="1585" spans="1:1" x14ac:dyDescent="0.25">
      <c r="A1585" t="str">
        <f t="shared" si="46"/>
        <v/>
      </c>
    </row>
    <row r="1586" spans="1:1" x14ac:dyDescent="0.25">
      <c r="A1586" t="str">
        <f t="shared" si="46"/>
        <v/>
      </c>
    </row>
    <row r="1587" spans="1:1" x14ac:dyDescent="0.25">
      <c r="A1587" t="str">
        <f t="shared" si="46"/>
        <v/>
      </c>
    </row>
    <row r="1588" spans="1:1" x14ac:dyDescent="0.25">
      <c r="A1588" t="str">
        <f t="shared" si="46"/>
        <v/>
      </c>
    </row>
    <row r="1589" spans="1:1" x14ac:dyDescent="0.25">
      <c r="A1589" t="str">
        <f t="shared" si="46"/>
        <v/>
      </c>
    </row>
    <row r="1590" spans="1:1" x14ac:dyDescent="0.25">
      <c r="A1590" t="str">
        <f t="shared" si="46"/>
        <v/>
      </c>
    </row>
    <row r="1591" spans="1:1" x14ac:dyDescent="0.25">
      <c r="A1591" t="str">
        <f t="shared" si="46"/>
        <v/>
      </c>
    </row>
    <row r="1592" spans="1:1" x14ac:dyDescent="0.25">
      <c r="A1592" t="str">
        <f t="shared" si="46"/>
        <v/>
      </c>
    </row>
    <row r="1593" spans="1:1" x14ac:dyDescent="0.25">
      <c r="A1593" t="str">
        <f t="shared" si="46"/>
        <v/>
      </c>
    </row>
    <row r="1594" spans="1:1" x14ac:dyDescent="0.25">
      <c r="A1594" t="str">
        <f t="shared" si="46"/>
        <v/>
      </c>
    </row>
    <row r="1595" spans="1:1" x14ac:dyDescent="0.25">
      <c r="A1595" t="str">
        <f t="shared" si="46"/>
        <v/>
      </c>
    </row>
    <row r="1596" spans="1:1" x14ac:dyDescent="0.25">
      <c r="A1596" t="str">
        <f t="shared" si="46"/>
        <v/>
      </c>
    </row>
    <row r="1597" spans="1:1" x14ac:dyDescent="0.25">
      <c r="A1597" t="str">
        <f t="shared" si="46"/>
        <v/>
      </c>
    </row>
    <row r="1598" spans="1:1" x14ac:dyDescent="0.25">
      <c r="A1598" t="str">
        <f t="shared" si="46"/>
        <v/>
      </c>
    </row>
    <row r="1599" spans="1:1" x14ac:dyDescent="0.25">
      <c r="A1599" t="str">
        <f t="shared" si="46"/>
        <v/>
      </c>
    </row>
    <row r="1600" spans="1:1" x14ac:dyDescent="0.25">
      <c r="A1600" t="str">
        <f t="shared" si="46"/>
        <v/>
      </c>
    </row>
    <row r="1601" spans="1:1" x14ac:dyDescent="0.25">
      <c r="A1601" t="str">
        <f t="shared" ref="A1601:A1664" si="47">E1601&amp;C1601&amp;D1601</f>
        <v/>
      </c>
    </row>
    <row r="1602" spans="1:1" x14ac:dyDescent="0.25">
      <c r="A1602" t="str">
        <f t="shared" si="47"/>
        <v/>
      </c>
    </row>
    <row r="1603" spans="1:1" x14ac:dyDescent="0.25">
      <c r="A1603" t="str">
        <f t="shared" si="47"/>
        <v/>
      </c>
    </row>
    <row r="1604" spans="1:1" x14ac:dyDescent="0.25">
      <c r="A1604" t="str">
        <f t="shared" si="47"/>
        <v/>
      </c>
    </row>
    <row r="1605" spans="1:1" x14ac:dyDescent="0.25">
      <c r="A1605" t="str">
        <f t="shared" si="47"/>
        <v/>
      </c>
    </row>
    <row r="1606" spans="1:1" x14ac:dyDescent="0.25">
      <c r="A1606" t="str">
        <f t="shared" si="47"/>
        <v/>
      </c>
    </row>
    <row r="1607" spans="1:1" x14ac:dyDescent="0.25">
      <c r="A1607" t="str">
        <f t="shared" si="47"/>
        <v/>
      </c>
    </row>
    <row r="1608" spans="1:1" x14ac:dyDescent="0.25">
      <c r="A1608" t="str">
        <f t="shared" si="47"/>
        <v/>
      </c>
    </row>
    <row r="1609" spans="1:1" x14ac:dyDescent="0.25">
      <c r="A1609" t="str">
        <f t="shared" si="47"/>
        <v/>
      </c>
    </row>
    <row r="1610" spans="1:1" x14ac:dyDescent="0.25">
      <c r="A1610" t="str">
        <f t="shared" si="47"/>
        <v/>
      </c>
    </row>
    <row r="1611" spans="1:1" x14ac:dyDescent="0.25">
      <c r="A1611" t="str">
        <f t="shared" si="47"/>
        <v/>
      </c>
    </row>
    <row r="1612" spans="1:1" x14ac:dyDescent="0.25">
      <c r="A1612" t="str">
        <f t="shared" si="47"/>
        <v/>
      </c>
    </row>
    <row r="1613" spans="1:1" x14ac:dyDescent="0.25">
      <c r="A1613" t="str">
        <f t="shared" si="47"/>
        <v/>
      </c>
    </row>
    <row r="1614" spans="1:1" x14ac:dyDescent="0.25">
      <c r="A1614" t="str">
        <f t="shared" si="47"/>
        <v/>
      </c>
    </row>
    <row r="1615" spans="1:1" x14ac:dyDescent="0.25">
      <c r="A1615" t="str">
        <f t="shared" si="47"/>
        <v/>
      </c>
    </row>
    <row r="1616" spans="1:1" x14ac:dyDescent="0.25">
      <c r="A1616" t="str">
        <f t="shared" si="47"/>
        <v/>
      </c>
    </row>
    <row r="1617" spans="1:1" x14ac:dyDescent="0.25">
      <c r="A1617" t="str">
        <f t="shared" si="47"/>
        <v/>
      </c>
    </row>
    <row r="1618" spans="1:1" x14ac:dyDescent="0.25">
      <c r="A1618" t="str">
        <f t="shared" si="47"/>
        <v/>
      </c>
    </row>
    <row r="1619" spans="1:1" x14ac:dyDescent="0.25">
      <c r="A1619" t="str">
        <f t="shared" si="47"/>
        <v/>
      </c>
    </row>
    <row r="1620" spans="1:1" x14ac:dyDescent="0.25">
      <c r="A1620" t="str">
        <f t="shared" si="47"/>
        <v/>
      </c>
    </row>
    <row r="1621" spans="1:1" x14ac:dyDescent="0.25">
      <c r="A1621" t="str">
        <f t="shared" si="47"/>
        <v/>
      </c>
    </row>
    <row r="1622" spans="1:1" x14ac:dyDescent="0.25">
      <c r="A1622" t="str">
        <f t="shared" si="47"/>
        <v/>
      </c>
    </row>
    <row r="1623" spans="1:1" x14ac:dyDescent="0.25">
      <c r="A1623" t="str">
        <f t="shared" si="47"/>
        <v/>
      </c>
    </row>
    <row r="1624" spans="1:1" x14ac:dyDescent="0.25">
      <c r="A1624" t="str">
        <f t="shared" si="47"/>
        <v/>
      </c>
    </row>
    <row r="1625" spans="1:1" x14ac:dyDescent="0.25">
      <c r="A1625" t="str">
        <f t="shared" si="47"/>
        <v/>
      </c>
    </row>
    <row r="1626" spans="1:1" x14ac:dyDescent="0.25">
      <c r="A1626" t="str">
        <f t="shared" si="47"/>
        <v/>
      </c>
    </row>
    <row r="1627" spans="1:1" x14ac:dyDescent="0.25">
      <c r="A1627" t="str">
        <f t="shared" si="47"/>
        <v/>
      </c>
    </row>
    <row r="1628" spans="1:1" x14ac:dyDescent="0.25">
      <c r="A1628" t="str">
        <f t="shared" si="47"/>
        <v/>
      </c>
    </row>
    <row r="1629" spans="1:1" x14ac:dyDescent="0.25">
      <c r="A1629" t="str">
        <f t="shared" si="47"/>
        <v/>
      </c>
    </row>
    <row r="1630" spans="1:1" x14ac:dyDescent="0.25">
      <c r="A1630" t="str">
        <f t="shared" si="47"/>
        <v/>
      </c>
    </row>
    <row r="1631" spans="1:1" x14ac:dyDescent="0.25">
      <c r="A1631" t="str">
        <f t="shared" si="47"/>
        <v/>
      </c>
    </row>
    <row r="1632" spans="1:1" x14ac:dyDescent="0.25">
      <c r="A1632" t="str">
        <f t="shared" si="47"/>
        <v/>
      </c>
    </row>
    <row r="1633" spans="1:1" x14ac:dyDescent="0.25">
      <c r="A1633" t="str">
        <f t="shared" si="47"/>
        <v/>
      </c>
    </row>
    <row r="1634" spans="1:1" x14ac:dyDescent="0.25">
      <c r="A1634" t="str">
        <f t="shared" si="47"/>
        <v/>
      </c>
    </row>
    <row r="1635" spans="1:1" x14ac:dyDescent="0.25">
      <c r="A1635" t="str">
        <f t="shared" si="47"/>
        <v/>
      </c>
    </row>
    <row r="1636" spans="1:1" x14ac:dyDescent="0.25">
      <c r="A1636" t="str">
        <f t="shared" si="47"/>
        <v/>
      </c>
    </row>
    <row r="1637" spans="1:1" x14ac:dyDescent="0.25">
      <c r="A1637" t="str">
        <f t="shared" si="47"/>
        <v/>
      </c>
    </row>
    <row r="1638" spans="1:1" x14ac:dyDescent="0.25">
      <c r="A1638" t="str">
        <f t="shared" si="47"/>
        <v/>
      </c>
    </row>
    <row r="1639" spans="1:1" x14ac:dyDescent="0.25">
      <c r="A1639" t="str">
        <f t="shared" si="47"/>
        <v/>
      </c>
    </row>
    <row r="1640" spans="1:1" x14ac:dyDescent="0.25">
      <c r="A1640" t="str">
        <f t="shared" si="47"/>
        <v/>
      </c>
    </row>
    <row r="1641" spans="1:1" x14ac:dyDescent="0.25">
      <c r="A1641" t="str">
        <f t="shared" si="47"/>
        <v/>
      </c>
    </row>
    <row r="1642" spans="1:1" x14ac:dyDescent="0.25">
      <c r="A1642" t="str">
        <f t="shared" si="47"/>
        <v/>
      </c>
    </row>
    <row r="1643" spans="1:1" x14ac:dyDescent="0.25">
      <c r="A1643" t="str">
        <f t="shared" si="47"/>
        <v/>
      </c>
    </row>
    <row r="1644" spans="1:1" x14ac:dyDescent="0.25">
      <c r="A1644" t="str">
        <f t="shared" si="47"/>
        <v/>
      </c>
    </row>
    <row r="1645" spans="1:1" x14ac:dyDescent="0.25">
      <c r="A1645" t="str">
        <f t="shared" si="47"/>
        <v/>
      </c>
    </row>
    <row r="1646" spans="1:1" x14ac:dyDescent="0.25">
      <c r="A1646" t="str">
        <f t="shared" si="47"/>
        <v/>
      </c>
    </row>
    <row r="1647" spans="1:1" x14ac:dyDescent="0.25">
      <c r="A1647" t="str">
        <f t="shared" si="47"/>
        <v/>
      </c>
    </row>
    <row r="1648" spans="1:1" x14ac:dyDescent="0.25">
      <c r="A1648" t="str">
        <f t="shared" si="47"/>
        <v/>
      </c>
    </row>
    <row r="1649" spans="1:1" x14ac:dyDescent="0.25">
      <c r="A1649" t="str">
        <f t="shared" si="47"/>
        <v/>
      </c>
    </row>
    <row r="1650" spans="1:1" x14ac:dyDescent="0.25">
      <c r="A1650" t="str">
        <f t="shared" si="47"/>
        <v/>
      </c>
    </row>
    <row r="1651" spans="1:1" x14ac:dyDescent="0.25">
      <c r="A1651" t="str">
        <f t="shared" si="47"/>
        <v/>
      </c>
    </row>
    <row r="1652" spans="1:1" x14ac:dyDescent="0.25">
      <c r="A1652" t="str">
        <f t="shared" si="47"/>
        <v/>
      </c>
    </row>
    <row r="1653" spans="1:1" x14ac:dyDescent="0.25">
      <c r="A1653" t="str">
        <f t="shared" si="47"/>
        <v/>
      </c>
    </row>
    <row r="1654" spans="1:1" x14ac:dyDescent="0.25">
      <c r="A1654" t="str">
        <f t="shared" si="47"/>
        <v/>
      </c>
    </row>
    <row r="1655" spans="1:1" x14ac:dyDescent="0.25">
      <c r="A1655" t="str">
        <f t="shared" si="47"/>
        <v/>
      </c>
    </row>
    <row r="1656" spans="1:1" x14ac:dyDescent="0.25">
      <c r="A1656" t="str">
        <f t="shared" si="47"/>
        <v/>
      </c>
    </row>
    <row r="1657" spans="1:1" x14ac:dyDescent="0.25">
      <c r="A1657" t="str">
        <f t="shared" si="47"/>
        <v/>
      </c>
    </row>
    <row r="1658" spans="1:1" x14ac:dyDescent="0.25">
      <c r="A1658" t="str">
        <f t="shared" si="47"/>
        <v/>
      </c>
    </row>
    <row r="1659" spans="1:1" x14ac:dyDescent="0.25">
      <c r="A1659" t="str">
        <f t="shared" si="47"/>
        <v/>
      </c>
    </row>
    <row r="1660" spans="1:1" x14ac:dyDescent="0.25">
      <c r="A1660" t="str">
        <f t="shared" si="47"/>
        <v/>
      </c>
    </row>
    <row r="1661" spans="1:1" x14ac:dyDescent="0.25">
      <c r="A1661" t="str">
        <f t="shared" si="47"/>
        <v/>
      </c>
    </row>
    <row r="1662" spans="1:1" x14ac:dyDescent="0.25">
      <c r="A1662" t="str">
        <f t="shared" si="47"/>
        <v/>
      </c>
    </row>
    <row r="1663" spans="1:1" x14ac:dyDescent="0.25">
      <c r="A1663" t="str">
        <f t="shared" si="47"/>
        <v/>
      </c>
    </row>
    <row r="1664" spans="1:1" x14ac:dyDescent="0.25">
      <c r="A1664" t="str">
        <f t="shared" si="47"/>
        <v/>
      </c>
    </row>
    <row r="1665" spans="1:1" x14ac:dyDescent="0.25">
      <c r="A1665" t="str">
        <f t="shared" ref="A1665:A1728" si="48">E1665&amp;C1665&amp;D1665</f>
        <v/>
      </c>
    </row>
    <row r="1666" spans="1:1" x14ac:dyDescent="0.25">
      <c r="A1666" t="str">
        <f t="shared" si="48"/>
        <v/>
      </c>
    </row>
    <row r="1667" spans="1:1" x14ac:dyDescent="0.25">
      <c r="A1667" t="str">
        <f t="shared" si="48"/>
        <v/>
      </c>
    </row>
    <row r="1668" spans="1:1" x14ac:dyDescent="0.25">
      <c r="A1668" t="str">
        <f t="shared" si="48"/>
        <v/>
      </c>
    </row>
    <row r="1669" spans="1:1" x14ac:dyDescent="0.25">
      <c r="A1669" t="str">
        <f t="shared" si="48"/>
        <v/>
      </c>
    </row>
    <row r="1670" spans="1:1" x14ac:dyDescent="0.25">
      <c r="A1670" t="str">
        <f t="shared" si="48"/>
        <v/>
      </c>
    </row>
    <row r="1671" spans="1:1" x14ac:dyDescent="0.25">
      <c r="A1671" t="str">
        <f t="shared" si="48"/>
        <v/>
      </c>
    </row>
    <row r="1672" spans="1:1" x14ac:dyDescent="0.25">
      <c r="A1672" t="str">
        <f t="shared" si="48"/>
        <v/>
      </c>
    </row>
    <row r="1673" spans="1:1" x14ac:dyDescent="0.25">
      <c r="A1673" t="str">
        <f t="shared" si="48"/>
        <v/>
      </c>
    </row>
    <row r="1674" spans="1:1" x14ac:dyDescent="0.25">
      <c r="A1674" t="str">
        <f t="shared" si="48"/>
        <v/>
      </c>
    </row>
    <row r="1675" spans="1:1" x14ac:dyDescent="0.25">
      <c r="A1675" t="str">
        <f t="shared" si="48"/>
        <v/>
      </c>
    </row>
    <row r="1676" spans="1:1" x14ac:dyDescent="0.25">
      <c r="A1676" t="str">
        <f t="shared" si="48"/>
        <v/>
      </c>
    </row>
    <row r="1677" spans="1:1" x14ac:dyDescent="0.25">
      <c r="A1677" t="str">
        <f t="shared" si="48"/>
        <v/>
      </c>
    </row>
    <row r="1678" spans="1:1" x14ac:dyDescent="0.25">
      <c r="A1678" t="str">
        <f t="shared" si="48"/>
        <v/>
      </c>
    </row>
    <row r="1679" spans="1:1" x14ac:dyDescent="0.25">
      <c r="A1679" t="str">
        <f t="shared" si="48"/>
        <v/>
      </c>
    </row>
    <row r="1680" spans="1:1" x14ac:dyDescent="0.25">
      <c r="A1680" t="str">
        <f t="shared" si="48"/>
        <v/>
      </c>
    </row>
    <row r="1681" spans="1:1" x14ac:dyDescent="0.25">
      <c r="A1681" t="str">
        <f t="shared" si="48"/>
        <v/>
      </c>
    </row>
    <row r="1682" spans="1:1" x14ac:dyDescent="0.25">
      <c r="A1682" t="str">
        <f t="shared" si="48"/>
        <v/>
      </c>
    </row>
    <row r="1683" spans="1:1" x14ac:dyDescent="0.25">
      <c r="A1683" t="str">
        <f t="shared" si="48"/>
        <v/>
      </c>
    </row>
    <row r="1684" spans="1:1" x14ac:dyDescent="0.25">
      <c r="A1684" t="str">
        <f t="shared" si="48"/>
        <v/>
      </c>
    </row>
    <row r="1685" spans="1:1" x14ac:dyDescent="0.25">
      <c r="A1685" t="str">
        <f t="shared" si="48"/>
        <v/>
      </c>
    </row>
    <row r="1686" spans="1:1" x14ac:dyDescent="0.25">
      <c r="A1686" t="str">
        <f t="shared" si="48"/>
        <v/>
      </c>
    </row>
    <row r="1687" spans="1:1" x14ac:dyDescent="0.25">
      <c r="A1687" t="str">
        <f t="shared" si="48"/>
        <v/>
      </c>
    </row>
    <row r="1688" spans="1:1" x14ac:dyDescent="0.25">
      <c r="A1688" t="str">
        <f t="shared" si="48"/>
        <v/>
      </c>
    </row>
    <row r="1689" spans="1:1" x14ac:dyDescent="0.25">
      <c r="A1689" t="str">
        <f t="shared" si="48"/>
        <v/>
      </c>
    </row>
    <row r="1690" spans="1:1" x14ac:dyDescent="0.25">
      <c r="A1690" t="str">
        <f t="shared" si="48"/>
        <v/>
      </c>
    </row>
    <row r="1691" spans="1:1" x14ac:dyDescent="0.25">
      <c r="A1691" t="str">
        <f t="shared" si="48"/>
        <v/>
      </c>
    </row>
    <row r="1692" spans="1:1" x14ac:dyDescent="0.25">
      <c r="A1692" t="str">
        <f t="shared" si="48"/>
        <v/>
      </c>
    </row>
    <row r="1693" spans="1:1" x14ac:dyDescent="0.25">
      <c r="A1693" t="str">
        <f t="shared" si="48"/>
        <v/>
      </c>
    </row>
    <row r="1694" spans="1:1" x14ac:dyDescent="0.25">
      <c r="A1694" t="str">
        <f t="shared" si="48"/>
        <v/>
      </c>
    </row>
    <row r="1695" spans="1:1" x14ac:dyDescent="0.25">
      <c r="A1695" t="str">
        <f t="shared" si="48"/>
        <v/>
      </c>
    </row>
    <row r="1696" spans="1:1" x14ac:dyDescent="0.25">
      <c r="A1696" t="str">
        <f t="shared" si="48"/>
        <v/>
      </c>
    </row>
    <row r="1697" spans="1:1" x14ac:dyDescent="0.25">
      <c r="A1697" t="str">
        <f t="shared" si="48"/>
        <v/>
      </c>
    </row>
    <row r="1698" spans="1:1" x14ac:dyDescent="0.25">
      <c r="A1698" t="str">
        <f t="shared" si="48"/>
        <v/>
      </c>
    </row>
    <row r="1699" spans="1:1" x14ac:dyDescent="0.25">
      <c r="A1699" t="str">
        <f t="shared" si="48"/>
        <v/>
      </c>
    </row>
    <row r="1700" spans="1:1" x14ac:dyDescent="0.25">
      <c r="A1700" t="str">
        <f t="shared" si="48"/>
        <v/>
      </c>
    </row>
    <row r="1701" spans="1:1" x14ac:dyDescent="0.25">
      <c r="A1701" t="str">
        <f t="shared" si="48"/>
        <v/>
      </c>
    </row>
    <row r="1702" spans="1:1" x14ac:dyDescent="0.25">
      <c r="A1702" t="str">
        <f t="shared" si="48"/>
        <v/>
      </c>
    </row>
    <row r="1703" spans="1:1" x14ac:dyDescent="0.25">
      <c r="A1703" t="str">
        <f t="shared" si="48"/>
        <v/>
      </c>
    </row>
    <row r="1704" spans="1:1" x14ac:dyDescent="0.25">
      <c r="A1704" t="str">
        <f t="shared" si="48"/>
        <v/>
      </c>
    </row>
    <row r="1705" spans="1:1" x14ac:dyDescent="0.25">
      <c r="A1705" t="str">
        <f t="shared" si="48"/>
        <v/>
      </c>
    </row>
    <row r="1706" spans="1:1" x14ac:dyDescent="0.25">
      <c r="A1706" t="str">
        <f t="shared" si="48"/>
        <v/>
      </c>
    </row>
    <row r="1707" spans="1:1" x14ac:dyDescent="0.25">
      <c r="A1707" t="str">
        <f t="shared" si="48"/>
        <v/>
      </c>
    </row>
    <row r="1708" spans="1:1" x14ac:dyDescent="0.25">
      <c r="A1708" t="str">
        <f t="shared" si="48"/>
        <v/>
      </c>
    </row>
    <row r="1709" spans="1:1" x14ac:dyDescent="0.25">
      <c r="A1709" t="str">
        <f t="shared" si="48"/>
        <v/>
      </c>
    </row>
    <row r="1710" spans="1:1" x14ac:dyDescent="0.25">
      <c r="A1710" t="str">
        <f t="shared" si="48"/>
        <v/>
      </c>
    </row>
    <row r="1711" spans="1:1" x14ac:dyDescent="0.25">
      <c r="A1711" t="str">
        <f t="shared" si="48"/>
        <v/>
      </c>
    </row>
    <row r="1712" spans="1:1" x14ac:dyDescent="0.25">
      <c r="A1712" t="str">
        <f t="shared" si="48"/>
        <v/>
      </c>
    </row>
    <row r="1713" spans="1:1" x14ac:dyDescent="0.25">
      <c r="A1713" t="str">
        <f t="shared" si="48"/>
        <v/>
      </c>
    </row>
    <row r="1714" spans="1:1" x14ac:dyDescent="0.25">
      <c r="A1714" t="str">
        <f t="shared" si="48"/>
        <v/>
      </c>
    </row>
    <row r="1715" spans="1:1" x14ac:dyDescent="0.25">
      <c r="A1715" t="str">
        <f t="shared" si="48"/>
        <v/>
      </c>
    </row>
    <row r="1716" spans="1:1" x14ac:dyDescent="0.25">
      <c r="A1716" t="str">
        <f t="shared" si="48"/>
        <v/>
      </c>
    </row>
    <row r="1717" spans="1:1" x14ac:dyDescent="0.25">
      <c r="A1717" t="str">
        <f t="shared" si="48"/>
        <v/>
      </c>
    </row>
    <row r="1718" spans="1:1" x14ac:dyDescent="0.25">
      <c r="A1718" t="str">
        <f t="shared" si="48"/>
        <v/>
      </c>
    </row>
    <row r="1719" spans="1:1" x14ac:dyDescent="0.25">
      <c r="A1719" t="str">
        <f t="shared" si="48"/>
        <v/>
      </c>
    </row>
    <row r="1720" spans="1:1" x14ac:dyDescent="0.25">
      <c r="A1720" t="str">
        <f t="shared" si="48"/>
        <v/>
      </c>
    </row>
    <row r="1721" spans="1:1" x14ac:dyDescent="0.25">
      <c r="A1721" t="str">
        <f t="shared" si="48"/>
        <v/>
      </c>
    </row>
    <row r="1722" spans="1:1" x14ac:dyDescent="0.25">
      <c r="A1722" t="str">
        <f t="shared" si="48"/>
        <v/>
      </c>
    </row>
    <row r="1723" spans="1:1" x14ac:dyDescent="0.25">
      <c r="A1723" t="str">
        <f t="shared" si="48"/>
        <v/>
      </c>
    </row>
    <row r="1724" spans="1:1" x14ac:dyDescent="0.25">
      <c r="A1724" t="str">
        <f t="shared" si="48"/>
        <v/>
      </c>
    </row>
    <row r="1725" spans="1:1" x14ac:dyDescent="0.25">
      <c r="A1725" t="str">
        <f t="shared" si="48"/>
        <v/>
      </c>
    </row>
    <row r="1726" spans="1:1" x14ac:dyDescent="0.25">
      <c r="A1726" t="str">
        <f t="shared" si="48"/>
        <v/>
      </c>
    </row>
    <row r="1727" spans="1:1" x14ac:dyDescent="0.25">
      <c r="A1727" t="str">
        <f t="shared" si="48"/>
        <v/>
      </c>
    </row>
    <row r="1728" spans="1:1" x14ac:dyDescent="0.25">
      <c r="A1728" t="str">
        <f t="shared" si="48"/>
        <v/>
      </c>
    </row>
    <row r="1729" spans="1:1" x14ac:dyDescent="0.25">
      <c r="A1729" t="str">
        <f t="shared" ref="A1729:A1792" si="49">E1729&amp;C1729&amp;D1729</f>
        <v/>
      </c>
    </row>
    <row r="1730" spans="1:1" x14ac:dyDescent="0.25">
      <c r="A1730" t="str">
        <f t="shared" si="49"/>
        <v/>
      </c>
    </row>
    <row r="1731" spans="1:1" x14ac:dyDescent="0.25">
      <c r="A1731" t="str">
        <f t="shared" si="49"/>
        <v/>
      </c>
    </row>
    <row r="1732" spans="1:1" x14ac:dyDescent="0.25">
      <c r="A1732" t="str">
        <f t="shared" si="49"/>
        <v/>
      </c>
    </row>
    <row r="1733" spans="1:1" x14ac:dyDescent="0.25">
      <c r="A1733" t="str">
        <f t="shared" si="49"/>
        <v/>
      </c>
    </row>
    <row r="1734" spans="1:1" x14ac:dyDescent="0.25">
      <c r="A1734" t="str">
        <f t="shared" si="49"/>
        <v/>
      </c>
    </row>
    <row r="1735" spans="1:1" x14ac:dyDescent="0.25">
      <c r="A1735" t="str">
        <f t="shared" si="49"/>
        <v/>
      </c>
    </row>
    <row r="1736" spans="1:1" x14ac:dyDescent="0.25">
      <c r="A1736" t="str">
        <f t="shared" si="49"/>
        <v/>
      </c>
    </row>
    <row r="1737" spans="1:1" x14ac:dyDescent="0.25">
      <c r="A1737" t="str">
        <f t="shared" si="49"/>
        <v/>
      </c>
    </row>
    <row r="1738" spans="1:1" x14ac:dyDescent="0.25">
      <c r="A1738" t="str">
        <f t="shared" si="49"/>
        <v/>
      </c>
    </row>
    <row r="1739" spans="1:1" x14ac:dyDescent="0.25">
      <c r="A1739" t="str">
        <f t="shared" si="49"/>
        <v/>
      </c>
    </row>
    <row r="1740" spans="1:1" x14ac:dyDescent="0.25">
      <c r="A1740" t="str">
        <f t="shared" si="49"/>
        <v/>
      </c>
    </row>
    <row r="1741" spans="1:1" x14ac:dyDescent="0.25">
      <c r="A1741" t="str">
        <f t="shared" si="49"/>
        <v/>
      </c>
    </row>
    <row r="1742" spans="1:1" x14ac:dyDescent="0.25">
      <c r="A1742" t="str">
        <f t="shared" si="49"/>
        <v/>
      </c>
    </row>
    <row r="1743" spans="1:1" x14ac:dyDescent="0.25">
      <c r="A1743" t="str">
        <f t="shared" si="49"/>
        <v/>
      </c>
    </row>
    <row r="1744" spans="1:1" x14ac:dyDescent="0.25">
      <c r="A1744" t="str">
        <f t="shared" si="49"/>
        <v/>
      </c>
    </row>
    <row r="1745" spans="1:1" x14ac:dyDescent="0.25">
      <c r="A1745" t="str">
        <f t="shared" si="49"/>
        <v/>
      </c>
    </row>
    <row r="1746" spans="1:1" x14ac:dyDescent="0.25">
      <c r="A1746" t="str">
        <f t="shared" si="49"/>
        <v/>
      </c>
    </row>
    <row r="1747" spans="1:1" x14ac:dyDescent="0.25">
      <c r="A1747" t="str">
        <f t="shared" si="49"/>
        <v/>
      </c>
    </row>
    <row r="1748" spans="1:1" x14ac:dyDescent="0.25">
      <c r="A1748" t="str">
        <f t="shared" si="49"/>
        <v/>
      </c>
    </row>
    <row r="1749" spans="1:1" x14ac:dyDescent="0.25">
      <c r="A1749" t="str">
        <f t="shared" si="49"/>
        <v/>
      </c>
    </row>
    <row r="1750" spans="1:1" x14ac:dyDescent="0.25">
      <c r="A1750" t="str">
        <f t="shared" si="49"/>
        <v/>
      </c>
    </row>
    <row r="1751" spans="1:1" x14ac:dyDescent="0.25">
      <c r="A1751" t="str">
        <f t="shared" si="49"/>
        <v/>
      </c>
    </row>
    <row r="1752" spans="1:1" x14ac:dyDescent="0.25">
      <c r="A1752" t="str">
        <f t="shared" si="49"/>
        <v/>
      </c>
    </row>
    <row r="1753" spans="1:1" x14ac:dyDescent="0.25">
      <c r="A1753" t="str">
        <f t="shared" si="49"/>
        <v/>
      </c>
    </row>
    <row r="1754" spans="1:1" x14ac:dyDescent="0.25">
      <c r="A1754" t="str">
        <f t="shared" si="49"/>
        <v/>
      </c>
    </row>
    <row r="1755" spans="1:1" x14ac:dyDescent="0.25">
      <c r="A1755" t="str">
        <f t="shared" si="49"/>
        <v/>
      </c>
    </row>
    <row r="1756" spans="1:1" x14ac:dyDescent="0.25">
      <c r="A1756" t="str">
        <f t="shared" si="49"/>
        <v/>
      </c>
    </row>
    <row r="1757" spans="1:1" x14ac:dyDescent="0.25">
      <c r="A1757" t="str">
        <f t="shared" si="49"/>
        <v/>
      </c>
    </row>
    <row r="1758" spans="1:1" x14ac:dyDescent="0.25">
      <c r="A1758" t="str">
        <f t="shared" si="49"/>
        <v/>
      </c>
    </row>
    <row r="1759" spans="1:1" x14ac:dyDescent="0.25">
      <c r="A1759" t="str">
        <f t="shared" si="49"/>
        <v/>
      </c>
    </row>
    <row r="1760" spans="1:1" x14ac:dyDescent="0.25">
      <c r="A1760" t="str">
        <f t="shared" si="49"/>
        <v/>
      </c>
    </row>
    <row r="1761" spans="1:1" x14ac:dyDescent="0.25">
      <c r="A1761" t="str">
        <f t="shared" si="49"/>
        <v/>
      </c>
    </row>
    <row r="1762" spans="1:1" x14ac:dyDescent="0.25">
      <c r="A1762" t="str">
        <f t="shared" si="49"/>
        <v/>
      </c>
    </row>
    <row r="1763" spans="1:1" x14ac:dyDescent="0.25">
      <c r="A1763" t="str">
        <f t="shared" si="49"/>
        <v/>
      </c>
    </row>
    <row r="1764" spans="1:1" x14ac:dyDescent="0.25">
      <c r="A1764" t="str">
        <f t="shared" si="49"/>
        <v/>
      </c>
    </row>
    <row r="1765" spans="1:1" x14ac:dyDescent="0.25">
      <c r="A1765" t="str">
        <f t="shared" si="49"/>
        <v/>
      </c>
    </row>
    <row r="1766" spans="1:1" x14ac:dyDescent="0.25">
      <c r="A1766" t="str">
        <f t="shared" si="49"/>
        <v/>
      </c>
    </row>
    <row r="1767" spans="1:1" x14ac:dyDescent="0.25">
      <c r="A1767" t="str">
        <f t="shared" si="49"/>
        <v/>
      </c>
    </row>
    <row r="1768" spans="1:1" x14ac:dyDescent="0.25">
      <c r="A1768" t="str">
        <f t="shared" si="49"/>
        <v/>
      </c>
    </row>
    <row r="1769" spans="1:1" x14ac:dyDescent="0.25">
      <c r="A1769" t="str">
        <f t="shared" si="49"/>
        <v/>
      </c>
    </row>
    <row r="1770" spans="1:1" x14ac:dyDescent="0.25">
      <c r="A1770" t="str">
        <f t="shared" si="49"/>
        <v/>
      </c>
    </row>
    <row r="1771" spans="1:1" x14ac:dyDescent="0.25">
      <c r="A1771" t="str">
        <f t="shared" si="49"/>
        <v/>
      </c>
    </row>
    <row r="1772" spans="1:1" x14ac:dyDescent="0.25">
      <c r="A1772" t="str">
        <f t="shared" si="49"/>
        <v/>
      </c>
    </row>
    <row r="1773" spans="1:1" x14ac:dyDescent="0.25">
      <c r="A1773" t="str">
        <f t="shared" si="49"/>
        <v/>
      </c>
    </row>
    <row r="1774" spans="1:1" x14ac:dyDescent="0.25">
      <c r="A1774" t="str">
        <f t="shared" si="49"/>
        <v/>
      </c>
    </row>
    <row r="1775" spans="1:1" x14ac:dyDescent="0.25">
      <c r="A1775" t="str">
        <f t="shared" si="49"/>
        <v/>
      </c>
    </row>
    <row r="1776" spans="1:1" x14ac:dyDescent="0.25">
      <c r="A1776" t="str">
        <f t="shared" si="49"/>
        <v/>
      </c>
    </row>
    <row r="1777" spans="1:1" x14ac:dyDescent="0.25">
      <c r="A1777" t="str">
        <f t="shared" si="49"/>
        <v/>
      </c>
    </row>
    <row r="1778" spans="1:1" x14ac:dyDescent="0.25">
      <c r="A1778" t="str">
        <f t="shared" si="49"/>
        <v/>
      </c>
    </row>
    <row r="1779" spans="1:1" x14ac:dyDescent="0.25">
      <c r="A1779" t="str">
        <f t="shared" si="49"/>
        <v/>
      </c>
    </row>
    <row r="1780" spans="1:1" x14ac:dyDescent="0.25">
      <c r="A1780" t="str">
        <f t="shared" si="49"/>
        <v/>
      </c>
    </row>
    <row r="1781" spans="1:1" x14ac:dyDescent="0.25">
      <c r="A1781" t="str">
        <f t="shared" si="49"/>
        <v/>
      </c>
    </row>
    <row r="1782" spans="1:1" x14ac:dyDescent="0.25">
      <c r="A1782" t="str">
        <f t="shared" si="49"/>
        <v/>
      </c>
    </row>
    <row r="1783" spans="1:1" x14ac:dyDescent="0.25">
      <c r="A1783" t="str">
        <f t="shared" si="49"/>
        <v/>
      </c>
    </row>
    <row r="1784" spans="1:1" x14ac:dyDescent="0.25">
      <c r="A1784" t="str">
        <f t="shared" si="49"/>
        <v/>
      </c>
    </row>
    <row r="1785" spans="1:1" x14ac:dyDescent="0.25">
      <c r="A1785" t="str">
        <f t="shared" si="49"/>
        <v/>
      </c>
    </row>
    <row r="1786" spans="1:1" x14ac:dyDescent="0.25">
      <c r="A1786" t="str">
        <f t="shared" si="49"/>
        <v/>
      </c>
    </row>
    <row r="1787" spans="1:1" x14ac:dyDescent="0.25">
      <c r="A1787" t="str">
        <f t="shared" si="49"/>
        <v/>
      </c>
    </row>
    <row r="1788" spans="1:1" x14ac:dyDescent="0.25">
      <c r="A1788" t="str">
        <f t="shared" si="49"/>
        <v/>
      </c>
    </row>
    <row r="1789" spans="1:1" x14ac:dyDescent="0.25">
      <c r="A1789" t="str">
        <f t="shared" si="49"/>
        <v/>
      </c>
    </row>
    <row r="1790" spans="1:1" x14ac:dyDescent="0.25">
      <c r="A1790" t="str">
        <f t="shared" si="49"/>
        <v/>
      </c>
    </row>
    <row r="1791" spans="1:1" x14ac:dyDescent="0.25">
      <c r="A1791" t="str">
        <f t="shared" si="49"/>
        <v/>
      </c>
    </row>
    <row r="1792" spans="1:1" x14ac:dyDescent="0.25">
      <c r="A1792" t="str">
        <f t="shared" si="49"/>
        <v/>
      </c>
    </row>
    <row r="1793" spans="1:1" x14ac:dyDescent="0.25">
      <c r="A1793" t="str">
        <f t="shared" ref="A1793:A1856" si="50">E1793&amp;C1793&amp;D1793</f>
        <v/>
      </c>
    </row>
    <row r="1794" spans="1:1" x14ac:dyDescent="0.25">
      <c r="A1794" t="str">
        <f t="shared" si="50"/>
        <v/>
      </c>
    </row>
    <row r="1795" spans="1:1" x14ac:dyDescent="0.25">
      <c r="A1795" t="str">
        <f t="shared" si="50"/>
        <v/>
      </c>
    </row>
    <row r="1796" spans="1:1" x14ac:dyDescent="0.25">
      <c r="A1796" t="str">
        <f t="shared" si="50"/>
        <v/>
      </c>
    </row>
    <row r="1797" spans="1:1" x14ac:dyDescent="0.25">
      <c r="A1797" t="str">
        <f t="shared" si="50"/>
        <v/>
      </c>
    </row>
    <row r="1798" spans="1:1" x14ac:dyDescent="0.25">
      <c r="A1798" t="str">
        <f t="shared" si="50"/>
        <v/>
      </c>
    </row>
    <row r="1799" spans="1:1" x14ac:dyDescent="0.25">
      <c r="A1799" t="str">
        <f t="shared" si="50"/>
        <v/>
      </c>
    </row>
    <row r="1800" spans="1:1" x14ac:dyDescent="0.25">
      <c r="A1800" t="str">
        <f t="shared" si="50"/>
        <v/>
      </c>
    </row>
    <row r="1801" spans="1:1" x14ac:dyDescent="0.25">
      <c r="A1801" t="str">
        <f t="shared" si="50"/>
        <v/>
      </c>
    </row>
    <row r="1802" spans="1:1" x14ac:dyDescent="0.25">
      <c r="A1802" t="str">
        <f t="shared" si="50"/>
        <v/>
      </c>
    </row>
    <row r="1803" spans="1:1" x14ac:dyDescent="0.25">
      <c r="A1803" t="str">
        <f t="shared" si="50"/>
        <v/>
      </c>
    </row>
    <row r="1804" spans="1:1" x14ac:dyDescent="0.25">
      <c r="A1804" t="str">
        <f t="shared" si="50"/>
        <v/>
      </c>
    </row>
    <row r="1805" spans="1:1" x14ac:dyDescent="0.25">
      <c r="A1805" t="str">
        <f t="shared" si="50"/>
        <v/>
      </c>
    </row>
    <row r="1806" spans="1:1" x14ac:dyDescent="0.25">
      <c r="A1806" t="str">
        <f t="shared" si="50"/>
        <v/>
      </c>
    </row>
    <row r="1807" spans="1:1" x14ac:dyDescent="0.25">
      <c r="A1807" t="str">
        <f t="shared" si="50"/>
        <v/>
      </c>
    </row>
    <row r="1808" spans="1:1" x14ac:dyDescent="0.25">
      <c r="A1808" t="str">
        <f t="shared" si="50"/>
        <v/>
      </c>
    </row>
    <row r="1809" spans="1:1" x14ac:dyDescent="0.25">
      <c r="A1809" t="str">
        <f t="shared" si="50"/>
        <v/>
      </c>
    </row>
    <row r="1810" spans="1:1" x14ac:dyDescent="0.25">
      <c r="A1810" t="str">
        <f t="shared" si="50"/>
        <v/>
      </c>
    </row>
    <row r="1811" spans="1:1" x14ac:dyDescent="0.25">
      <c r="A1811" t="str">
        <f t="shared" si="50"/>
        <v/>
      </c>
    </row>
    <row r="1812" spans="1:1" x14ac:dyDescent="0.25">
      <c r="A1812" t="str">
        <f t="shared" si="50"/>
        <v/>
      </c>
    </row>
    <row r="1813" spans="1:1" x14ac:dyDescent="0.25">
      <c r="A1813" t="str">
        <f t="shared" si="50"/>
        <v/>
      </c>
    </row>
    <row r="1814" spans="1:1" x14ac:dyDescent="0.25">
      <c r="A1814" t="str">
        <f t="shared" si="50"/>
        <v/>
      </c>
    </row>
    <row r="1815" spans="1:1" x14ac:dyDescent="0.25">
      <c r="A1815" t="str">
        <f t="shared" si="50"/>
        <v/>
      </c>
    </row>
    <row r="1816" spans="1:1" x14ac:dyDescent="0.25">
      <c r="A1816" t="str">
        <f t="shared" si="50"/>
        <v/>
      </c>
    </row>
    <row r="1817" spans="1:1" x14ac:dyDescent="0.25">
      <c r="A1817" t="str">
        <f t="shared" si="50"/>
        <v/>
      </c>
    </row>
    <row r="1818" spans="1:1" x14ac:dyDescent="0.25">
      <c r="A1818" t="str">
        <f t="shared" si="50"/>
        <v/>
      </c>
    </row>
    <row r="1819" spans="1:1" x14ac:dyDescent="0.25">
      <c r="A1819" t="str">
        <f t="shared" si="50"/>
        <v/>
      </c>
    </row>
    <row r="1820" spans="1:1" x14ac:dyDescent="0.25">
      <c r="A1820" t="str">
        <f t="shared" si="50"/>
        <v/>
      </c>
    </row>
    <row r="1821" spans="1:1" x14ac:dyDescent="0.25">
      <c r="A1821" t="str">
        <f t="shared" si="50"/>
        <v/>
      </c>
    </row>
    <row r="1822" spans="1:1" x14ac:dyDescent="0.25">
      <c r="A1822" t="str">
        <f t="shared" si="50"/>
        <v/>
      </c>
    </row>
    <row r="1823" spans="1:1" x14ac:dyDescent="0.25">
      <c r="A1823" t="str">
        <f t="shared" si="50"/>
        <v/>
      </c>
    </row>
    <row r="1824" spans="1:1" x14ac:dyDescent="0.25">
      <c r="A1824" t="str">
        <f t="shared" si="50"/>
        <v/>
      </c>
    </row>
    <row r="1825" spans="1:1" x14ac:dyDescent="0.25">
      <c r="A1825" t="str">
        <f t="shared" si="50"/>
        <v/>
      </c>
    </row>
    <row r="1826" spans="1:1" x14ac:dyDescent="0.25">
      <c r="A1826" t="str">
        <f t="shared" si="50"/>
        <v/>
      </c>
    </row>
    <row r="1827" spans="1:1" x14ac:dyDescent="0.25">
      <c r="A1827" t="str">
        <f t="shared" si="50"/>
        <v/>
      </c>
    </row>
    <row r="1828" spans="1:1" x14ac:dyDescent="0.25">
      <c r="A1828" t="str">
        <f t="shared" si="50"/>
        <v/>
      </c>
    </row>
    <row r="1829" spans="1:1" x14ac:dyDescent="0.25">
      <c r="A1829" t="str">
        <f t="shared" si="50"/>
        <v/>
      </c>
    </row>
    <row r="1830" spans="1:1" x14ac:dyDescent="0.25">
      <c r="A1830" t="str">
        <f t="shared" si="50"/>
        <v/>
      </c>
    </row>
    <row r="1831" spans="1:1" x14ac:dyDescent="0.25">
      <c r="A1831" t="str">
        <f t="shared" si="50"/>
        <v/>
      </c>
    </row>
    <row r="1832" spans="1:1" x14ac:dyDescent="0.25">
      <c r="A1832" t="str">
        <f t="shared" si="50"/>
        <v/>
      </c>
    </row>
    <row r="1833" spans="1:1" x14ac:dyDescent="0.25">
      <c r="A1833" t="str">
        <f t="shared" si="50"/>
        <v/>
      </c>
    </row>
    <row r="1834" spans="1:1" x14ac:dyDescent="0.25">
      <c r="A1834" t="str">
        <f t="shared" si="50"/>
        <v/>
      </c>
    </row>
    <row r="1835" spans="1:1" x14ac:dyDescent="0.25">
      <c r="A1835" t="str">
        <f t="shared" si="50"/>
        <v/>
      </c>
    </row>
    <row r="1836" spans="1:1" x14ac:dyDescent="0.25">
      <c r="A1836" t="str">
        <f t="shared" si="50"/>
        <v/>
      </c>
    </row>
    <row r="1837" spans="1:1" x14ac:dyDescent="0.25">
      <c r="A1837" t="str">
        <f t="shared" si="50"/>
        <v/>
      </c>
    </row>
    <row r="1838" spans="1:1" x14ac:dyDescent="0.25">
      <c r="A1838" t="str">
        <f t="shared" si="50"/>
        <v/>
      </c>
    </row>
    <row r="1839" spans="1:1" x14ac:dyDescent="0.25">
      <c r="A1839" t="str">
        <f t="shared" si="50"/>
        <v/>
      </c>
    </row>
    <row r="1840" spans="1:1" x14ac:dyDescent="0.25">
      <c r="A1840" t="str">
        <f t="shared" si="50"/>
        <v/>
      </c>
    </row>
    <row r="1841" spans="1:1" x14ac:dyDescent="0.25">
      <c r="A1841" t="str">
        <f t="shared" si="50"/>
        <v/>
      </c>
    </row>
    <row r="1842" spans="1:1" x14ac:dyDescent="0.25">
      <c r="A1842" t="str">
        <f t="shared" si="50"/>
        <v/>
      </c>
    </row>
    <row r="1843" spans="1:1" x14ac:dyDescent="0.25">
      <c r="A1843" t="str">
        <f t="shared" si="50"/>
        <v/>
      </c>
    </row>
    <row r="1844" spans="1:1" x14ac:dyDescent="0.25">
      <c r="A1844" t="str">
        <f t="shared" si="50"/>
        <v/>
      </c>
    </row>
    <row r="1845" spans="1:1" x14ac:dyDescent="0.25">
      <c r="A1845" t="str">
        <f t="shared" si="50"/>
        <v/>
      </c>
    </row>
    <row r="1846" spans="1:1" x14ac:dyDescent="0.25">
      <c r="A1846" t="str">
        <f t="shared" si="50"/>
        <v/>
      </c>
    </row>
    <row r="1847" spans="1:1" x14ac:dyDescent="0.25">
      <c r="A1847" t="str">
        <f t="shared" si="50"/>
        <v/>
      </c>
    </row>
    <row r="1848" spans="1:1" x14ac:dyDescent="0.25">
      <c r="A1848" t="str">
        <f t="shared" si="50"/>
        <v/>
      </c>
    </row>
    <row r="1849" spans="1:1" x14ac:dyDescent="0.25">
      <c r="A1849" t="str">
        <f t="shared" si="50"/>
        <v/>
      </c>
    </row>
    <row r="1850" spans="1:1" x14ac:dyDescent="0.25">
      <c r="A1850" t="str">
        <f t="shared" si="50"/>
        <v/>
      </c>
    </row>
    <row r="1851" spans="1:1" x14ac:dyDescent="0.25">
      <c r="A1851" t="str">
        <f t="shared" si="50"/>
        <v/>
      </c>
    </row>
    <row r="1852" spans="1:1" x14ac:dyDescent="0.25">
      <c r="A1852" t="str">
        <f t="shared" si="50"/>
        <v/>
      </c>
    </row>
    <row r="1853" spans="1:1" x14ac:dyDescent="0.25">
      <c r="A1853" t="str">
        <f t="shared" si="50"/>
        <v/>
      </c>
    </row>
    <row r="1854" spans="1:1" x14ac:dyDescent="0.25">
      <c r="A1854" t="str">
        <f t="shared" si="50"/>
        <v/>
      </c>
    </row>
    <row r="1855" spans="1:1" x14ac:dyDescent="0.25">
      <c r="A1855" t="str">
        <f t="shared" si="50"/>
        <v/>
      </c>
    </row>
    <row r="1856" spans="1:1" x14ac:dyDescent="0.25">
      <c r="A1856" t="str">
        <f t="shared" si="50"/>
        <v/>
      </c>
    </row>
    <row r="1857" spans="1:1" x14ac:dyDescent="0.25">
      <c r="A1857" t="str">
        <f t="shared" ref="A1857:A1920" si="51">E1857&amp;C1857&amp;D1857</f>
        <v/>
      </c>
    </row>
    <row r="1858" spans="1:1" x14ac:dyDescent="0.25">
      <c r="A1858" t="str">
        <f t="shared" si="51"/>
        <v/>
      </c>
    </row>
    <row r="1859" spans="1:1" x14ac:dyDescent="0.25">
      <c r="A1859" t="str">
        <f t="shared" si="51"/>
        <v/>
      </c>
    </row>
    <row r="1860" spans="1:1" x14ac:dyDescent="0.25">
      <c r="A1860" t="str">
        <f t="shared" si="51"/>
        <v/>
      </c>
    </row>
    <row r="1861" spans="1:1" x14ac:dyDescent="0.25">
      <c r="A1861" t="str">
        <f t="shared" si="51"/>
        <v/>
      </c>
    </row>
    <row r="1862" spans="1:1" x14ac:dyDescent="0.25">
      <c r="A1862" t="str">
        <f t="shared" si="51"/>
        <v/>
      </c>
    </row>
    <row r="1863" spans="1:1" x14ac:dyDescent="0.25">
      <c r="A1863" t="str">
        <f t="shared" si="51"/>
        <v/>
      </c>
    </row>
    <row r="1864" spans="1:1" x14ac:dyDescent="0.25">
      <c r="A1864" t="str">
        <f t="shared" si="51"/>
        <v/>
      </c>
    </row>
    <row r="1865" spans="1:1" x14ac:dyDescent="0.25">
      <c r="A1865" t="str">
        <f t="shared" si="51"/>
        <v/>
      </c>
    </row>
    <row r="1866" spans="1:1" x14ac:dyDescent="0.25">
      <c r="A1866" t="str">
        <f t="shared" si="51"/>
        <v/>
      </c>
    </row>
    <row r="1867" spans="1:1" x14ac:dyDescent="0.25">
      <c r="A1867" t="str">
        <f t="shared" si="51"/>
        <v/>
      </c>
    </row>
    <row r="1868" spans="1:1" x14ac:dyDescent="0.25">
      <c r="A1868" t="str">
        <f t="shared" si="51"/>
        <v/>
      </c>
    </row>
    <row r="1869" spans="1:1" x14ac:dyDescent="0.25">
      <c r="A1869" t="str">
        <f t="shared" si="51"/>
        <v/>
      </c>
    </row>
    <row r="1870" spans="1:1" x14ac:dyDescent="0.25">
      <c r="A1870" t="str">
        <f t="shared" si="51"/>
        <v/>
      </c>
    </row>
    <row r="1871" spans="1:1" x14ac:dyDescent="0.25">
      <c r="A1871" t="str">
        <f t="shared" si="51"/>
        <v/>
      </c>
    </row>
    <row r="1872" spans="1:1" x14ac:dyDescent="0.25">
      <c r="A1872" t="str">
        <f t="shared" si="51"/>
        <v/>
      </c>
    </row>
    <row r="1873" spans="1:1" x14ac:dyDescent="0.25">
      <c r="A1873" t="str">
        <f t="shared" si="51"/>
        <v/>
      </c>
    </row>
    <row r="1874" spans="1:1" x14ac:dyDescent="0.25">
      <c r="A1874" t="str">
        <f t="shared" si="51"/>
        <v/>
      </c>
    </row>
    <row r="1875" spans="1:1" x14ac:dyDescent="0.25">
      <c r="A1875" t="str">
        <f t="shared" si="51"/>
        <v/>
      </c>
    </row>
    <row r="1876" spans="1:1" x14ac:dyDescent="0.25">
      <c r="A1876" t="str">
        <f t="shared" si="51"/>
        <v/>
      </c>
    </row>
    <row r="1877" spans="1:1" x14ac:dyDescent="0.25">
      <c r="A1877" t="str">
        <f t="shared" si="51"/>
        <v/>
      </c>
    </row>
    <row r="1878" spans="1:1" x14ac:dyDescent="0.25">
      <c r="A1878" t="str">
        <f t="shared" si="51"/>
        <v/>
      </c>
    </row>
    <row r="1879" spans="1:1" x14ac:dyDescent="0.25">
      <c r="A1879" t="str">
        <f t="shared" si="51"/>
        <v/>
      </c>
    </row>
    <row r="1880" spans="1:1" x14ac:dyDescent="0.25">
      <c r="A1880" t="str">
        <f t="shared" si="51"/>
        <v/>
      </c>
    </row>
    <row r="1881" spans="1:1" x14ac:dyDescent="0.25">
      <c r="A1881" t="str">
        <f t="shared" si="51"/>
        <v/>
      </c>
    </row>
    <row r="1882" spans="1:1" x14ac:dyDescent="0.25">
      <c r="A1882" t="str">
        <f t="shared" si="51"/>
        <v/>
      </c>
    </row>
    <row r="1883" spans="1:1" x14ac:dyDescent="0.25">
      <c r="A1883" t="str">
        <f t="shared" si="51"/>
        <v/>
      </c>
    </row>
    <row r="1884" spans="1:1" x14ac:dyDescent="0.25">
      <c r="A1884" t="str">
        <f t="shared" si="51"/>
        <v/>
      </c>
    </row>
    <row r="1885" spans="1:1" x14ac:dyDescent="0.25">
      <c r="A1885" t="str">
        <f t="shared" si="51"/>
        <v/>
      </c>
    </row>
    <row r="1886" spans="1:1" x14ac:dyDescent="0.25">
      <c r="A1886" t="str">
        <f t="shared" si="51"/>
        <v/>
      </c>
    </row>
    <row r="1887" spans="1:1" x14ac:dyDescent="0.25">
      <c r="A1887" t="str">
        <f t="shared" si="51"/>
        <v/>
      </c>
    </row>
    <row r="1888" spans="1:1" x14ac:dyDescent="0.25">
      <c r="A1888" t="str">
        <f t="shared" si="51"/>
        <v/>
      </c>
    </row>
    <row r="1889" spans="1:1" x14ac:dyDescent="0.25">
      <c r="A1889" t="str">
        <f t="shared" si="51"/>
        <v/>
      </c>
    </row>
    <row r="1890" spans="1:1" x14ac:dyDescent="0.25">
      <c r="A1890" t="str">
        <f t="shared" si="51"/>
        <v/>
      </c>
    </row>
    <row r="1891" spans="1:1" x14ac:dyDescent="0.25">
      <c r="A1891" t="str">
        <f t="shared" si="51"/>
        <v/>
      </c>
    </row>
    <row r="1892" spans="1:1" x14ac:dyDescent="0.25">
      <c r="A1892" t="str">
        <f t="shared" si="51"/>
        <v/>
      </c>
    </row>
    <row r="1893" spans="1:1" x14ac:dyDescent="0.25">
      <c r="A1893" t="str">
        <f t="shared" si="51"/>
        <v/>
      </c>
    </row>
    <row r="1894" spans="1:1" x14ac:dyDescent="0.25">
      <c r="A1894" t="str">
        <f t="shared" si="51"/>
        <v/>
      </c>
    </row>
    <row r="1895" spans="1:1" x14ac:dyDescent="0.25">
      <c r="A1895" t="str">
        <f t="shared" si="51"/>
        <v/>
      </c>
    </row>
    <row r="1896" spans="1:1" x14ac:dyDescent="0.25">
      <c r="A1896" t="str">
        <f t="shared" si="51"/>
        <v/>
      </c>
    </row>
    <row r="1897" spans="1:1" x14ac:dyDescent="0.25">
      <c r="A1897" t="str">
        <f t="shared" si="51"/>
        <v/>
      </c>
    </row>
    <row r="1898" spans="1:1" x14ac:dyDescent="0.25">
      <c r="A1898" t="str">
        <f t="shared" si="51"/>
        <v/>
      </c>
    </row>
    <row r="1899" spans="1:1" x14ac:dyDescent="0.25">
      <c r="A1899" t="str">
        <f t="shared" si="51"/>
        <v/>
      </c>
    </row>
    <row r="1900" spans="1:1" x14ac:dyDescent="0.25">
      <c r="A1900" t="str">
        <f t="shared" si="51"/>
        <v/>
      </c>
    </row>
    <row r="1901" spans="1:1" x14ac:dyDescent="0.25">
      <c r="A1901" t="str">
        <f t="shared" si="51"/>
        <v/>
      </c>
    </row>
    <row r="1902" spans="1:1" x14ac:dyDescent="0.25">
      <c r="A1902" t="str">
        <f t="shared" si="51"/>
        <v/>
      </c>
    </row>
    <row r="1903" spans="1:1" x14ac:dyDescent="0.25">
      <c r="A1903" t="str">
        <f t="shared" si="51"/>
        <v/>
      </c>
    </row>
    <row r="1904" spans="1:1" x14ac:dyDescent="0.25">
      <c r="A1904" t="str">
        <f t="shared" si="51"/>
        <v/>
      </c>
    </row>
    <row r="1905" spans="1:1" x14ac:dyDescent="0.25">
      <c r="A1905" t="str">
        <f t="shared" si="51"/>
        <v/>
      </c>
    </row>
    <row r="1906" spans="1:1" x14ac:dyDescent="0.25">
      <c r="A1906" t="str">
        <f t="shared" si="51"/>
        <v/>
      </c>
    </row>
    <row r="1907" spans="1:1" x14ac:dyDescent="0.25">
      <c r="A1907" t="str">
        <f t="shared" si="51"/>
        <v/>
      </c>
    </row>
    <row r="1908" spans="1:1" x14ac:dyDescent="0.25">
      <c r="A1908" t="str">
        <f t="shared" si="51"/>
        <v/>
      </c>
    </row>
    <row r="1909" spans="1:1" x14ac:dyDescent="0.25">
      <c r="A1909" t="str">
        <f t="shared" si="51"/>
        <v/>
      </c>
    </row>
    <row r="1910" spans="1:1" x14ac:dyDescent="0.25">
      <c r="A1910" t="str">
        <f t="shared" si="51"/>
        <v/>
      </c>
    </row>
    <row r="1911" spans="1:1" x14ac:dyDescent="0.25">
      <c r="A1911" t="str">
        <f t="shared" si="51"/>
        <v/>
      </c>
    </row>
    <row r="1912" spans="1:1" x14ac:dyDescent="0.25">
      <c r="A1912" t="str">
        <f t="shared" si="51"/>
        <v/>
      </c>
    </row>
    <row r="1913" spans="1:1" x14ac:dyDescent="0.25">
      <c r="A1913" t="str">
        <f t="shared" si="51"/>
        <v/>
      </c>
    </row>
    <row r="1914" spans="1:1" x14ac:dyDescent="0.25">
      <c r="A1914" t="str">
        <f t="shared" si="51"/>
        <v/>
      </c>
    </row>
    <row r="1915" spans="1:1" x14ac:dyDescent="0.25">
      <c r="A1915" t="str">
        <f t="shared" si="51"/>
        <v/>
      </c>
    </row>
    <row r="1916" spans="1:1" x14ac:dyDescent="0.25">
      <c r="A1916" t="str">
        <f t="shared" si="51"/>
        <v/>
      </c>
    </row>
    <row r="1917" spans="1:1" x14ac:dyDescent="0.25">
      <c r="A1917" t="str">
        <f t="shared" si="51"/>
        <v/>
      </c>
    </row>
    <row r="1918" spans="1:1" x14ac:dyDescent="0.25">
      <c r="A1918" t="str">
        <f t="shared" si="51"/>
        <v/>
      </c>
    </row>
    <row r="1919" spans="1:1" x14ac:dyDescent="0.25">
      <c r="A1919" t="str">
        <f t="shared" si="51"/>
        <v/>
      </c>
    </row>
    <row r="1920" spans="1:1" x14ac:dyDescent="0.25">
      <c r="A1920" t="str">
        <f t="shared" si="51"/>
        <v/>
      </c>
    </row>
    <row r="1921" spans="1:1" x14ac:dyDescent="0.25">
      <c r="A1921" t="str">
        <f t="shared" ref="A1921:A1984" si="52">E1921&amp;C1921&amp;D1921</f>
        <v/>
      </c>
    </row>
    <row r="1922" spans="1:1" x14ac:dyDescent="0.25">
      <c r="A1922" t="str">
        <f t="shared" si="52"/>
        <v/>
      </c>
    </row>
    <row r="1923" spans="1:1" x14ac:dyDescent="0.25">
      <c r="A1923" t="str">
        <f t="shared" si="52"/>
        <v/>
      </c>
    </row>
    <row r="1924" spans="1:1" x14ac:dyDescent="0.25">
      <c r="A1924" t="str">
        <f t="shared" si="52"/>
        <v/>
      </c>
    </row>
    <row r="1925" spans="1:1" x14ac:dyDescent="0.25">
      <c r="A1925" t="str">
        <f t="shared" si="52"/>
        <v/>
      </c>
    </row>
    <row r="1926" spans="1:1" x14ac:dyDescent="0.25">
      <c r="A1926" t="str">
        <f t="shared" si="52"/>
        <v/>
      </c>
    </row>
    <row r="1927" spans="1:1" x14ac:dyDescent="0.25">
      <c r="A1927" t="str">
        <f t="shared" si="52"/>
        <v/>
      </c>
    </row>
    <row r="1928" spans="1:1" x14ac:dyDescent="0.25">
      <c r="A1928" t="str">
        <f t="shared" si="52"/>
        <v/>
      </c>
    </row>
    <row r="1929" spans="1:1" x14ac:dyDescent="0.25">
      <c r="A1929" t="str">
        <f t="shared" si="52"/>
        <v/>
      </c>
    </row>
    <row r="1930" spans="1:1" x14ac:dyDescent="0.25">
      <c r="A1930" t="str">
        <f t="shared" si="52"/>
        <v/>
      </c>
    </row>
    <row r="1931" spans="1:1" x14ac:dyDescent="0.25">
      <c r="A1931" t="str">
        <f t="shared" si="52"/>
        <v/>
      </c>
    </row>
    <row r="1932" spans="1:1" x14ac:dyDescent="0.25">
      <c r="A1932" t="str">
        <f t="shared" si="52"/>
        <v/>
      </c>
    </row>
    <row r="1933" spans="1:1" x14ac:dyDescent="0.25">
      <c r="A1933" t="str">
        <f t="shared" si="52"/>
        <v/>
      </c>
    </row>
    <row r="1934" spans="1:1" x14ac:dyDescent="0.25">
      <c r="A1934" t="str">
        <f t="shared" si="52"/>
        <v/>
      </c>
    </row>
    <row r="1935" spans="1:1" x14ac:dyDescent="0.25">
      <c r="A1935" t="str">
        <f t="shared" si="52"/>
        <v/>
      </c>
    </row>
    <row r="1936" spans="1:1" x14ac:dyDescent="0.25">
      <c r="A1936" t="str">
        <f t="shared" si="52"/>
        <v/>
      </c>
    </row>
    <row r="1937" spans="1:1" x14ac:dyDescent="0.25">
      <c r="A1937" t="str">
        <f t="shared" si="52"/>
        <v/>
      </c>
    </row>
    <row r="1938" spans="1:1" x14ac:dyDescent="0.25">
      <c r="A1938" t="str">
        <f t="shared" si="52"/>
        <v/>
      </c>
    </row>
    <row r="1939" spans="1:1" x14ac:dyDescent="0.25">
      <c r="A1939" t="str">
        <f t="shared" si="52"/>
        <v/>
      </c>
    </row>
    <row r="1940" spans="1:1" x14ac:dyDescent="0.25">
      <c r="A1940" t="str">
        <f t="shared" si="52"/>
        <v/>
      </c>
    </row>
    <row r="1941" spans="1:1" x14ac:dyDescent="0.25">
      <c r="A1941" t="str">
        <f t="shared" si="52"/>
        <v/>
      </c>
    </row>
    <row r="1942" spans="1:1" x14ac:dyDescent="0.25">
      <c r="A1942" t="str">
        <f t="shared" si="52"/>
        <v/>
      </c>
    </row>
    <row r="1943" spans="1:1" x14ac:dyDescent="0.25">
      <c r="A1943" t="str">
        <f t="shared" si="52"/>
        <v/>
      </c>
    </row>
    <row r="1944" spans="1:1" x14ac:dyDescent="0.25">
      <c r="A1944" t="str">
        <f t="shared" si="52"/>
        <v/>
      </c>
    </row>
    <row r="1945" spans="1:1" x14ac:dyDescent="0.25">
      <c r="A1945" t="str">
        <f t="shared" si="52"/>
        <v/>
      </c>
    </row>
    <row r="1946" spans="1:1" x14ac:dyDescent="0.25">
      <c r="A1946" t="str">
        <f t="shared" si="52"/>
        <v/>
      </c>
    </row>
    <row r="1947" spans="1:1" x14ac:dyDescent="0.25">
      <c r="A1947" t="str">
        <f t="shared" si="52"/>
        <v/>
      </c>
    </row>
    <row r="1948" spans="1:1" x14ac:dyDescent="0.25">
      <c r="A1948" t="str">
        <f t="shared" si="52"/>
        <v/>
      </c>
    </row>
    <row r="1949" spans="1:1" x14ac:dyDescent="0.25">
      <c r="A1949" t="str">
        <f t="shared" si="52"/>
        <v/>
      </c>
    </row>
    <row r="1950" spans="1:1" x14ac:dyDescent="0.25">
      <c r="A1950" t="str">
        <f t="shared" si="52"/>
        <v/>
      </c>
    </row>
    <row r="1951" spans="1:1" x14ac:dyDescent="0.25">
      <c r="A1951" t="str">
        <f t="shared" si="52"/>
        <v/>
      </c>
    </row>
    <row r="1952" spans="1:1" x14ac:dyDescent="0.25">
      <c r="A1952" t="str">
        <f t="shared" si="52"/>
        <v/>
      </c>
    </row>
    <row r="1953" spans="1:1" x14ac:dyDescent="0.25">
      <c r="A1953" t="str">
        <f t="shared" si="52"/>
        <v/>
      </c>
    </row>
    <row r="1954" spans="1:1" x14ac:dyDescent="0.25">
      <c r="A1954" t="str">
        <f t="shared" si="52"/>
        <v/>
      </c>
    </row>
    <row r="1955" spans="1:1" x14ac:dyDescent="0.25">
      <c r="A1955" t="str">
        <f t="shared" si="52"/>
        <v/>
      </c>
    </row>
    <row r="1956" spans="1:1" x14ac:dyDescent="0.25">
      <c r="A1956" t="str">
        <f t="shared" si="52"/>
        <v/>
      </c>
    </row>
    <row r="1957" spans="1:1" x14ac:dyDescent="0.25">
      <c r="A1957" t="str">
        <f t="shared" si="52"/>
        <v/>
      </c>
    </row>
    <row r="1958" spans="1:1" x14ac:dyDescent="0.25">
      <c r="A1958" t="str">
        <f t="shared" si="52"/>
        <v/>
      </c>
    </row>
    <row r="1959" spans="1:1" x14ac:dyDescent="0.25">
      <c r="A1959" t="str">
        <f t="shared" si="52"/>
        <v/>
      </c>
    </row>
    <row r="1960" spans="1:1" x14ac:dyDescent="0.25">
      <c r="A1960" t="str">
        <f t="shared" si="52"/>
        <v/>
      </c>
    </row>
    <row r="1961" spans="1:1" x14ac:dyDescent="0.25">
      <c r="A1961" t="str">
        <f t="shared" si="52"/>
        <v/>
      </c>
    </row>
    <row r="1962" spans="1:1" x14ac:dyDescent="0.25">
      <c r="A1962" t="str">
        <f t="shared" si="52"/>
        <v/>
      </c>
    </row>
    <row r="1963" spans="1:1" x14ac:dyDescent="0.25">
      <c r="A1963" t="str">
        <f t="shared" si="52"/>
        <v/>
      </c>
    </row>
    <row r="1964" spans="1:1" x14ac:dyDescent="0.25">
      <c r="A1964" t="str">
        <f t="shared" si="52"/>
        <v/>
      </c>
    </row>
    <row r="1965" spans="1:1" x14ac:dyDescent="0.25">
      <c r="A1965" t="str">
        <f t="shared" si="52"/>
        <v/>
      </c>
    </row>
    <row r="1966" spans="1:1" x14ac:dyDescent="0.25">
      <c r="A1966" t="str">
        <f t="shared" si="52"/>
        <v/>
      </c>
    </row>
    <row r="1967" spans="1:1" x14ac:dyDescent="0.25">
      <c r="A1967" t="str">
        <f t="shared" si="52"/>
        <v/>
      </c>
    </row>
    <row r="1968" spans="1:1" x14ac:dyDescent="0.25">
      <c r="A1968" t="str">
        <f t="shared" si="52"/>
        <v/>
      </c>
    </row>
    <row r="1969" spans="1:1" x14ac:dyDescent="0.25">
      <c r="A1969" t="str">
        <f t="shared" si="52"/>
        <v/>
      </c>
    </row>
    <row r="1970" spans="1:1" x14ac:dyDescent="0.25">
      <c r="A1970" t="str">
        <f t="shared" si="52"/>
        <v/>
      </c>
    </row>
    <row r="1971" spans="1:1" x14ac:dyDescent="0.25">
      <c r="A1971" t="str">
        <f t="shared" si="52"/>
        <v/>
      </c>
    </row>
    <row r="1972" spans="1:1" x14ac:dyDescent="0.25">
      <c r="A1972" t="str">
        <f t="shared" si="52"/>
        <v/>
      </c>
    </row>
    <row r="1973" spans="1:1" x14ac:dyDescent="0.25">
      <c r="A1973" t="str">
        <f t="shared" si="52"/>
        <v/>
      </c>
    </row>
    <row r="1974" spans="1:1" x14ac:dyDescent="0.25">
      <c r="A1974" t="str">
        <f t="shared" si="52"/>
        <v/>
      </c>
    </row>
    <row r="1975" spans="1:1" x14ac:dyDescent="0.25">
      <c r="A1975" t="str">
        <f t="shared" si="52"/>
        <v/>
      </c>
    </row>
    <row r="1976" spans="1:1" x14ac:dyDescent="0.25">
      <c r="A1976" t="str">
        <f t="shared" si="52"/>
        <v/>
      </c>
    </row>
    <row r="1977" spans="1:1" x14ac:dyDescent="0.25">
      <c r="A1977" t="str">
        <f t="shared" si="52"/>
        <v/>
      </c>
    </row>
    <row r="1978" spans="1:1" x14ac:dyDescent="0.25">
      <c r="A1978" t="str">
        <f t="shared" si="52"/>
        <v/>
      </c>
    </row>
    <row r="1979" spans="1:1" x14ac:dyDescent="0.25">
      <c r="A1979" t="str">
        <f t="shared" si="52"/>
        <v/>
      </c>
    </row>
    <row r="1980" spans="1:1" x14ac:dyDescent="0.25">
      <c r="A1980" t="str">
        <f t="shared" si="52"/>
        <v/>
      </c>
    </row>
    <row r="1981" spans="1:1" x14ac:dyDescent="0.25">
      <c r="A1981" t="str">
        <f t="shared" si="52"/>
        <v/>
      </c>
    </row>
    <row r="1982" spans="1:1" x14ac:dyDescent="0.25">
      <c r="A1982" t="str">
        <f t="shared" si="52"/>
        <v/>
      </c>
    </row>
    <row r="1983" spans="1:1" x14ac:dyDescent="0.25">
      <c r="A1983" t="str">
        <f t="shared" si="52"/>
        <v/>
      </c>
    </row>
    <row r="1984" spans="1:1" x14ac:dyDescent="0.25">
      <c r="A1984" t="str">
        <f t="shared" si="52"/>
        <v/>
      </c>
    </row>
    <row r="1985" spans="1:1" x14ac:dyDescent="0.25">
      <c r="A1985" t="str">
        <f t="shared" ref="A1985:A2048" si="53">E1985&amp;C1985&amp;D1985</f>
        <v/>
      </c>
    </row>
    <row r="1986" spans="1:1" x14ac:dyDescent="0.25">
      <c r="A1986" t="str">
        <f t="shared" si="53"/>
        <v/>
      </c>
    </row>
    <row r="1987" spans="1:1" x14ac:dyDescent="0.25">
      <c r="A1987" t="str">
        <f t="shared" si="53"/>
        <v/>
      </c>
    </row>
    <row r="1988" spans="1:1" x14ac:dyDescent="0.25">
      <c r="A1988" t="str">
        <f t="shared" si="53"/>
        <v/>
      </c>
    </row>
    <row r="1989" spans="1:1" x14ac:dyDescent="0.25">
      <c r="A1989" t="str">
        <f t="shared" si="53"/>
        <v/>
      </c>
    </row>
    <row r="1990" spans="1:1" x14ac:dyDescent="0.25">
      <c r="A1990" t="str">
        <f t="shared" si="53"/>
        <v/>
      </c>
    </row>
    <row r="1991" spans="1:1" x14ac:dyDescent="0.25">
      <c r="A1991" t="str">
        <f t="shared" si="53"/>
        <v/>
      </c>
    </row>
    <row r="1992" spans="1:1" x14ac:dyDescent="0.25">
      <c r="A1992" t="str">
        <f t="shared" si="53"/>
        <v/>
      </c>
    </row>
    <row r="1993" spans="1:1" x14ac:dyDescent="0.25">
      <c r="A1993" t="str">
        <f t="shared" si="53"/>
        <v/>
      </c>
    </row>
    <row r="1994" spans="1:1" x14ac:dyDescent="0.25">
      <c r="A1994" t="str">
        <f t="shared" si="53"/>
        <v/>
      </c>
    </row>
    <row r="1995" spans="1:1" x14ac:dyDescent="0.25">
      <c r="A1995" t="str">
        <f t="shared" si="53"/>
        <v/>
      </c>
    </row>
    <row r="1996" spans="1:1" x14ac:dyDescent="0.25">
      <c r="A1996" t="str">
        <f t="shared" si="53"/>
        <v/>
      </c>
    </row>
    <row r="1997" spans="1:1" x14ac:dyDescent="0.25">
      <c r="A1997" t="str">
        <f t="shared" si="53"/>
        <v/>
      </c>
    </row>
    <row r="1998" spans="1:1" x14ac:dyDescent="0.25">
      <c r="A1998" t="str">
        <f t="shared" si="53"/>
        <v/>
      </c>
    </row>
    <row r="1999" spans="1:1" x14ac:dyDescent="0.25">
      <c r="A1999" t="str">
        <f t="shared" si="53"/>
        <v/>
      </c>
    </row>
    <row r="2000" spans="1:1" x14ac:dyDescent="0.25">
      <c r="A2000" t="str">
        <f t="shared" si="53"/>
        <v/>
      </c>
    </row>
    <row r="2001" spans="1:1" x14ac:dyDescent="0.25">
      <c r="A2001" t="str">
        <f t="shared" si="53"/>
        <v/>
      </c>
    </row>
    <row r="2002" spans="1:1" x14ac:dyDescent="0.25">
      <c r="A2002" t="str">
        <f t="shared" si="53"/>
        <v/>
      </c>
    </row>
    <row r="2003" spans="1:1" x14ac:dyDescent="0.25">
      <c r="A2003" t="str">
        <f t="shared" si="53"/>
        <v/>
      </c>
    </row>
    <row r="2004" spans="1:1" x14ac:dyDescent="0.25">
      <c r="A2004" t="str">
        <f t="shared" si="53"/>
        <v/>
      </c>
    </row>
    <row r="2005" spans="1:1" x14ac:dyDescent="0.25">
      <c r="A2005" t="str">
        <f t="shared" si="53"/>
        <v/>
      </c>
    </row>
    <row r="2006" spans="1:1" x14ac:dyDescent="0.25">
      <c r="A2006" t="str">
        <f t="shared" si="53"/>
        <v/>
      </c>
    </row>
    <row r="2007" spans="1:1" x14ac:dyDescent="0.25">
      <c r="A2007" t="str">
        <f t="shared" si="53"/>
        <v/>
      </c>
    </row>
    <row r="2008" spans="1:1" x14ac:dyDescent="0.25">
      <c r="A2008" t="str">
        <f t="shared" si="53"/>
        <v/>
      </c>
    </row>
    <row r="2009" spans="1:1" x14ac:dyDescent="0.25">
      <c r="A2009" t="str">
        <f t="shared" si="53"/>
        <v/>
      </c>
    </row>
    <row r="2010" spans="1:1" x14ac:dyDescent="0.25">
      <c r="A2010" t="str">
        <f t="shared" si="53"/>
        <v/>
      </c>
    </row>
    <row r="2011" spans="1:1" x14ac:dyDescent="0.25">
      <c r="A2011" t="str">
        <f t="shared" si="53"/>
        <v/>
      </c>
    </row>
    <row r="2012" spans="1:1" x14ac:dyDescent="0.25">
      <c r="A2012" t="str">
        <f t="shared" si="53"/>
        <v/>
      </c>
    </row>
    <row r="2013" spans="1:1" x14ac:dyDescent="0.25">
      <c r="A2013" t="str">
        <f t="shared" si="53"/>
        <v/>
      </c>
    </row>
    <row r="2014" spans="1:1" x14ac:dyDescent="0.25">
      <c r="A2014" t="str">
        <f t="shared" si="53"/>
        <v/>
      </c>
    </row>
    <row r="2015" spans="1:1" x14ac:dyDescent="0.25">
      <c r="A2015" t="str">
        <f t="shared" si="53"/>
        <v/>
      </c>
    </row>
    <row r="2016" spans="1:1" x14ac:dyDescent="0.25">
      <c r="A2016" t="str">
        <f t="shared" si="53"/>
        <v/>
      </c>
    </row>
    <row r="2017" spans="1:1" x14ac:dyDescent="0.25">
      <c r="A2017" t="str">
        <f t="shared" si="53"/>
        <v/>
      </c>
    </row>
    <row r="2018" spans="1:1" x14ac:dyDescent="0.25">
      <c r="A2018" t="str">
        <f t="shared" si="53"/>
        <v/>
      </c>
    </row>
    <row r="2019" spans="1:1" x14ac:dyDescent="0.25">
      <c r="A2019" t="str">
        <f t="shared" si="53"/>
        <v/>
      </c>
    </row>
    <row r="2020" spans="1:1" x14ac:dyDescent="0.25">
      <c r="A2020" t="str">
        <f t="shared" si="53"/>
        <v/>
      </c>
    </row>
    <row r="2021" spans="1:1" x14ac:dyDescent="0.25">
      <c r="A2021" t="str">
        <f t="shared" si="53"/>
        <v/>
      </c>
    </row>
    <row r="2022" spans="1:1" x14ac:dyDescent="0.25">
      <c r="A2022" t="str">
        <f t="shared" si="53"/>
        <v/>
      </c>
    </row>
    <row r="2023" spans="1:1" x14ac:dyDescent="0.25">
      <c r="A2023" t="str">
        <f t="shared" si="53"/>
        <v/>
      </c>
    </row>
    <row r="2024" spans="1:1" x14ac:dyDescent="0.25">
      <c r="A2024" t="str">
        <f t="shared" si="53"/>
        <v/>
      </c>
    </row>
    <row r="2025" spans="1:1" x14ac:dyDescent="0.25">
      <c r="A2025" t="str">
        <f t="shared" si="53"/>
        <v/>
      </c>
    </row>
    <row r="2026" spans="1:1" x14ac:dyDescent="0.25">
      <c r="A2026" t="str">
        <f t="shared" si="53"/>
        <v/>
      </c>
    </row>
    <row r="2027" spans="1:1" x14ac:dyDescent="0.25">
      <c r="A2027" t="str">
        <f t="shared" si="53"/>
        <v/>
      </c>
    </row>
    <row r="2028" spans="1:1" x14ac:dyDescent="0.25">
      <c r="A2028" t="str">
        <f t="shared" si="53"/>
        <v/>
      </c>
    </row>
    <row r="2029" spans="1:1" x14ac:dyDescent="0.25">
      <c r="A2029" t="str">
        <f t="shared" si="53"/>
        <v/>
      </c>
    </row>
    <row r="2030" spans="1:1" x14ac:dyDescent="0.25">
      <c r="A2030" t="str">
        <f t="shared" si="53"/>
        <v/>
      </c>
    </row>
    <row r="2031" spans="1:1" x14ac:dyDescent="0.25">
      <c r="A2031" t="str">
        <f t="shared" si="53"/>
        <v/>
      </c>
    </row>
    <row r="2032" spans="1:1" x14ac:dyDescent="0.25">
      <c r="A2032" t="str">
        <f t="shared" si="53"/>
        <v/>
      </c>
    </row>
    <row r="2033" spans="1:1" x14ac:dyDescent="0.25">
      <c r="A2033" t="str">
        <f t="shared" si="53"/>
        <v/>
      </c>
    </row>
    <row r="2034" spans="1:1" x14ac:dyDescent="0.25">
      <c r="A2034" t="str">
        <f t="shared" si="53"/>
        <v/>
      </c>
    </row>
    <row r="2035" spans="1:1" x14ac:dyDescent="0.25">
      <c r="A2035" t="str">
        <f t="shared" si="53"/>
        <v/>
      </c>
    </row>
    <row r="2036" spans="1:1" x14ac:dyDescent="0.25">
      <c r="A2036" t="str">
        <f t="shared" si="53"/>
        <v/>
      </c>
    </row>
    <row r="2037" spans="1:1" x14ac:dyDescent="0.25">
      <c r="A2037" t="str">
        <f t="shared" si="53"/>
        <v/>
      </c>
    </row>
    <row r="2038" spans="1:1" x14ac:dyDescent="0.25">
      <c r="A2038" t="str">
        <f t="shared" si="53"/>
        <v/>
      </c>
    </row>
    <row r="2039" spans="1:1" x14ac:dyDescent="0.25">
      <c r="A2039" t="str">
        <f t="shared" si="53"/>
        <v/>
      </c>
    </row>
    <row r="2040" spans="1:1" x14ac:dyDescent="0.25">
      <c r="A2040" t="str">
        <f t="shared" si="53"/>
        <v/>
      </c>
    </row>
    <row r="2041" spans="1:1" x14ac:dyDescent="0.25">
      <c r="A2041" t="str">
        <f t="shared" si="53"/>
        <v/>
      </c>
    </row>
    <row r="2042" spans="1:1" x14ac:dyDescent="0.25">
      <c r="A2042" t="str">
        <f t="shared" si="53"/>
        <v/>
      </c>
    </row>
    <row r="2043" spans="1:1" x14ac:dyDescent="0.25">
      <c r="A2043" t="str">
        <f t="shared" si="53"/>
        <v/>
      </c>
    </row>
    <row r="2044" spans="1:1" x14ac:dyDescent="0.25">
      <c r="A2044" t="str">
        <f t="shared" si="53"/>
        <v/>
      </c>
    </row>
    <row r="2045" spans="1:1" x14ac:dyDescent="0.25">
      <c r="A2045" t="str">
        <f t="shared" si="53"/>
        <v/>
      </c>
    </row>
    <row r="2046" spans="1:1" x14ac:dyDescent="0.25">
      <c r="A2046" t="str">
        <f t="shared" si="53"/>
        <v/>
      </c>
    </row>
    <row r="2047" spans="1:1" x14ac:dyDescent="0.25">
      <c r="A2047" t="str">
        <f t="shared" si="53"/>
        <v/>
      </c>
    </row>
    <row r="2048" spans="1:1" x14ac:dyDescent="0.25">
      <c r="A2048" t="str">
        <f t="shared" si="53"/>
        <v/>
      </c>
    </row>
    <row r="2049" spans="1:1" x14ac:dyDescent="0.25">
      <c r="A2049" t="str">
        <f t="shared" ref="A2049:A2112" si="54">E2049&amp;C2049&amp;D2049</f>
        <v/>
      </c>
    </row>
    <row r="2050" spans="1:1" x14ac:dyDescent="0.25">
      <c r="A2050" t="str">
        <f t="shared" si="54"/>
        <v/>
      </c>
    </row>
    <row r="2051" spans="1:1" x14ac:dyDescent="0.25">
      <c r="A2051" t="str">
        <f t="shared" si="54"/>
        <v/>
      </c>
    </row>
    <row r="2052" spans="1:1" x14ac:dyDescent="0.25">
      <c r="A2052" t="str">
        <f t="shared" si="54"/>
        <v/>
      </c>
    </row>
    <row r="2053" spans="1:1" x14ac:dyDescent="0.25">
      <c r="A2053" t="str">
        <f t="shared" si="54"/>
        <v/>
      </c>
    </row>
    <row r="2054" spans="1:1" x14ac:dyDescent="0.25">
      <c r="A2054" t="str">
        <f t="shared" si="54"/>
        <v/>
      </c>
    </row>
    <row r="2055" spans="1:1" x14ac:dyDescent="0.25">
      <c r="A2055" t="str">
        <f t="shared" si="54"/>
        <v/>
      </c>
    </row>
    <row r="2056" spans="1:1" x14ac:dyDescent="0.25">
      <c r="A2056" t="str">
        <f t="shared" si="54"/>
        <v/>
      </c>
    </row>
    <row r="2057" spans="1:1" x14ac:dyDescent="0.25">
      <c r="A2057" t="str">
        <f t="shared" si="54"/>
        <v/>
      </c>
    </row>
    <row r="2058" spans="1:1" x14ac:dyDescent="0.25">
      <c r="A2058" t="str">
        <f t="shared" si="54"/>
        <v/>
      </c>
    </row>
    <row r="2059" spans="1:1" x14ac:dyDescent="0.25">
      <c r="A2059" t="str">
        <f t="shared" si="54"/>
        <v/>
      </c>
    </row>
    <row r="2060" spans="1:1" x14ac:dyDescent="0.25">
      <c r="A2060" t="str">
        <f t="shared" si="54"/>
        <v/>
      </c>
    </row>
    <row r="2061" spans="1:1" x14ac:dyDescent="0.25">
      <c r="A2061" t="str">
        <f t="shared" si="54"/>
        <v/>
      </c>
    </row>
    <row r="2062" spans="1:1" x14ac:dyDescent="0.25">
      <c r="A2062" t="str">
        <f t="shared" si="54"/>
        <v/>
      </c>
    </row>
    <row r="2063" spans="1:1" x14ac:dyDescent="0.25">
      <c r="A2063" t="str">
        <f t="shared" si="54"/>
        <v/>
      </c>
    </row>
    <row r="2064" spans="1:1" x14ac:dyDescent="0.25">
      <c r="A2064" t="str">
        <f t="shared" si="54"/>
        <v/>
      </c>
    </row>
    <row r="2065" spans="1:1" x14ac:dyDescent="0.25">
      <c r="A2065" t="str">
        <f t="shared" si="54"/>
        <v/>
      </c>
    </row>
    <row r="2066" spans="1:1" x14ac:dyDescent="0.25">
      <c r="A2066" t="str">
        <f t="shared" si="54"/>
        <v/>
      </c>
    </row>
    <row r="2067" spans="1:1" x14ac:dyDescent="0.25">
      <c r="A2067" t="str">
        <f t="shared" si="54"/>
        <v/>
      </c>
    </row>
    <row r="2068" spans="1:1" x14ac:dyDescent="0.25">
      <c r="A2068" t="str">
        <f t="shared" si="54"/>
        <v/>
      </c>
    </row>
    <row r="2069" spans="1:1" x14ac:dyDescent="0.25">
      <c r="A2069" t="str">
        <f t="shared" si="54"/>
        <v/>
      </c>
    </row>
    <row r="2070" spans="1:1" x14ac:dyDescent="0.25">
      <c r="A2070" t="str">
        <f t="shared" si="54"/>
        <v/>
      </c>
    </row>
    <row r="2071" spans="1:1" x14ac:dyDescent="0.25">
      <c r="A2071" t="str">
        <f t="shared" si="54"/>
        <v/>
      </c>
    </row>
    <row r="2072" spans="1:1" x14ac:dyDescent="0.25">
      <c r="A2072" t="str">
        <f t="shared" si="54"/>
        <v/>
      </c>
    </row>
    <row r="2073" spans="1:1" x14ac:dyDescent="0.25">
      <c r="A2073" t="str">
        <f t="shared" si="54"/>
        <v/>
      </c>
    </row>
    <row r="2074" spans="1:1" x14ac:dyDescent="0.25">
      <c r="A2074" t="str">
        <f t="shared" si="54"/>
        <v/>
      </c>
    </row>
    <row r="2075" spans="1:1" x14ac:dyDescent="0.25">
      <c r="A2075" t="str">
        <f t="shared" si="54"/>
        <v/>
      </c>
    </row>
    <row r="2076" spans="1:1" x14ac:dyDescent="0.25">
      <c r="A2076" t="str">
        <f t="shared" si="54"/>
        <v/>
      </c>
    </row>
    <row r="2077" spans="1:1" x14ac:dyDescent="0.25">
      <c r="A2077" t="str">
        <f t="shared" si="54"/>
        <v/>
      </c>
    </row>
    <row r="2078" spans="1:1" x14ac:dyDescent="0.25">
      <c r="A2078" t="str">
        <f t="shared" si="54"/>
        <v/>
      </c>
    </row>
    <row r="2079" spans="1:1" x14ac:dyDescent="0.25">
      <c r="A2079" t="str">
        <f t="shared" si="54"/>
        <v/>
      </c>
    </row>
    <row r="2080" spans="1:1" x14ac:dyDescent="0.25">
      <c r="A2080" t="str">
        <f t="shared" si="54"/>
        <v/>
      </c>
    </row>
    <row r="2081" spans="1:1" x14ac:dyDescent="0.25">
      <c r="A2081" t="str">
        <f t="shared" si="54"/>
        <v/>
      </c>
    </row>
    <row r="2082" spans="1:1" x14ac:dyDescent="0.25">
      <c r="A2082" t="str">
        <f t="shared" si="54"/>
        <v/>
      </c>
    </row>
    <row r="2083" spans="1:1" x14ac:dyDescent="0.25">
      <c r="A2083" t="str">
        <f t="shared" si="54"/>
        <v/>
      </c>
    </row>
    <row r="2084" spans="1:1" x14ac:dyDescent="0.25">
      <c r="A2084" t="str">
        <f t="shared" si="54"/>
        <v/>
      </c>
    </row>
    <row r="2085" spans="1:1" x14ac:dyDescent="0.25">
      <c r="A2085" t="str">
        <f t="shared" si="54"/>
        <v/>
      </c>
    </row>
    <row r="2086" spans="1:1" x14ac:dyDescent="0.25">
      <c r="A2086" t="str">
        <f t="shared" si="54"/>
        <v/>
      </c>
    </row>
    <row r="2087" spans="1:1" x14ac:dyDescent="0.25">
      <c r="A2087" t="str">
        <f t="shared" si="54"/>
        <v/>
      </c>
    </row>
    <row r="2088" spans="1:1" x14ac:dyDescent="0.25">
      <c r="A2088" t="str">
        <f t="shared" si="54"/>
        <v/>
      </c>
    </row>
    <row r="2089" spans="1:1" x14ac:dyDescent="0.25">
      <c r="A2089" t="str">
        <f t="shared" si="54"/>
        <v/>
      </c>
    </row>
    <row r="2090" spans="1:1" x14ac:dyDescent="0.25">
      <c r="A2090" t="str">
        <f t="shared" si="54"/>
        <v/>
      </c>
    </row>
    <row r="2091" spans="1:1" x14ac:dyDescent="0.25">
      <c r="A2091" t="str">
        <f t="shared" si="54"/>
        <v/>
      </c>
    </row>
    <row r="2092" spans="1:1" x14ac:dyDescent="0.25">
      <c r="A2092" t="str">
        <f t="shared" si="54"/>
        <v/>
      </c>
    </row>
    <row r="2093" spans="1:1" x14ac:dyDescent="0.25">
      <c r="A2093" t="str">
        <f t="shared" si="54"/>
        <v/>
      </c>
    </row>
    <row r="2094" spans="1:1" x14ac:dyDescent="0.25">
      <c r="A2094" t="str">
        <f t="shared" si="54"/>
        <v/>
      </c>
    </row>
    <row r="2095" spans="1:1" x14ac:dyDescent="0.25">
      <c r="A2095" t="str">
        <f t="shared" si="54"/>
        <v/>
      </c>
    </row>
    <row r="2096" spans="1:1" x14ac:dyDescent="0.25">
      <c r="A2096" t="str">
        <f t="shared" si="54"/>
        <v/>
      </c>
    </row>
    <row r="2097" spans="1:1" x14ac:dyDescent="0.25">
      <c r="A2097" t="str">
        <f t="shared" si="54"/>
        <v/>
      </c>
    </row>
    <row r="2098" spans="1:1" x14ac:dyDescent="0.25">
      <c r="A2098" t="str">
        <f t="shared" si="54"/>
        <v/>
      </c>
    </row>
    <row r="2099" spans="1:1" x14ac:dyDescent="0.25">
      <c r="A2099" t="str">
        <f t="shared" si="54"/>
        <v/>
      </c>
    </row>
    <row r="2100" spans="1:1" x14ac:dyDescent="0.25">
      <c r="A2100" t="str">
        <f t="shared" si="54"/>
        <v/>
      </c>
    </row>
    <row r="2101" spans="1:1" x14ac:dyDescent="0.25">
      <c r="A2101" t="str">
        <f t="shared" si="54"/>
        <v/>
      </c>
    </row>
    <row r="2102" spans="1:1" x14ac:dyDescent="0.25">
      <c r="A2102" t="str">
        <f t="shared" si="54"/>
        <v/>
      </c>
    </row>
    <row r="2103" spans="1:1" x14ac:dyDescent="0.25">
      <c r="A2103" t="str">
        <f t="shared" si="54"/>
        <v/>
      </c>
    </row>
    <row r="2104" spans="1:1" x14ac:dyDescent="0.25">
      <c r="A2104" t="str">
        <f t="shared" si="54"/>
        <v/>
      </c>
    </row>
    <row r="2105" spans="1:1" x14ac:dyDescent="0.25">
      <c r="A2105" t="str">
        <f t="shared" si="54"/>
        <v/>
      </c>
    </row>
    <row r="2106" spans="1:1" x14ac:dyDescent="0.25">
      <c r="A2106" t="str">
        <f t="shared" si="54"/>
        <v/>
      </c>
    </row>
    <row r="2107" spans="1:1" x14ac:dyDescent="0.25">
      <c r="A2107" t="str">
        <f t="shared" si="54"/>
        <v/>
      </c>
    </row>
    <row r="2108" spans="1:1" x14ac:dyDescent="0.25">
      <c r="A2108" t="str">
        <f t="shared" si="54"/>
        <v/>
      </c>
    </row>
    <row r="2109" spans="1:1" x14ac:dyDescent="0.25">
      <c r="A2109" t="str">
        <f t="shared" si="54"/>
        <v/>
      </c>
    </row>
    <row r="2110" spans="1:1" x14ac:dyDescent="0.25">
      <c r="A2110" t="str">
        <f t="shared" si="54"/>
        <v/>
      </c>
    </row>
    <row r="2111" spans="1:1" x14ac:dyDescent="0.25">
      <c r="A2111" t="str">
        <f t="shared" si="54"/>
        <v/>
      </c>
    </row>
    <row r="2112" spans="1:1" x14ac:dyDescent="0.25">
      <c r="A2112" t="str">
        <f t="shared" si="54"/>
        <v/>
      </c>
    </row>
    <row r="2113" spans="1:1" x14ac:dyDescent="0.25">
      <c r="A2113" t="str">
        <f t="shared" ref="A2113:A2176" si="55">E2113&amp;C2113&amp;D2113</f>
        <v/>
      </c>
    </row>
    <row r="2114" spans="1:1" x14ac:dyDescent="0.25">
      <c r="A2114" t="str">
        <f t="shared" si="55"/>
        <v/>
      </c>
    </row>
    <row r="2115" spans="1:1" x14ac:dyDescent="0.25">
      <c r="A2115" t="str">
        <f t="shared" si="55"/>
        <v/>
      </c>
    </row>
    <row r="2116" spans="1:1" x14ac:dyDescent="0.25">
      <c r="A2116" t="str">
        <f t="shared" si="55"/>
        <v/>
      </c>
    </row>
    <row r="2117" spans="1:1" x14ac:dyDescent="0.25">
      <c r="A2117" t="str">
        <f t="shared" si="55"/>
        <v/>
      </c>
    </row>
    <row r="2118" spans="1:1" x14ac:dyDescent="0.25">
      <c r="A2118" t="str">
        <f t="shared" si="55"/>
        <v/>
      </c>
    </row>
    <row r="2119" spans="1:1" x14ac:dyDescent="0.25">
      <c r="A2119" t="str">
        <f t="shared" si="55"/>
        <v/>
      </c>
    </row>
    <row r="2120" spans="1:1" x14ac:dyDescent="0.25">
      <c r="A2120" t="str">
        <f t="shared" si="55"/>
        <v/>
      </c>
    </row>
    <row r="2121" spans="1:1" x14ac:dyDescent="0.25">
      <c r="A2121" t="str">
        <f t="shared" si="55"/>
        <v/>
      </c>
    </row>
    <row r="2122" spans="1:1" x14ac:dyDescent="0.25">
      <c r="A2122" t="str">
        <f t="shared" si="55"/>
        <v/>
      </c>
    </row>
    <row r="2123" spans="1:1" x14ac:dyDescent="0.25">
      <c r="A2123" t="str">
        <f t="shared" si="55"/>
        <v/>
      </c>
    </row>
    <row r="2124" spans="1:1" x14ac:dyDescent="0.25">
      <c r="A2124" t="str">
        <f t="shared" si="55"/>
        <v/>
      </c>
    </row>
    <row r="2125" spans="1:1" x14ac:dyDescent="0.25">
      <c r="A2125" t="str">
        <f t="shared" si="55"/>
        <v/>
      </c>
    </row>
    <row r="2126" spans="1:1" x14ac:dyDescent="0.25">
      <c r="A2126" t="str">
        <f t="shared" si="55"/>
        <v/>
      </c>
    </row>
    <row r="2127" spans="1:1" x14ac:dyDescent="0.25">
      <c r="A2127" t="str">
        <f t="shared" si="55"/>
        <v/>
      </c>
    </row>
    <row r="2128" spans="1:1" x14ac:dyDescent="0.25">
      <c r="A2128" t="str">
        <f t="shared" si="55"/>
        <v/>
      </c>
    </row>
    <row r="2129" spans="1:1" x14ac:dyDescent="0.25">
      <c r="A2129" t="str">
        <f t="shared" si="55"/>
        <v/>
      </c>
    </row>
    <row r="2130" spans="1:1" x14ac:dyDescent="0.25">
      <c r="A2130" t="str">
        <f t="shared" si="55"/>
        <v/>
      </c>
    </row>
    <row r="2131" spans="1:1" x14ac:dyDescent="0.25">
      <c r="A2131" t="str">
        <f t="shared" si="55"/>
        <v/>
      </c>
    </row>
    <row r="2132" spans="1:1" x14ac:dyDescent="0.25">
      <c r="A2132" t="str">
        <f t="shared" si="55"/>
        <v/>
      </c>
    </row>
    <row r="2133" spans="1:1" x14ac:dyDescent="0.25">
      <c r="A2133" t="str">
        <f t="shared" si="55"/>
        <v/>
      </c>
    </row>
    <row r="2134" spans="1:1" x14ac:dyDescent="0.25">
      <c r="A2134" t="str">
        <f t="shared" si="55"/>
        <v/>
      </c>
    </row>
    <row r="2135" spans="1:1" x14ac:dyDescent="0.25">
      <c r="A2135" t="str">
        <f t="shared" si="55"/>
        <v/>
      </c>
    </row>
    <row r="2136" spans="1:1" x14ac:dyDescent="0.25">
      <c r="A2136" t="str">
        <f t="shared" si="55"/>
        <v/>
      </c>
    </row>
    <row r="2137" spans="1:1" x14ac:dyDescent="0.25">
      <c r="A2137" t="str">
        <f t="shared" si="55"/>
        <v/>
      </c>
    </row>
    <row r="2138" spans="1:1" x14ac:dyDescent="0.25">
      <c r="A2138" t="str">
        <f t="shared" si="55"/>
        <v/>
      </c>
    </row>
    <row r="2139" spans="1:1" x14ac:dyDescent="0.25">
      <c r="A2139" t="str">
        <f t="shared" si="55"/>
        <v/>
      </c>
    </row>
    <row r="2140" spans="1:1" x14ac:dyDescent="0.25">
      <c r="A2140" t="str">
        <f t="shared" si="55"/>
        <v/>
      </c>
    </row>
    <row r="2141" spans="1:1" x14ac:dyDescent="0.25">
      <c r="A2141" t="str">
        <f t="shared" si="55"/>
        <v/>
      </c>
    </row>
    <row r="2142" spans="1:1" x14ac:dyDescent="0.25">
      <c r="A2142" t="str">
        <f t="shared" si="55"/>
        <v/>
      </c>
    </row>
    <row r="2143" spans="1:1" x14ac:dyDescent="0.25">
      <c r="A2143" t="str">
        <f t="shared" si="55"/>
        <v/>
      </c>
    </row>
    <row r="2144" spans="1:1" x14ac:dyDescent="0.25">
      <c r="A2144" t="str">
        <f t="shared" si="55"/>
        <v/>
      </c>
    </row>
    <row r="2145" spans="1:1" x14ac:dyDescent="0.25">
      <c r="A2145" t="str">
        <f t="shared" si="55"/>
        <v/>
      </c>
    </row>
    <row r="2146" spans="1:1" x14ac:dyDescent="0.25">
      <c r="A2146" t="str">
        <f t="shared" si="55"/>
        <v/>
      </c>
    </row>
    <row r="2147" spans="1:1" x14ac:dyDescent="0.25">
      <c r="A2147" t="str">
        <f t="shared" si="55"/>
        <v/>
      </c>
    </row>
    <row r="2148" spans="1:1" x14ac:dyDescent="0.25">
      <c r="A2148" t="str">
        <f t="shared" si="55"/>
        <v/>
      </c>
    </row>
    <row r="2149" spans="1:1" x14ac:dyDescent="0.25">
      <c r="A2149" t="str">
        <f t="shared" si="55"/>
        <v/>
      </c>
    </row>
    <row r="2150" spans="1:1" x14ac:dyDescent="0.25">
      <c r="A2150" t="str">
        <f t="shared" si="55"/>
        <v/>
      </c>
    </row>
    <row r="2151" spans="1:1" x14ac:dyDescent="0.25">
      <c r="A2151" t="str">
        <f t="shared" si="55"/>
        <v/>
      </c>
    </row>
    <row r="2152" spans="1:1" x14ac:dyDescent="0.25">
      <c r="A2152" t="str">
        <f t="shared" si="55"/>
        <v/>
      </c>
    </row>
    <row r="2153" spans="1:1" x14ac:dyDescent="0.25">
      <c r="A2153" t="str">
        <f t="shared" si="55"/>
        <v/>
      </c>
    </row>
    <row r="2154" spans="1:1" x14ac:dyDescent="0.25">
      <c r="A2154" t="str">
        <f t="shared" si="55"/>
        <v/>
      </c>
    </row>
    <row r="2155" spans="1:1" x14ac:dyDescent="0.25">
      <c r="A2155" t="str">
        <f t="shared" si="55"/>
        <v/>
      </c>
    </row>
    <row r="2156" spans="1:1" x14ac:dyDescent="0.25">
      <c r="A2156" t="str">
        <f t="shared" si="55"/>
        <v/>
      </c>
    </row>
    <row r="2157" spans="1:1" x14ac:dyDescent="0.25">
      <c r="A2157" t="str">
        <f t="shared" si="55"/>
        <v/>
      </c>
    </row>
    <row r="2158" spans="1:1" x14ac:dyDescent="0.25">
      <c r="A2158" t="str">
        <f t="shared" si="55"/>
        <v/>
      </c>
    </row>
    <row r="2159" spans="1:1" x14ac:dyDescent="0.25">
      <c r="A2159" t="str">
        <f t="shared" si="55"/>
        <v/>
      </c>
    </row>
    <row r="2160" spans="1:1" x14ac:dyDescent="0.25">
      <c r="A2160" t="str">
        <f t="shared" si="55"/>
        <v/>
      </c>
    </row>
    <row r="2161" spans="1:1" x14ac:dyDescent="0.25">
      <c r="A2161" t="str">
        <f t="shared" si="55"/>
        <v/>
      </c>
    </row>
    <row r="2162" spans="1:1" x14ac:dyDescent="0.25">
      <c r="A2162" t="str">
        <f t="shared" si="55"/>
        <v/>
      </c>
    </row>
    <row r="2163" spans="1:1" x14ac:dyDescent="0.25">
      <c r="A2163" t="str">
        <f t="shared" si="55"/>
        <v/>
      </c>
    </row>
    <row r="2164" spans="1:1" x14ac:dyDescent="0.25">
      <c r="A2164" t="str">
        <f t="shared" si="55"/>
        <v/>
      </c>
    </row>
    <row r="2165" spans="1:1" x14ac:dyDescent="0.25">
      <c r="A2165" t="str">
        <f t="shared" si="55"/>
        <v/>
      </c>
    </row>
    <row r="2166" spans="1:1" x14ac:dyDescent="0.25">
      <c r="A2166" t="str">
        <f t="shared" si="55"/>
        <v/>
      </c>
    </row>
    <row r="2167" spans="1:1" x14ac:dyDescent="0.25">
      <c r="A2167" t="str">
        <f t="shared" si="55"/>
        <v/>
      </c>
    </row>
    <row r="2168" spans="1:1" x14ac:dyDescent="0.25">
      <c r="A2168" t="str">
        <f t="shared" si="55"/>
        <v/>
      </c>
    </row>
    <row r="2169" spans="1:1" x14ac:dyDescent="0.25">
      <c r="A2169" t="str">
        <f t="shared" si="55"/>
        <v/>
      </c>
    </row>
    <row r="2170" spans="1:1" x14ac:dyDescent="0.25">
      <c r="A2170" t="str">
        <f t="shared" si="55"/>
        <v/>
      </c>
    </row>
    <row r="2171" spans="1:1" x14ac:dyDescent="0.25">
      <c r="A2171" t="str">
        <f t="shared" si="55"/>
        <v/>
      </c>
    </row>
    <row r="2172" spans="1:1" x14ac:dyDescent="0.25">
      <c r="A2172" t="str">
        <f t="shared" si="55"/>
        <v/>
      </c>
    </row>
    <row r="2173" spans="1:1" x14ac:dyDescent="0.25">
      <c r="A2173" t="str">
        <f t="shared" si="55"/>
        <v/>
      </c>
    </row>
    <row r="2174" spans="1:1" x14ac:dyDescent="0.25">
      <c r="A2174" t="str">
        <f t="shared" si="55"/>
        <v/>
      </c>
    </row>
    <row r="2175" spans="1:1" x14ac:dyDescent="0.25">
      <c r="A2175" t="str">
        <f t="shared" si="55"/>
        <v/>
      </c>
    </row>
    <row r="2176" spans="1:1" x14ac:dyDescent="0.25">
      <c r="A2176" t="str">
        <f t="shared" si="55"/>
        <v/>
      </c>
    </row>
    <row r="2177" spans="1:1" x14ac:dyDescent="0.25">
      <c r="A2177" t="str">
        <f t="shared" ref="A2177:A2240" si="56">E2177&amp;C2177&amp;D2177</f>
        <v/>
      </c>
    </row>
    <row r="2178" spans="1:1" x14ac:dyDescent="0.25">
      <c r="A2178" t="str">
        <f t="shared" si="56"/>
        <v/>
      </c>
    </row>
    <row r="2179" spans="1:1" x14ac:dyDescent="0.25">
      <c r="A2179" t="str">
        <f t="shared" si="56"/>
        <v/>
      </c>
    </row>
    <row r="2180" spans="1:1" x14ac:dyDescent="0.25">
      <c r="A2180" t="str">
        <f t="shared" si="56"/>
        <v/>
      </c>
    </row>
    <row r="2181" spans="1:1" x14ac:dyDescent="0.25">
      <c r="A2181" t="str">
        <f t="shared" si="56"/>
        <v/>
      </c>
    </row>
    <row r="2182" spans="1:1" x14ac:dyDescent="0.25">
      <c r="A2182" t="str">
        <f t="shared" si="56"/>
        <v/>
      </c>
    </row>
    <row r="2183" spans="1:1" x14ac:dyDescent="0.25">
      <c r="A2183" t="str">
        <f t="shared" si="56"/>
        <v/>
      </c>
    </row>
    <row r="2184" spans="1:1" x14ac:dyDescent="0.25">
      <c r="A2184" t="str">
        <f t="shared" si="56"/>
        <v/>
      </c>
    </row>
    <row r="2185" spans="1:1" x14ac:dyDescent="0.25">
      <c r="A2185" t="str">
        <f t="shared" si="56"/>
        <v/>
      </c>
    </row>
    <row r="2186" spans="1:1" x14ac:dyDescent="0.25">
      <c r="A2186" t="str">
        <f t="shared" si="56"/>
        <v/>
      </c>
    </row>
    <row r="2187" spans="1:1" x14ac:dyDescent="0.25">
      <c r="A2187" t="str">
        <f t="shared" si="56"/>
        <v/>
      </c>
    </row>
    <row r="2188" spans="1:1" x14ac:dyDescent="0.25">
      <c r="A2188" t="str">
        <f t="shared" si="56"/>
        <v/>
      </c>
    </row>
    <row r="2189" spans="1:1" x14ac:dyDescent="0.25">
      <c r="A2189" t="str">
        <f t="shared" si="56"/>
        <v/>
      </c>
    </row>
    <row r="2190" spans="1:1" x14ac:dyDescent="0.25">
      <c r="A2190" t="str">
        <f t="shared" si="56"/>
        <v/>
      </c>
    </row>
    <row r="2191" spans="1:1" x14ac:dyDescent="0.25">
      <c r="A2191" t="str">
        <f t="shared" si="56"/>
        <v/>
      </c>
    </row>
    <row r="2192" spans="1:1" x14ac:dyDescent="0.25">
      <c r="A2192" t="str">
        <f t="shared" si="56"/>
        <v/>
      </c>
    </row>
    <row r="2193" spans="1:1" x14ac:dyDescent="0.25">
      <c r="A2193" t="str">
        <f t="shared" si="56"/>
        <v/>
      </c>
    </row>
    <row r="2194" spans="1:1" x14ac:dyDescent="0.25">
      <c r="A2194" t="str">
        <f t="shared" si="56"/>
        <v/>
      </c>
    </row>
    <row r="2195" spans="1:1" x14ac:dyDescent="0.25">
      <c r="A2195" t="str">
        <f t="shared" si="56"/>
        <v/>
      </c>
    </row>
    <row r="2196" spans="1:1" x14ac:dyDescent="0.25">
      <c r="A2196" t="str">
        <f t="shared" si="56"/>
        <v/>
      </c>
    </row>
    <row r="2197" spans="1:1" x14ac:dyDescent="0.25">
      <c r="A2197" t="str">
        <f t="shared" si="56"/>
        <v/>
      </c>
    </row>
    <row r="2198" spans="1:1" x14ac:dyDescent="0.25">
      <c r="A2198" t="str">
        <f t="shared" si="56"/>
        <v/>
      </c>
    </row>
    <row r="2199" spans="1:1" x14ac:dyDescent="0.25">
      <c r="A2199" t="str">
        <f t="shared" si="56"/>
        <v/>
      </c>
    </row>
    <row r="2200" spans="1:1" x14ac:dyDescent="0.25">
      <c r="A2200" t="str">
        <f t="shared" si="56"/>
        <v/>
      </c>
    </row>
    <row r="2201" spans="1:1" x14ac:dyDescent="0.25">
      <c r="A2201" t="str">
        <f t="shared" si="56"/>
        <v/>
      </c>
    </row>
    <row r="2202" spans="1:1" x14ac:dyDescent="0.25">
      <c r="A2202" t="str">
        <f t="shared" si="56"/>
        <v/>
      </c>
    </row>
    <row r="2203" spans="1:1" x14ac:dyDescent="0.25">
      <c r="A2203" t="str">
        <f t="shared" si="56"/>
        <v/>
      </c>
    </row>
    <row r="2204" spans="1:1" x14ac:dyDescent="0.25">
      <c r="A2204" t="str">
        <f t="shared" si="56"/>
        <v/>
      </c>
    </row>
    <row r="2205" spans="1:1" x14ac:dyDescent="0.25">
      <c r="A2205" t="str">
        <f t="shared" si="56"/>
        <v/>
      </c>
    </row>
    <row r="2206" spans="1:1" x14ac:dyDescent="0.25">
      <c r="A2206" t="str">
        <f t="shared" si="56"/>
        <v/>
      </c>
    </row>
    <row r="2207" spans="1:1" x14ac:dyDescent="0.25">
      <c r="A2207" t="str">
        <f t="shared" si="56"/>
        <v/>
      </c>
    </row>
    <row r="2208" spans="1:1" x14ac:dyDescent="0.25">
      <c r="A2208" t="str">
        <f t="shared" si="56"/>
        <v/>
      </c>
    </row>
    <row r="2209" spans="1:1" x14ac:dyDescent="0.25">
      <c r="A2209" t="str">
        <f t="shared" si="56"/>
        <v/>
      </c>
    </row>
    <row r="2210" spans="1:1" x14ac:dyDescent="0.25">
      <c r="A2210" t="str">
        <f t="shared" si="56"/>
        <v/>
      </c>
    </row>
    <row r="2211" spans="1:1" x14ac:dyDescent="0.25">
      <c r="A2211" t="str">
        <f t="shared" si="56"/>
        <v/>
      </c>
    </row>
    <row r="2212" spans="1:1" x14ac:dyDescent="0.25">
      <c r="A2212" t="str">
        <f t="shared" si="56"/>
        <v/>
      </c>
    </row>
    <row r="2213" spans="1:1" x14ac:dyDescent="0.25">
      <c r="A2213" t="str">
        <f t="shared" si="56"/>
        <v/>
      </c>
    </row>
    <row r="2214" spans="1:1" x14ac:dyDescent="0.25">
      <c r="A2214" t="str">
        <f t="shared" si="56"/>
        <v/>
      </c>
    </row>
    <row r="2215" spans="1:1" x14ac:dyDescent="0.25">
      <c r="A2215" t="str">
        <f t="shared" si="56"/>
        <v/>
      </c>
    </row>
    <row r="2216" spans="1:1" x14ac:dyDescent="0.25">
      <c r="A2216" t="str">
        <f t="shared" si="56"/>
        <v/>
      </c>
    </row>
    <row r="2217" spans="1:1" x14ac:dyDescent="0.25">
      <c r="A2217" t="str">
        <f t="shared" si="56"/>
        <v/>
      </c>
    </row>
    <row r="2218" spans="1:1" x14ac:dyDescent="0.25">
      <c r="A2218" t="str">
        <f t="shared" si="56"/>
        <v/>
      </c>
    </row>
    <row r="2219" spans="1:1" x14ac:dyDescent="0.25">
      <c r="A2219" t="str">
        <f t="shared" si="56"/>
        <v/>
      </c>
    </row>
    <row r="2220" spans="1:1" x14ac:dyDescent="0.25">
      <c r="A2220" t="str">
        <f t="shared" si="56"/>
        <v/>
      </c>
    </row>
    <row r="2221" spans="1:1" x14ac:dyDescent="0.25">
      <c r="A2221" t="str">
        <f t="shared" si="56"/>
        <v/>
      </c>
    </row>
    <row r="2222" spans="1:1" x14ac:dyDescent="0.25">
      <c r="A2222" t="str">
        <f t="shared" si="56"/>
        <v/>
      </c>
    </row>
    <row r="2223" spans="1:1" x14ac:dyDescent="0.25">
      <c r="A2223" t="str">
        <f t="shared" si="56"/>
        <v/>
      </c>
    </row>
    <row r="2224" spans="1:1" x14ac:dyDescent="0.25">
      <c r="A2224" t="str">
        <f t="shared" si="56"/>
        <v/>
      </c>
    </row>
    <row r="2225" spans="1:1" x14ac:dyDescent="0.25">
      <c r="A2225" t="str">
        <f t="shared" si="56"/>
        <v/>
      </c>
    </row>
    <row r="2226" spans="1:1" x14ac:dyDescent="0.25">
      <c r="A2226" t="str">
        <f t="shared" si="56"/>
        <v/>
      </c>
    </row>
    <row r="2227" spans="1:1" x14ac:dyDescent="0.25">
      <c r="A2227" t="str">
        <f t="shared" si="56"/>
        <v/>
      </c>
    </row>
    <row r="2228" spans="1:1" x14ac:dyDescent="0.25">
      <c r="A2228" t="str">
        <f t="shared" si="56"/>
        <v/>
      </c>
    </row>
    <row r="2229" spans="1:1" x14ac:dyDescent="0.25">
      <c r="A2229" t="str">
        <f t="shared" si="56"/>
        <v/>
      </c>
    </row>
    <row r="2230" spans="1:1" x14ac:dyDescent="0.25">
      <c r="A2230" t="str">
        <f t="shared" si="56"/>
        <v/>
      </c>
    </row>
    <row r="2231" spans="1:1" x14ac:dyDescent="0.25">
      <c r="A2231" t="str">
        <f t="shared" si="56"/>
        <v/>
      </c>
    </row>
    <row r="2232" spans="1:1" x14ac:dyDescent="0.25">
      <c r="A2232" t="str">
        <f t="shared" si="56"/>
        <v/>
      </c>
    </row>
    <row r="2233" spans="1:1" x14ac:dyDescent="0.25">
      <c r="A2233" t="str">
        <f t="shared" si="56"/>
        <v/>
      </c>
    </row>
    <row r="2234" spans="1:1" x14ac:dyDescent="0.25">
      <c r="A2234" t="str">
        <f t="shared" si="56"/>
        <v/>
      </c>
    </row>
    <row r="2235" spans="1:1" x14ac:dyDescent="0.25">
      <c r="A2235" t="str">
        <f t="shared" si="56"/>
        <v/>
      </c>
    </row>
    <row r="2236" spans="1:1" x14ac:dyDescent="0.25">
      <c r="A2236" t="str">
        <f t="shared" si="56"/>
        <v/>
      </c>
    </row>
    <row r="2237" spans="1:1" x14ac:dyDescent="0.25">
      <c r="A2237" t="str">
        <f t="shared" si="56"/>
        <v/>
      </c>
    </row>
    <row r="2238" spans="1:1" x14ac:dyDescent="0.25">
      <c r="A2238" t="str">
        <f t="shared" si="56"/>
        <v/>
      </c>
    </row>
    <row r="2239" spans="1:1" x14ac:dyDescent="0.25">
      <c r="A2239" t="str">
        <f t="shared" si="56"/>
        <v/>
      </c>
    </row>
    <row r="2240" spans="1:1" x14ac:dyDescent="0.25">
      <c r="A2240" t="str">
        <f t="shared" si="56"/>
        <v/>
      </c>
    </row>
    <row r="2241" spans="1:1" x14ac:dyDescent="0.25">
      <c r="A2241" t="str">
        <f t="shared" ref="A2241:A2304" si="57">E2241&amp;C2241&amp;D2241</f>
        <v/>
      </c>
    </row>
    <row r="2242" spans="1:1" x14ac:dyDescent="0.25">
      <c r="A2242" t="str">
        <f t="shared" si="57"/>
        <v/>
      </c>
    </row>
    <row r="2243" spans="1:1" x14ac:dyDescent="0.25">
      <c r="A2243" t="str">
        <f t="shared" si="57"/>
        <v/>
      </c>
    </row>
    <row r="2244" spans="1:1" x14ac:dyDescent="0.25">
      <c r="A2244" t="str">
        <f t="shared" si="57"/>
        <v/>
      </c>
    </row>
    <row r="2245" spans="1:1" x14ac:dyDescent="0.25">
      <c r="A2245" t="str">
        <f t="shared" si="57"/>
        <v/>
      </c>
    </row>
    <row r="2246" spans="1:1" x14ac:dyDescent="0.25">
      <c r="A2246" t="str">
        <f t="shared" si="57"/>
        <v/>
      </c>
    </row>
    <row r="2247" spans="1:1" x14ac:dyDescent="0.25">
      <c r="A2247" t="str">
        <f t="shared" si="57"/>
        <v/>
      </c>
    </row>
    <row r="2248" spans="1:1" x14ac:dyDescent="0.25">
      <c r="A2248" t="str">
        <f t="shared" si="57"/>
        <v/>
      </c>
    </row>
    <row r="2249" spans="1:1" x14ac:dyDescent="0.25">
      <c r="A2249" t="str">
        <f t="shared" si="57"/>
        <v/>
      </c>
    </row>
    <row r="2250" spans="1:1" x14ac:dyDescent="0.25">
      <c r="A2250" t="str">
        <f t="shared" si="57"/>
        <v/>
      </c>
    </row>
    <row r="2251" spans="1:1" x14ac:dyDescent="0.25">
      <c r="A2251" t="str">
        <f t="shared" si="57"/>
        <v/>
      </c>
    </row>
    <row r="2252" spans="1:1" x14ac:dyDescent="0.25">
      <c r="A2252" t="str">
        <f t="shared" si="57"/>
        <v/>
      </c>
    </row>
    <row r="2253" spans="1:1" x14ac:dyDescent="0.25">
      <c r="A2253" t="str">
        <f t="shared" si="57"/>
        <v/>
      </c>
    </row>
    <row r="2254" spans="1:1" x14ac:dyDescent="0.25">
      <c r="A2254" t="str">
        <f t="shared" si="57"/>
        <v/>
      </c>
    </row>
    <row r="2255" spans="1:1" x14ac:dyDescent="0.25">
      <c r="A2255" t="str">
        <f t="shared" si="57"/>
        <v/>
      </c>
    </row>
    <row r="2256" spans="1:1" x14ac:dyDescent="0.25">
      <c r="A2256" t="str">
        <f t="shared" si="57"/>
        <v/>
      </c>
    </row>
    <row r="2257" spans="1:1" x14ac:dyDescent="0.25">
      <c r="A2257" t="str">
        <f t="shared" si="57"/>
        <v/>
      </c>
    </row>
    <row r="2258" spans="1:1" x14ac:dyDescent="0.25">
      <c r="A2258" t="str">
        <f t="shared" si="57"/>
        <v/>
      </c>
    </row>
    <row r="2259" spans="1:1" x14ac:dyDescent="0.25">
      <c r="A2259" t="str">
        <f t="shared" si="57"/>
        <v/>
      </c>
    </row>
    <row r="2260" spans="1:1" x14ac:dyDescent="0.25">
      <c r="A2260" t="str">
        <f t="shared" si="57"/>
        <v/>
      </c>
    </row>
    <row r="2261" spans="1:1" x14ac:dyDescent="0.25">
      <c r="A2261" t="str">
        <f t="shared" si="57"/>
        <v/>
      </c>
    </row>
    <row r="2262" spans="1:1" x14ac:dyDescent="0.25">
      <c r="A2262" t="str">
        <f t="shared" si="57"/>
        <v/>
      </c>
    </row>
    <row r="2263" spans="1:1" x14ac:dyDescent="0.25">
      <c r="A2263" t="str">
        <f t="shared" si="57"/>
        <v/>
      </c>
    </row>
    <row r="2264" spans="1:1" x14ac:dyDescent="0.25">
      <c r="A2264" t="str">
        <f t="shared" si="57"/>
        <v/>
      </c>
    </row>
    <row r="2265" spans="1:1" x14ac:dyDescent="0.25">
      <c r="A2265" t="str">
        <f t="shared" si="57"/>
        <v/>
      </c>
    </row>
    <row r="2266" spans="1:1" x14ac:dyDescent="0.25">
      <c r="A2266" t="str">
        <f t="shared" si="57"/>
        <v/>
      </c>
    </row>
    <row r="2267" spans="1:1" x14ac:dyDescent="0.25">
      <c r="A2267" t="str">
        <f t="shared" si="57"/>
        <v/>
      </c>
    </row>
    <row r="2268" spans="1:1" x14ac:dyDescent="0.25">
      <c r="A2268" t="str">
        <f t="shared" si="57"/>
        <v/>
      </c>
    </row>
    <row r="2269" spans="1:1" x14ac:dyDescent="0.25">
      <c r="A2269" t="str">
        <f t="shared" si="57"/>
        <v/>
      </c>
    </row>
    <row r="2270" spans="1:1" x14ac:dyDescent="0.25">
      <c r="A2270" t="str">
        <f t="shared" si="57"/>
        <v/>
      </c>
    </row>
    <row r="2271" spans="1:1" x14ac:dyDescent="0.25">
      <c r="A2271" t="str">
        <f t="shared" si="57"/>
        <v/>
      </c>
    </row>
    <row r="2272" spans="1:1" x14ac:dyDescent="0.25">
      <c r="A2272" t="str">
        <f t="shared" si="57"/>
        <v/>
      </c>
    </row>
    <row r="2273" spans="1:1" x14ac:dyDescent="0.25">
      <c r="A2273" t="str">
        <f t="shared" si="57"/>
        <v/>
      </c>
    </row>
    <row r="2274" spans="1:1" x14ac:dyDescent="0.25">
      <c r="A2274" t="str">
        <f t="shared" si="57"/>
        <v/>
      </c>
    </row>
    <row r="2275" spans="1:1" x14ac:dyDescent="0.25">
      <c r="A2275" t="str">
        <f t="shared" si="57"/>
        <v/>
      </c>
    </row>
    <row r="2276" spans="1:1" x14ac:dyDescent="0.25">
      <c r="A2276" t="str">
        <f t="shared" si="57"/>
        <v/>
      </c>
    </row>
    <row r="2277" spans="1:1" x14ac:dyDescent="0.25">
      <c r="A2277" t="str">
        <f t="shared" si="57"/>
        <v/>
      </c>
    </row>
    <row r="2278" spans="1:1" x14ac:dyDescent="0.25">
      <c r="A2278" t="str">
        <f t="shared" si="57"/>
        <v/>
      </c>
    </row>
    <row r="2279" spans="1:1" x14ac:dyDescent="0.25">
      <c r="A2279" t="str">
        <f t="shared" si="57"/>
        <v/>
      </c>
    </row>
    <row r="2280" spans="1:1" x14ac:dyDescent="0.25">
      <c r="A2280" t="str">
        <f t="shared" si="57"/>
        <v/>
      </c>
    </row>
    <row r="2281" spans="1:1" x14ac:dyDescent="0.25">
      <c r="A2281" t="str">
        <f t="shared" si="57"/>
        <v/>
      </c>
    </row>
    <row r="2282" spans="1:1" x14ac:dyDescent="0.25">
      <c r="A2282" t="str">
        <f t="shared" si="57"/>
        <v/>
      </c>
    </row>
    <row r="2283" spans="1:1" x14ac:dyDescent="0.25">
      <c r="A2283" t="str">
        <f t="shared" si="57"/>
        <v/>
      </c>
    </row>
    <row r="2284" spans="1:1" x14ac:dyDescent="0.25">
      <c r="A2284" t="str">
        <f t="shared" si="57"/>
        <v/>
      </c>
    </row>
    <row r="2285" spans="1:1" x14ac:dyDescent="0.25">
      <c r="A2285" t="str">
        <f t="shared" si="57"/>
        <v/>
      </c>
    </row>
    <row r="2286" spans="1:1" x14ac:dyDescent="0.25">
      <c r="A2286" t="str">
        <f t="shared" si="57"/>
        <v/>
      </c>
    </row>
    <row r="2287" spans="1:1" x14ac:dyDescent="0.25">
      <c r="A2287" t="str">
        <f t="shared" si="57"/>
        <v/>
      </c>
    </row>
    <row r="2288" spans="1:1" x14ac:dyDescent="0.25">
      <c r="A2288" t="str">
        <f t="shared" si="57"/>
        <v/>
      </c>
    </row>
    <row r="2289" spans="1:1" x14ac:dyDescent="0.25">
      <c r="A2289" t="str">
        <f t="shared" si="57"/>
        <v/>
      </c>
    </row>
    <row r="2290" spans="1:1" x14ac:dyDescent="0.25">
      <c r="A2290" t="str">
        <f t="shared" si="57"/>
        <v/>
      </c>
    </row>
    <row r="2291" spans="1:1" x14ac:dyDescent="0.25">
      <c r="A2291" t="str">
        <f t="shared" si="57"/>
        <v/>
      </c>
    </row>
    <row r="2292" spans="1:1" x14ac:dyDescent="0.25">
      <c r="A2292" t="str">
        <f t="shared" si="57"/>
        <v/>
      </c>
    </row>
    <row r="2293" spans="1:1" x14ac:dyDescent="0.25">
      <c r="A2293" t="str">
        <f t="shared" si="57"/>
        <v/>
      </c>
    </row>
    <row r="2294" spans="1:1" x14ac:dyDescent="0.25">
      <c r="A2294" t="str">
        <f t="shared" si="57"/>
        <v/>
      </c>
    </row>
    <row r="2295" spans="1:1" x14ac:dyDescent="0.25">
      <c r="A2295" t="str">
        <f t="shared" si="57"/>
        <v/>
      </c>
    </row>
    <row r="2296" spans="1:1" x14ac:dyDescent="0.25">
      <c r="A2296" t="str">
        <f t="shared" si="57"/>
        <v/>
      </c>
    </row>
    <row r="2297" spans="1:1" x14ac:dyDescent="0.25">
      <c r="A2297" t="str">
        <f t="shared" si="57"/>
        <v/>
      </c>
    </row>
    <row r="2298" spans="1:1" x14ac:dyDescent="0.25">
      <c r="A2298" t="str">
        <f t="shared" si="57"/>
        <v/>
      </c>
    </row>
    <row r="2299" spans="1:1" x14ac:dyDescent="0.25">
      <c r="A2299" t="str">
        <f t="shared" si="57"/>
        <v/>
      </c>
    </row>
    <row r="2300" spans="1:1" x14ac:dyDescent="0.25">
      <c r="A2300" t="str">
        <f t="shared" si="57"/>
        <v/>
      </c>
    </row>
    <row r="2301" spans="1:1" x14ac:dyDescent="0.25">
      <c r="A2301" t="str">
        <f t="shared" si="57"/>
        <v/>
      </c>
    </row>
    <row r="2302" spans="1:1" x14ac:dyDescent="0.25">
      <c r="A2302" t="str">
        <f t="shared" si="57"/>
        <v/>
      </c>
    </row>
    <row r="2303" spans="1:1" x14ac:dyDescent="0.25">
      <c r="A2303" t="str">
        <f t="shared" si="57"/>
        <v/>
      </c>
    </row>
    <row r="2304" spans="1:1" x14ac:dyDescent="0.25">
      <c r="A2304" t="str">
        <f t="shared" si="57"/>
        <v/>
      </c>
    </row>
    <row r="2305" spans="1:1" x14ac:dyDescent="0.25">
      <c r="A2305" t="str">
        <f t="shared" ref="A2305:A2368" si="58">E2305&amp;C2305&amp;D2305</f>
        <v/>
      </c>
    </row>
    <row r="2306" spans="1:1" x14ac:dyDescent="0.25">
      <c r="A2306" t="str">
        <f t="shared" si="58"/>
        <v/>
      </c>
    </row>
    <row r="2307" spans="1:1" x14ac:dyDescent="0.25">
      <c r="A2307" t="str">
        <f t="shared" si="58"/>
        <v/>
      </c>
    </row>
    <row r="2308" spans="1:1" x14ac:dyDescent="0.25">
      <c r="A2308" t="str">
        <f t="shared" si="58"/>
        <v/>
      </c>
    </row>
    <row r="2309" spans="1:1" x14ac:dyDescent="0.25">
      <c r="A2309" t="str">
        <f t="shared" si="58"/>
        <v/>
      </c>
    </row>
    <row r="2310" spans="1:1" x14ac:dyDescent="0.25">
      <c r="A2310" t="str">
        <f t="shared" si="58"/>
        <v/>
      </c>
    </row>
    <row r="2311" spans="1:1" x14ac:dyDescent="0.25">
      <c r="A2311" t="str">
        <f t="shared" si="58"/>
        <v/>
      </c>
    </row>
    <row r="2312" spans="1:1" x14ac:dyDescent="0.25">
      <c r="A2312" t="str">
        <f t="shared" si="58"/>
        <v/>
      </c>
    </row>
    <row r="2313" spans="1:1" x14ac:dyDescent="0.25">
      <c r="A2313" t="str">
        <f t="shared" si="58"/>
        <v/>
      </c>
    </row>
    <row r="2314" spans="1:1" x14ac:dyDescent="0.25">
      <c r="A2314" t="str">
        <f t="shared" si="58"/>
        <v/>
      </c>
    </row>
    <row r="2315" spans="1:1" x14ac:dyDescent="0.25">
      <c r="A2315" t="str">
        <f t="shared" si="58"/>
        <v/>
      </c>
    </row>
    <row r="2316" spans="1:1" x14ac:dyDescent="0.25">
      <c r="A2316" t="str">
        <f t="shared" si="58"/>
        <v/>
      </c>
    </row>
    <row r="2317" spans="1:1" x14ac:dyDescent="0.25">
      <c r="A2317" t="str">
        <f t="shared" si="58"/>
        <v/>
      </c>
    </row>
    <row r="2318" spans="1:1" x14ac:dyDescent="0.25">
      <c r="A2318" t="str">
        <f t="shared" si="58"/>
        <v/>
      </c>
    </row>
    <row r="2319" spans="1:1" x14ac:dyDescent="0.25">
      <c r="A2319" t="str">
        <f t="shared" si="58"/>
        <v/>
      </c>
    </row>
    <row r="2320" spans="1:1" x14ac:dyDescent="0.25">
      <c r="A2320" t="str">
        <f t="shared" si="58"/>
        <v/>
      </c>
    </row>
    <row r="2321" spans="1:1" x14ac:dyDescent="0.25">
      <c r="A2321" t="str">
        <f t="shared" si="58"/>
        <v/>
      </c>
    </row>
    <row r="2322" spans="1:1" x14ac:dyDescent="0.25">
      <c r="A2322" t="str">
        <f t="shared" si="58"/>
        <v/>
      </c>
    </row>
    <row r="2323" spans="1:1" x14ac:dyDescent="0.25">
      <c r="A2323" t="str">
        <f t="shared" si="58"/>
        <v/>
      </c>
    </row>
    <row r="2324" spans="1:1" x14ac:dyDescent="0.25">
      <c r="A2324" t="str">
        <f t="shared" si="58"/>
        <v/>
      </c>
    </row>
    <row r="2325" spans="1:1" x14ac:dyDescent="0.25">
      <c r="A2325" t="str">
        <f t="shared" si="58"/>
        <v/>
      </c>
    </row>
    <row r="2326" spans="1:1" x14ac:dyDescent="0.25">
      <c r="A2326" t="str">
        <f t="shared" si="58"/>
        <v/>
      </c>
    </row>
    <row r="2327" spans="1:1" x14ac:dyDescent="0.25">
      <c r="A2327" t="str">
        <f t="shared" si="58"/>
        <v/>
      </c>
    </row>
    <row r="2328" spans="1:1" x14ac:dyDescent="0.25">
      <c r="A2328" t="str">
        <f t="shared" si="58"/>
        <v/>
      </c>
    </row>
    <row r="2329" spans="1:1" x14ac:dyDescent="0.25">
      <c r="A2329" t="str">
        <f t="shared" si="58"/>
        <v/>
      </c>
    </row>
    <row r="2330" spans="1:1" x14ac:dyDescent="0.25">
      <c r="A2330" t="str">
        <f t="shared" si="58"/>
        <v/>
      </c>
    </row>
    <row r="2331" spans="1:1" x14ac:dyDescent="0.25">
      <c r="A2331" t="str">
        <f t="shared" si="58"/>
        <v/>
      </c>
    </row>
    <row r="2332" spans="1:1" x14ac:dyDescent="0.25">
      <c r="A2332" t="str">
        <f t="shared" si="58"/>
        <v/>
      </c>
    </row>
    <row r="2333" spans="1:1" x14ac:dyDescent="0.25">
      <c r="A2333" t="str">
        <f t="shared" si="58"/>
        <v/>
      </c>
    </row>
    <row r="2334" spans="1:1" x14ac:dyDescent="0.25">
      <c r="A2334" t="str">
        <f t="shared" si="58"/>
        <v/>
      </c>
    </row>
    <row r="2335" spans="1:1" x14ac:dyDescent="0.25">
      <c r="A2335" t="str">
        <f t="shared" si="58"/>
        <v/>
      </c>
    </row>
    <row r="2336" spans="1:1" x14ac:dyDescent="0.25">
      <c r="A2336" t="str">
        <f t="shared" si="58"/>
        <v/>
      </c>
    </row>
    <row r="2337" spans="1:1" x14ac:dyDescent="0.25">
      <c r="A2337" t="str">
        <f t="shared" si="58"/>
        <v/>
      </c>
    </row>
    <row r="2338" spans="1:1" x14ac:dyDescent="0.25">
      <c r="A2338" t="str">
        <f t="shared" si="58"/>
        <v/>
      </c>
    </row>
    <row r="2339" spans="1:1" x14ac:dyDescent="0.25">
      <c r="A2339" t="str">
        <f t="shared" si="58"/>
        <v/>
      </c>
    </row>
    <row r="2340" spans="1:1" x14ac:dyDescent="0.25">
      <c r="A2340" t="str">
        <f t="shared" si="58"/>
        <v/>
      </c>
    </row>
    <row r="2341" spans="1:1" x14ac:dyDescent="0.25">
      <c r="A2341" t="str">
        <f t="shared" si="58"/>
        <v/>
      </c>
    </row>
    <row r="2342" spans="1:1" x14ac:dyDescent="0.25">
      <c r="A2342" t="str">
        <f t="shared" si="58"/>
        <v/>
      </c>
    </row>
    <row r="2343" spans="1:1" x14ac:dyDescent="0.25">
      <c r="A2343" t="str">
        <f t="shared" si="58"/>
        <v/>
      </c>
    </row>
    <row r="2344" spans="1:1" x14ac:dyDescent="0.25">
      <c r="A2344" t="str">
        <f t="shared" si="58"/>
        <v/>
      </c>
    </row>
    <row r="2345" spans="1:1" x14ac:dyDescent="0.25">
      <c r="A2345" t="str">
        <f t="shared" si="58"/>
        <v/>
      </c>
    </row>
    <row r="2346" spans="1:1" x14ac:dyDescent="0.25">
      <c r="A2346" t="str">
        <f t="shared" si="58"/>
        <v/>
      </c>
    </row>
    <row r="2347" spans="1:1" x14ac:dyDescent="0.25">
      <c r="A2347" t="str">
        <f t="shared" si="58"/>
        <v/>
      </c>
    </row>
    <row r="2348" spans="1:1" x14ac:dyDescent="0.25">
      <c r="A2348" t="str">
        <f t="shared" si="58"/>
        <v/>
      </c>
    </row>
    <row r="2349" spans="1:1" x14ac:dyDescent="0.25">
      <c r="A2349" t="str">
        <f t="shared" si="58"/>
        <v/>
      </c>
    </row>
    <row r="2350" spans="1:1" x14ac:dyDescent="0.25">
      <c r="A2350" t="str">
        <f t="shared" si="58"/>
        <v/>
      </c>
    </row>
    <row r="2351" spans="1:1" x14ac:dyDescent="0.25">
      <c r="A2351" t="str">
        <f t="shared" si="58"/>
        <v/>
      </c>
    </row>
    <row r="2352" spans="1:1" x14ac:dyDescent="0.25">
      <c r="A2352" t="str">
        <f t="shared" si="58"/>
        <v/>
      </c>
    </row>
    <row r="2353" spans="1:1" x14ac:dyDescent="0.25">
      <c r="A2353" t="str">
        <f t="shared" si="58"/>
        <v/>
      </c>
    </row>
    <row r="2354" spans="1:1" x14ac:dyDescent="0.25">
      <c r="A2354" t="str">
        <f t="shared" si="58"/>
        <v/>
      </c>
    </row>
    <row r="2355" spans="1:1" x14ac:dyDescent="0.25">
      <c r="A2355" t="str">
        <f t="shared" si="58"/>
        <v/>
      </c>
    </row>
    <row r="2356" spans="1:1" x14ac:dyDescent="0.25">
      <c r="A2356" t="str">
        <f t="shared" si="58"/>
        <v/>
      </c>
    </row>
    <row r="2357" spans="1:1" x14ac:dyDescent="0.25">
      <c r="A2357" t="str">
        <f t="shared" si="58"/>
        <v/>
      </c>
    </row>
    <row r="2358" spans="1:1" x14ac:dyDescent="0.25">
      <c r="A2358" t="str">
        <f t="shared" si="58"/>
        <v/>
      </c>
    </row>
    <row r="2359" spans="1:1" x14ac:dyDescent="0.25">
      <c r="A2359" t="str">
        <f t="shared" si="58"/>
        <v/>
      </c>
    </row>
    <row r="2360" spans="1:1" x14ac:dyDescent="0.25">
      <c r="A2360" t="str">
        <f t="shared" si="58"/>
        <v/>
      </c>
    </row>
    <row r="2361" spans="1:1" x14ac:dyDescent="0.25">
      <c r="A2361" t="str">
        <f t="shared" si="58"/>
        <v/>
      </c>
    </row>
    <row r="2362" spans="1:1" x14ac:dyDescent="0.25">
      <c r="A2362" t="str">
        <f t="shared" si="58"/>
        <v/>
      </c>
    </row>
    <row r="2363" spans="1:1" x14ac:dyDescent="0.25">
      <c r="A2363" t="str">
        <f t="shared" si="58"/>
        <v/>
      </c>
    </row>
    <row r="2364" spans="1:1" x14ac:dyDescent="0.25">
      <c r="A2364" t="str">
        <f t="shared" si="58"/>
        <v/>
      </c>
    </row>
    <row r="2365" spans="1:1" x14ac:dyDescent="0.25">
      <c r="A2365" t="str">
        <f t="shared" si="58"/>
        <v/>
      </c>
    </row>
    <row r="2366" spans="1:1" x14ac:dyDescent="0.25">
      <c r="A2366" t="str">
        <f t="shared" si="58"/>
        <v/>
      </c>
    </row>
    <row r="2367" spans="1:1" x14ac:dyDescent="0.25">
      <c r="A2367" t="str">
        <f t="shared" si="58"/>
        <v/>
      </c>
    </row>
    <row r="2368" spans="1:1" x14ac:dyDescent="0.25">
      <c r="A2368" t="str">
        <f t="shared" si="58"/>
        <v/>
      </c>
    </row>
    <row r="2369" spans="1:1" x14ac:dyDescent="0.25">
      <c r="A2369" t="str">
        <f t="shared" ref="A2369:A2432" si="59">E2369&amp;C2369&amp;D2369</f>
        <v/>
      </c>
    </row>
    <row r="2370" spans="1:1" x14ac:dyDescent="0.25">
      <c r="A2370" t="str">
        <f t="shared" si="59"/>
        <v/>
      </c>
    </row>
    <row r="2371" spans="1:1" x14ac:dyDescent="0.25">
      <c r="A2371" t="str">
        <f t="shared" si="59"/>
        <v/>
      </c>
    </row>
    <row r="2372" spans="1:1" x14ac:dyDescent="0.25">
      <c r="A2372" t="str">
        <f t="shared" si="59"/>
        <v/>
      </c>
    </row>
    <row r="2373" spans="1:1" x14ac:dyDescent="0.25">
      <c r="A2373" t="str">
        <f t="shared" si="59"/>
        <v/>
      </c>
    </row>
    <row r="2374" spans="1:1" x14ac:dyDescent="0.25">
      <c r="A2374" t="str">
        <f t="shared" si="59"/>
        <v/>
      </c>
    </row>
    <row r="2375" spans="1:1" x14ac:dyDescent="0.25">
      <c r="A2375" t="str">
        <f t="shared" si="59"/>
        <v/>
      </c>
    </row>
    <row r="2376" spans="1:1" x14ac:dyDescent="0.25">
      <c r="A2376" t="str">
        <f t="shared" si="59"/>
        <v/>
      </c>
    </row>
    <row r="2377" spans="1:1" x14ac:dyDescent="0.25">
      <c r="A2377" t="str">
        <f t="shared" si="59"/>
        <v/>
      </c>
    </row>
    <row r="2378" spans="1:1" x14ac:dyDescent="0.25">
      <c r="A2378" t="str">
        <f t="shared" si="59"/>
        <v/>
      </c>
    </row>
    <row r="2379" spans="1:1" x14ac:dyDescent="0.25">
      <c r="A2379" t="str">
        <f t="shared" si="59"/>
        <v/>
      </c>
    </row>
    <row r="2380" spans="1:1" x14ac:dyDescent="0.25">
      <c r="A2380" t="str">
        <f t="shared" si="59"/>
        <v/>
      </c>
    </row>
    <row r="2381" spans="1:1" x14ac:dyDescent="0.25">
      <c r="A2381" t="str">
        <f t="shared" si="59"/>
        <v/>
      </c>
    </row>
    <row r="2382" spans="1:1" x14ac:dyDescent="0.25">
      <c r="A2382" t="str">
        <f t="shared" si="59"/>
        <v/>
      </c>
    </row>
    <row r="2383" spans="1:1" x14ac:dyDescent="0.25">
      <c r="A2383" t="str">
        <f t="shared" si="59"/>
        <v/>
      </c>
    </row>
    <row r="2384" spans="1:1" x14ac:dyDescent="0.25">
      <c r="A2384" t="str">
        <f t="shared" si="59"/>
        <v/>
      </c>
    </row>
    <row r="2385" spans="1:1" x14ac:dyDescent="0.25">
      <c r="A2385" t="str">
        <f t="shared" si="59"/>
        <v/>
      </c>
    </row>
    <row r="2386" spans="1:1" x14ac:dyDescent="0.25">
      <c r="A2386" t="str">
        <f t="shared" si="59"/>
        <v/>
      </c>
    </row>
    <row r="2387" spans="1:1" x14ac:dyDescent="0.25">
      <c r="A2387" t="str">
        <f t="shared" si="59"/>
        <v/>
      </c>
    </row>
    <row r="2388" spans="1:1" x14ac:dyDescent="0.25">
      <c r="A2388" t="str">
        <f t="shared" si="59"/>
        <v/>
      </c>
    </row>
    <row r="2389" spans="1:1" x14ac:dyDescent="0.25">
      <c r="A2389" t="str">
        <f t="shared" si="59"/>
        <v/>
      </c>
    </row>
    <row r="2390" spans="1:1" x14ac:dyDescent="0.25">
      <c r="A2390" t="str">
        <f t="shared" si="59"/>
        <v/>
      </c>
    </row>
    <row r="2391" spans="1:1" x14ac:dyDescent="0.25">
      <c r="A2391" t="str">
        <f t="shared" si="59"/>
        <v/>
      </c>
    </row>
    <row r="2392" spans="1:1" x14ac:dyDescent="0.25">
      <c r="A2392" t="str">
        <f t="shared" si="59"/>
        <v/>
      </c>
    </row>
    <row r="2393" spans="1:1" x14ac:dyDescent="0.25">
      <c r="A2393" t="str">
        <f t="shared" si="59"/>
        <v/>
      </c>
    </row>
    <row r="2394" spans="1:1" x14ac:dyDescent="0.25">
      <c r="A2394" t="str">
        <f t="shared" si="59"/>
        <v/>
      </c>
    </row>
    <row r="2395" spans="1:1" x14ac:dyDescent="0.25">
      <c r="A2395" t="str">
        <f t="shared" si="59"/>
        <v/>
      </c>
    </row>
    <row r="2396" spans="1:1" x14ac:dyDescent="0.25">
      <c r="A2396" t="str">
        <f t="shared" si="59"/>
        <v/>
      </c>
    </row>
    <row r="2397" spans="1:1" x14ac:dyDescent="0.25">
      <c r="A2397" t="str">
        <f t="shared" si="59"/>
        <v/>
      </c>
    </row>
    <row r="2398" spans="1:1" x14ac:dyDescent="0.25">
      <c r="A2398" t="str">
        <f t="shared" si="59"/>
        <v/>
      </c>
    </row>
    <row r="2399" spans="1:1" x14ac:dyDescent="0.25">
      <c r="A2399" t="str">
        <f t="shared" si="59"/>
        <v/>
      </c>
    </row>
    <row r="2400" spans="1:1" x14ac:dyDescent="0.25">
      <c r="A2400" t="str">
        <f t="shared" si="59"/>
        <v/>
      </c>
    </row>
    <row r="2401" spans="1:1" x14ac:dyDescent="0.25">
      <c r="A2401" t="str">
        <f t="shared" si="59"/>
        <v/>
      </c>
    </row>
    <row r="2402" spans="1:1" x14ac:dyDescent="0.25">
      <c r="A2402" t="str">
        <f t="shared" si="59"/>
        <v/>
      </c>
    </row>
    <row r="2403" spans="1:1" x14ac:dyDescent="0.25">
      <c r="A2403" t="str">
        <f t="shared" si="59"/>
        <v/>
      </c>
    </row>
    <row r="2404" spans="1:1" x14ac:dyDescent="0.25">
      <c r="A2404" t="str">
        <f t="shared" si="59"/>
        <v/>
      </c>
    </row>
    <row r="2405" spans="1:1" x14ac:dyDescent="0.25">
      <c r="A2405" t="str">
        <f t="shared" si="59"/>
        <v/>
      </c>
    </row>
    <row r="2406" spans="1:1" x14ac:dyDescent="0.25">
      <c r="A2406" t="str">
        <f t="shared" si="59"/>
        <v/>
      </c>
    </row>
    <row r="2407" spans="1:1" x14ac:dyDescent="0.25">
      <c r="A2407" t="str">
        <f t="shared" si="59"/>
        <v/>
      </c>
    </row>
    <row r="2408" spans="1:1" x14ac:dyDescent="0.25">
      <c r="A2408" t="str">
        <f t="shared" si="59"/>
        <v/>
      </c>
    </row>
    <row r="2409" spans="1:1" x14ac:dyDescent="0.25">
      <c r="A2409" t="str">
        <f t="shared" si="59"/>
        <v/>
      </c>
    </row>
    <row r="2410" spans="1:1" x14ac:dyDescent="0.25">
      <c r="A2410" t="str">
        <f t="shared" si="59"/>
        <v/>
      </c>
    </row>
    <row r="2411" spans="1:1" x14ac:dyDescent="0.25">
      <c r="A2411" t="str">
        <f t="shared" si="59"/>
        <v/>
      </c>
    </row>
    <row r="2412" spans="1:1" x14ac:dyDescent="0.25">
      <c r="A2412" t="str">
        <f t="shared" si="59"/>
        <v/>
      </c>
    </row>
    <row r="2413" spans="1:1" x14ac:dyDescent="0.25">
      <c r="A2413" t="str">
        <f t="shared" si="59"/>
        <v/>
      </c>
    </row>
    <row r="2414" spans="1:1" x14ac:dyDescent="0.25">
      <c r="A2414" t="str">
        <f t="shared" si="59"/>
        <v/>
      </c>
    </row>
    <row r="2415" spans="1:1" x14ac:dyDescent="0.25">
      <c r="A2415" t="str">
        <f t="shared" si="59"/>
        <v/>
      </c>
    </row>
    <row r="2416" spans="1:1" x14ac:dyDescent="0.25">
      <c r="A2416" t="str">
        <f t="shared" si="59"/>
        <v/>
      </c>
    </row>
    <row r="2417" spans="1:1" x14ac:dyDescent="0.25">
      <c r="A2417" t="str">
        <f t="shared" si="59"/>
        <v/>
      </c>
    </row>
    <row r="2418" spans="1:1" x14ac:dyDescent="0.25">
      <c r="A2418" t="str">
        <f t="shared" si="59"/>
        <v/>
      </c>
    </row>
    <row r="2419" spans="1:1" x14ac:dyDescent="0.25">
      <c r="A2419" t="str">
        <f t="shared" si="59"/>
        <v/>
      </c>
    </row>
    <row r="2420" spans="1:1" x14ac:dyDescent="0.25">
      <c r="A2420" t="str">
        <f t="shared" si="59"/>
        <v/>
      </c>
    </row>
    <row r="2421" spans="1:1" x14ac:dyDescent="0.25">
      <c r="A2421" t="str">
        <f t="shared" si="59"/>
        <v/>
      </c>
    </row>
    <row r="2422" spans="1:1" x14ac:dyDescent="0.25">
      <c r="A2422" t="str">
        <f t="shared" si="59"/>
        <v/>
      </c>
    </row>
    <row r="2423" spans="1:1" x14ac:dyDescent="0.25">
      <c r="A2423" t="str">
        <f t="shared" si="59"/>
        <v/>
      </c>
    </row>
    <row r="2424" spans="1:1" x14ac:dyDescent="0.25">
      <c r="A2424" t="str">
        <f t="shared" si="59"/>
        <v/>
      </c>
    </row>
    <row r="2425" spans="1:1" x14ac:dyDescent="0.25">
      <c r="A2425" t="str">
        <f t="shared" si="59"/>
        <v/>
      </c>
    </row>
    <row r="2426" spans="1:1" x14ac:dyDescent="0.25">
      <c r="A2426" t="str">
        <f t="shared" si="59"/>
        <v/>
      </c>
    </row>
    <row r="2427" spans="1:1" x14ac:dyDescent="0.25">
      <c r="A2427" t="str">
        <f t="shared" si="59"/>
        <v/>
      </c>
    </row>
    <row r="2428" spans="1:1" x14ac:dyDescent="0.25">
      <c r="A2428" t="str">
        <f t="shared" si="59"/>
        <v/>
      </c>
    </row>
    <row r="2429" spans="1:1" x14ac:dyDescent="0.25">
      <c r="A2429" t="str">
        <f t="shared" si="59"/>
        <v/>
      </c>
    </row>
    <row r="2430" spans="1:1" x14ac:dyDescent="0.25">
      <c r="A2430" t="str">
        <f t="shared" si="59"/>
        <v/>
      </c>
    </row>
    <row r="2431" spans="1:1" x14ac:dyDescent="0.25">
      <c r="A2431" t="str">
        <f t="shared" si="59"/>
        <v/>
      </c>
    </row>
    <row r="2432" spans="1:1" x14ac:dyDescent="0.25">
      <c r="A2432" t="str">
        <f t="shared" si="59"/>
        <v/>
      </c>
    </row>
    <row r="2433" spans="1:1" x14ac:dyDescent="0.25">
      <c r="A2433" t="str">
        <f t="shared" ref="A2433:A2496" si="60">E2433&amp;C2433&amp;D2433</f>
        <v/>
      </c>
    </row>
    <row r="2434" spans="1:1" x14ac:dyDescent="0.25">
      <c r="A2434" t="str">
        <f t="shared" si="60"/>
        <v/>
      </c>
    </row>
    <row r="2435" spans="1:1" x14ac:dyDescent="0.25">
      <c r="A2435" t="str">
        <f t="shared" si="60"/>
        <v/>
      </c>
    </row>
    <row r="2436" spans="1:1" x14ac:dyDescent="0.25">
      <c r="A2436" t="str">
        <f t="shared" si="60"/>
        <v/>
      </c>
    </row>
    <row r="2437" spans="1:1" x14ac:dyDescent="0.25">
      <c r="A2437" t="str">
        <f t="shared" si="60"/>
        <v/>
      </c>
    </row>
    <row r="2438" spans="1:1" x14ac:dyDescent="0.25">
      <c r="A2438" t="str">
        <f t="shared" si="60"/>
        <v/>
      </c>
    </row>
    <row r="2439" spans="1:1" x14ac:dyDescent="0.25">
      <c r="A2439" t="str">
        <f t="shared" si="60"/>
        <v/>
      </c>
    </row>
    <row r="2440" spans="1:1" x14ac:dyDescent="0.25">
      <c r="A2440" t="str">
        <f t="shared" si="60"/>
        <v/>
      </c>
    </row>
    <row r="2441" spans="1:1" x14ac:dyDescent="0.25">
      <c r="A2441" t="str">
        <f t="shared" si="60"/>
        <v/>
      </c>
    </row>
    <row r="2442" spans="1:1" x14ac:dyDescent="0.25">
      <c r="A2442" t="str">
        <f t="shared" si="60"/>
        <v/>
      </c>
    </row>
    <row r="2443" spans="1:1" x14ac:dyDescent="0.25">
      <c r="A2443" t="str">
        <f t="shared" si="60"/>
        <v/>
      </c>
    </row>
    <row r="2444" spans="1:1" x14ac:dyDescent="0.25">
      <c r="A2444" t="str">
        <f t="shared" si="60"/>
        <v/>
      </c>
    </row>
    <row r="2445" spans="1:1" x14ac:dyDescent="0.25">
      <c r="A2445" t="str">
        <f t="shared" si="60"/>
        <v/>
      </c>
    </row>
    <row r="2446" spans="1:1" x14ac:dyDescent="0.25">
      <c r="A2446" t="str">
        <f t="shared" si="60"/>
        <v/>
      </c>
    </row>
    <row r="2447" spans="1:1" x14ac:dyDescent="0.25">
      <c r="A2447" t="str">
        <f t="shared" si="60"/>
        <v/>
      </c>
    </row>
    <row r="2448" spans="1:1" x14ac:dyDescent="0.25">
      <c r="A2448" t="str">
        <f t="shared" si="60"/>
        <v/>
      </c>
    </row>
    <row r="2449" spans="1:1" x14ac:dyDescent="0.25">
      <c r="A2449" t="str">
        <f t="shared" si="60"/>
        <v/>
      </c>
    </row>
    <row r="2450" spans="1:1" x14ac:dyDescent="0.25">
      <c r="A2450" t="str">
        <f t="shared" si="60"/>
        <v/>
      </c>
    </row>
    <row r="2451" spans="1:1" x14ac:dyDescent="0.25">
      <c r="A2451" t="str">
        <f t="shared" si="60"/>
        <v/>
      </c>
    </row>
    <row r="2452" spans="1:1" x14ac:dyDescent="0.25">
      <c r="A2452" t="str">
        <f t="shared" si="60"/>
        <v/>
      </c>
    </row>
    <row r="2453" spans="1:1" x14ac:dyDescent="0.25">
      <c r="A2453" t="str">
        <f t="shared" si="60"/>
        <v/>
      </c>
    </row>
    <row r="2454" spans="1:1" x14ac:dyDescent="0.25">
      <c r="A2454" t="str">
        <f t="shared" si="60"/>
        <v/>
      </c>
    </row>
    <row r="2455" spans="1:1" x14ac:dyDescent="0.25">
      <c r="A2455" t="str">
        <f t="shared" si="60"/>
        <v/>
      </c>
    </row>
    <row r="2456" spans="1:1" x14ac:dyDescent="0.25">
      <c r="A2456" t="str">
        <f t="shared" si="60"/>
        <v/>
      </c>
    </row>
    <row r="2457" spans="1:1" x14ac:dyDescent="0.25">
      <c r="A2457" t="str">
        <f t="shared" si="60"/>
        <v/>
      </c>
    </row>
    <row r="2458" spans="1:1" x14ac:dyDescent="0.25">
      <c r="A2458" t="str">
        <f t="shared" si="60"/>
        <v/>
      </c>
    </row>
    <row r="2459" spans="1:1" x14ac:dyDescent="0.25">
      <c r="A2459" t="str">
        <f t="shared" si="60"/>
        <v/>
      </c>
    </row>
    <row r="2460" spans="1:1" x14ac:dyDescent="0.25">
      <c r="A2460" t="str">
        <f t="shared" si="60"/>
        <v/>
      </c>
    </row>
    <row r="2461" spans="1:1" x14ac:dyDescent="0.25">
      <c r="A2461" t="str">
        <f t="shared" si="60"/>
        <v/>
      </c>
    </row>
    <row r="2462" spans="1:1" x14ac:dyDescent="0.25">
      <c r="A2462" t="str">
        <f t="shared" si="60"/>
        <v/>
      </c>
    </row>
    <row r="2463" spans="1:1" x14ac:dyDescent="0.25">
      <c r="A2463" t="str">
        <f t="shared" si="60"/>
        <v/>
      </c>
    </row>
    <row r="2464" spans="1:1" x14ac:dyDescent="0.25">
      <c r="A2464" t="str">
        <f t="shared" si="60"/>
        <v/>
      </c>
    </row>
    <row r="2465" spans="1:1" x14ac:dyDescent="0.25">
      <c r="A2465" t="str">
        <f t="shared" si="60"/>
        <v/>
      </c>
    </row>
    <row r="2466" spans="1:1" x14ac:dyDescent="0.25">
      <c r="A2466" t="str">
        <f t="shared" si="60"/>
        <v/>
      </c>
    </row>
    <row r="2467" spans="1:1" x14ac:dyDescent="0.25">
      <c r="A2467" t="str">
        <f t="shared" si="60"/>
        <v/>
      </c>
    </row>
    <row r="2468" spans="1:1" x14ac:dyDescent="0.25">
      <c r="A2468" t="str">
        <f t="shared" si="60"/>
        <v/>
      </c>
    </row>
    <row r="2469" spans="1:1" x14ac:dyDescent="0.25">
      <c r="A2469" t="str">
        <f t="shared" si="60"/>
        <v/>
      </c>
    </row>
    <row r="2470" spans="1:1" x14ac:dyDescent="0.25">
      <c r="A2470" t="str">
        <f t="shared" si="60"/>
        <v/>
      </c>
    </row>
    <row r="2471" spans="1:1" x14ac:dyDescent="0.25">
      <c r="A2471" t="str">
        <f t="shared" si="60"/>
        <v/>
      </c>
    </row>
    <row r="2472" spans="1:1" x14ac:dyDescent="0.25">
      <c r="A2472" t="str">
        <f t="shared" si="60"/>
        <v/>
      </c>
    </row>
    <row r="2473" spans="1:1" x14ac:dyDescent="0.25">
      <c r="A2473" t="str">
        <f t="shared" si="60"/>
        <v/>
      </c>
    </row>
    <row r="2474" spans="1:1" x14ac:dyDescent="0.25">
      <c r="A2474" t="str">
        <f t="shared" si="60"/>
        <v/>
      </c>
    </row>
    <row r="2475" spans="1:1" x14ac:dyDescent="0.25">
      <c r="A2475" t="str">
        <f t="shared" si="60"/>
        <v/>
      </c>
    </row>
    <row r="2476" spans="1:1" x14ac:dyDescent="0.25">
      <c r="A2476" t="str">
        <f t="shared" si="60"/>
        <v/>
      </c>
    </row>
    <row r="2477" spans="1:1" x14ac:dyDescent="0.25">
      <c r="A2477" t="str">
        <f t="shared" si="60"/>
        <v/>
      </c>
    </row>
    <row r="2478" spans="1:1" x14ac:dyDescent="0.25">
      <c r="A2478" t="str">
        <f t="shared" si="60"/>
        <v/>
      </c>
    </row>
    <row r="2479" spans="1:1" x14ac:dyDescent="0.25">
      <c r="A2479" t="str">
        <f t="shared" si="60"/>
        <v/>
      </c>
    </row>
    <row r="2480" spans="1:1" x14ac:dyDescent="0.25">
      <c r="A2480" t="str">
        <f t="shared" si="60"/>
        <v/>
      </c>
    </row>
    <row r="2481" spans="1:1" x14ac:dyDescent="0.25">
      <c r="A2481" t="str">
        <f t="shared" si="60"/>
        <v/>
      </c>
    </row>
    <row r="2482" spans="1:1" x14ac:dyDescent="0.25">
      <c r="A2482" t="str">
        <f t="shared" si="60"/>
        <v/>
      </c>
    </row>
    <row r="2483" spans="1:1" x14ac:dyDescent="0.25">
      <c r="A2483" t="str">
        <f t="shared" si="60"/>
        <v/>
      </c>
    </row>
    <row r="2484" spans="1:1" x14ac:dyDescent="0.25">
      <c r="A2484" t="str">
        <f t="shared" si="60"/>
        <v/>
      </c>
    </row>
    <row r="2485" spans="1:1" x14ac:dyDescent="0.25">
      <c r="A2485" t="str">
        <f t="shared" si="60"/>
        <v/>
      </c>
    </row>
    <row r="2486" spans="1:1" x14ac:dyDescent="0.25">
      <c r="A2486" t="str">
        <f t="shared" si="60"/>
        <v/>
      </c>
    </row>
    <row r="2487" spans="1:1" x14ac:dyDescent="0.25">
      <c r="A2487" t="str">
        <f t="shared" si="60"/>
        <v/>
      </c>
    </row>
    <row r="2488" spans="1:1" x14ac:dyDescent="0.25">
      <c r="A2488" t="str">
        <f t="shared" si="60"/>
        <v/>
      </c>
    </row>
    <row r="2489" spans="1:1" x14ac:dyDescent="0.25">
      <c r="A2489" t="str">
        <f t="shared" si="60"/>
        <v/>
      </c>
    </row>
    <row r="2490" spans="1:1" x14ac:dyDescent="0.25">
      <c r="A2490" t="str">
        <f t="shared" si="60"/>
        <v/>
      </c>
    </row>
    <row r="2491" spans="1:1" x14ac:dyDescent="0.25">
      <c r="A2491" t="str">
        <f t="shared" si="60"/>
        <v/>
      </c>
    </row>
    <row r="2492" spans="1:1" x14ac:dyDescent="0.25">
      <c r="A2492" t="str">
        <f t="shared" si="60"/>
        <v/>
      </c>
    </row>
    <row r="2493" spans="1:1" x14ac:dyDescent="0.25">
      <c r="A2493" t="str">
        <f t="shared" si="60"/>
        <v/>
      </c>
    </row>
    <row r="2494" spans="1:1" x14ac:dyDescent="0.25">
      <c r="A2494" t="str">
        <f t="shared" si="60"/>
        <v/>
      </c>
    </row>
    <row r="2495" spans="1:1" x14ac:dyDescent="0.25">
      <c r="A2495" t="str">
        <f t="shared" si="60"/>
        <v/>
      </c>
    </row>
    <row r="2496" spans="1:1" x14ac:dyDescent="0.25">
      <c r="A2496" t="str">
        <f t="shared" si="60"/>
        <v/>
      </c>
    </row>
    <row r="2497" spans="1:1" x14ac:dyDescent="0.25">
      <c r="A2497" t="str">
        <f t="shared" ref="A2497:A2560" si="61">E2497&amp;C2497&amp;D2497</f>
        <v/>
      </c>
    </row>
    <row r="2498" spans="1:1" x14ac:dyDescent="0.25">
      <c r="A2498" t="str">
        <f t="shared" si="61"/>
        <v/>
      </c>
    </row>
    <row r="2499" spans="1:1" x14ac:dyDescent="0.25">
      <c r="A2499" t="str">
        <f t="shared" si="61"/>
        <v/>
      </c>
    </row>
    <row r="2500" spans="1:1" x14ac:dyDescent="0.25">
      <c r="A2500" t="str">
        <f t="shared" si="61"/>
        <v/>
      </c>
    </row>
    <row r="2501" spans="1:1" x14ac:dyDescent="0.25">
      <c r="A2501" t="str">
        <f t="shared" si="61"/>
        <v/>
      </c>
    </row>
    <row r="2502" spans="1:1" x14ac:dyDescent="0.25">
      <c r="A2502" t="str">
        <f t="shared" si="61"/>
        <v/>
      </c>
    </row>
    <row r="2503" spans="1:1" x14ac:dyDescent="0.25">
      <c r="A2503" t="str">
        <f t="shared" si="61"/>
        <v/>
      </c>
    </row>
    <row r="2504" spans="1:1" x14ac:dyDescent="0.25">
      <c r="A2504" t="str">
        <f t="shared" si="61"/>
        <v/>
      </c>
    </row>
    <row r="2505" spans="1:1" x14ac:dyDescent="0.25">
      <c r="A2505" t="str">
        <f t="shared" si="61"/>
        <v/>
      </c>
    </row>
    <row r="2506" spans="1:1" x14ac:dyDescent="0.25">
      <c r="A2506" t="str">
        <f t="shared" si="61"/>
        <v/>
      </c>
    </row>
    <row r="2507" spans="1:1" x14ac:dyDescent="0.25">
      <c r="A2507" t="str">
        <f t="shared" si="61"/>
        <v/>
      </c>
    </row>
    <row r="2508" spans="1:1" x14ac:dyDescent="0.25">
      <c r="A2508" t="str">
        <f t="shared" si="61"/>
        <v/>
      </c>
    </row>
    <row r="2509" spans="1:1" x14ac:dyDescent="0.25">
      <c r="A2509" t="str">
        <f t="shared" si="61"/>
        <v/>
      </c>
    </row>
    <row r="2510" spans="1:1" x14ac:dyDescent="0.25">
      <c r="A2510" t="str">
        <f t="shared" si="61"/>
        <v/>
      </c>
    </row>
    <row r="2511" spans="1:1" x14ac:dyDescent="0.25">
      <c r="A2511" t="str">
        <f t="shared" si="61"/>
        <v/>
      </c>
    </row>
    <row r="2512" spans="1:1" x14ac:dyDescent="0.25">
      <c r="A2512" t="str">
        <f t="shared" si="61"/>
        <v/>
      </c>
    </row>
    <row r="2513" spans="1:1" x14ac:dyDescent="0.25">
      <c r="A2513" t="str">
        <f t="shared" si="61"/>
        <v/>
      </c>
    </row>
    <row r="2514" spans="1:1" x14ac:dyDescent="0.25">
      <c r="A2514" t="str">
        <f t="shared" si="61"/>
        <v/>
      </c>
    </row>
    <row r="2515" spans="1:1" x14ac:dyDescent="0.25">
      <c r="A2515" t="str">
        <f t="shared" si="61"/>
        <v/>
      </c>
    </row>
    <row r="2516" spans="1:1" x14ac:dyDescent="0.25">
      <c r="A2516" t="str">
        <f t="shared" si="61"/>
        <v/>
      </c>
    </row>
    <row r="2517" spans="1:1" x14ac:dyDescent="0.25">
      <c r="A2517" t="str">
        <f t="shared" si="61"/>
        <v/>
      </c>
    </row>
    <row r="2518" spans="1:1" x14ac:dyDescent="0.25">
      <c r="A2518" t="str">
        <f t="shared" si="61"/>
        <v/>
      </c>
    </row>
    <row r="2519" spans="1:1" x14ac:dyDescent="0.25">
      <c r="A2519" t="str">
        <f t="shared" si="61"/>
        <v/>
      </c>
    </row>
    <row r="2520" spans="1:1" x14ac:dyDescent="0.25">
      <c r="A2520" t="str">
        <f t="shared" si="61"/>
        <v/>
      </c>
    </row>
    <row r="2521" spans="1:1" x14ac:dyDescent="0.25">
      <c r="A2521" t="str">
        <f t="shared" si="61"/>
        <v/>
      </c>
    </row>
    <row r="2522" spans="1:1" x14ac:dyDescent="0.25">
      <c r="A2522" t="str">
        <f t="shared" si="61"/>
        <v/>
      </c>
    </row>
    <row r="2523" spans="1:1" x14ac:dyDescent="0.25">
      <c r="A2523" t="str">
        <f t="shared" si="61"/>
        <v/>
      </c>
    </row>
    <row r="2524" spans="1:1" x14ac:dyDescent="0.25">
      <c r="A2524" t="str">
        <f t="shared" si="61"/>
        <v/>
      </c>
    </row>
    <row r="2525" spans="1:1" x14ac:dyDescent="0.25">
      <c r="A2525" t="str">
        <f t="shared" si="61"/>
        <v/>
      </c>
    </row>
    <row r="2526" spans="1:1" x14ac:dyDescent="0.25">
      <c r="A2526" t="str">
        <f t="shared" si="61"/>
        <v/>
      </c>
    </row>
    <row r="2527" spans="1:1" x14ac:dyDescent="0.25">
      <c r="A2527" t="str">
        <f t="shared" si="61"/>
        <v/>
      </c>
    </row>
    <row r="2528" spans="1:1" x14ac:dyDescent="0.25">
      <c r="A2528" t="str">
        <f t="shared" si="61"/>
        <v/>
      </c>
    </row>
    <row r="2529" spans="1:1" x14ac:dyDescent="0.25">
      <c r="A2529" t="str">
        <f t="shared" si="61"/>
        <v/>
      </c>
    </row>
    <row r="2530" spans="1:1" x14ac:dyDescent="0.25">
      <c r="A2530" t="str">
        <f t="shared" si="61"/>
        <v/>
      </c>
    </row>
    <row r="2531" spans="1:1" x14ac:dyDescent="0.25">
      <c r="A2531" t="str">
        <f t="shared" si="61"/>
        <v/>
      </c>
    </row>
    <row r="2532" spans="1:1" x14ac:dyDescent="0.25">
      <c r="A2532" t="str">
        <f t="shared" si="61"/>
        <v/>
      </c>
    </row>
    <row r="2533" spans="1:1" x14ac:dyDescent="0.25">
      <c r="A2533" t="str">
        <f t="shared" si="61"/>
        <v/>
      </c>
    </row>
    <row r="2534" spans="1:1" x14ac:dyDescent="0.25">
      <c r="A2534" t="str">
        <f t="shared" si="61"/>
        <v/>
      </c>
    </row>
    <row r="2535" spans="1:1" x14ac:dyDescent="0.25">
      <c r="A2535" t="str">
        <f t="shared" si="61"/>
        <v/>
      </c>
    </row>
    <row r="2536" spans="1:1" x14ac:dyDescent="0.25">
      <c r="A2536" t="str">
        <f t="shared" si="61"/>
        <v/>
      </c>
    </row>
    <row r="2537" spans="1:1" x14ac:dyDescent="0.25">
      <c r="A2537" t="str">
        <f t="shared" si="61"/>
        <v/>
      </c>
    </row>
    <row r="2538" spans="1:1" x14ac:dyDescent="0.25">
      <c r="A2538" t="str">
        <f t="shared" si="61"/>
        <v/>
      </c>
    </row>
    <row r="2539" spans="1:1" x14ac:dyDescent="0.25">
      <c r="A2539" t="str">
        <f t="shared" si="61"/>
        <v/>
      </c>
    </row>
    <row r="2540" spans="1:1" x14ac:dyDescent="0.25">
      <c r="A2540" t="str">
        <f t="shared" si="61"/>
        <v/>
      </c>
    </row>
    <row r="2541" spans="1:1" x14ac:dyDescent="0.25">
      <c r="A2541" t="str">
        <f t="shared" si="61"/>
        <v/>
      </c>
    </row>
    <row r="2542" spans="1:1" x14ac:dyDescent="0.25">
      <c r="A2542" t="str">
        <f t="shared" si="61"/>
        <v/>
      </c>
    </row>
    <row r="2543" spans="1:1" x14ac:dyDescent="0.25">
      <c r="A2543" t="str">
        <f t="shared" si="61"/>
        <v/>
      </c>
    </row>
    <row r="2544" spans="1:1" x14ac:dyDescent="0.25">
      <c r="A2544" t="str">
        <f t="shared" si="61"/>
        <v/>
      </c>
    </row>
    <row r="2545" spans="1:1" x14ac:dyDescent="0.25">
      <c r="A2545" t="str">
        <f t="shared" si="61"/>
        <v/>
      </c>
    </row>
    <row r="2546" spans="1:1" x14ac:dyDescent="0.25">
      <c r="A2546" t="str">
        <f t="shared" si="61"/>
        <v/>
      </c>
    </row>
    <row r="2547" spans="1:1" x14ac:dyDescent="0.25">
      <c r="A2547" t="str">
        <f t="shared" si="61"/>
        <v/>
      </c>
    </row>
    <row r="2548" spans="1:1" x14ac:dyDescent="0.25">
      <c r="A2548" t="str">
        <f t="shared" si="61"/>
        <v/>
      </c>
    </row>
    <row r="2549" spans="1:1" x14ac:dyDescent="0.25">
      <c r="A2549" t="str">
        <f t="shared" si="61"/>
        <v/>
      </c>
    </row>
    <row r="2550" spans="1:1" x14ac:dyDescent="0.25">
      <c r="A2550" t="str">
        <f t="shared" si="61"/>
        <v/>
      </c>
    </row>
    <row r="2551" spans="1:1" x14ac:dyDescent="0.25">
      <c r="A2551" t="str">
        <f t="shared" si="61"/>
        <v/>
      </c>
    </row>
    <row r="2552" spans="1:1" x14ac:dyDescent="0.25">
      <c r="A2552" t="str">
        <f t="shared" si="61"/>
        <v/>
      </c>
    </row>
    <row r="2553" spans="1:1" x14ac:dyDescent="0.25">
      <c r="A2553" t="str">
        <f t="shared" si="61"/>
        <v/>
      </c>
    </row>
    <row r="2554" spans="1:1" x14ac:dyDescent="0.25">
      <c r="A2554" t="str">
        <f t="shared" si="61"/>
        <v/>
      </c>
    </row>
    <row r="2555" spans="1:1" x14ac:dyDescent="0.25">
      <c r="A2555" t="str">
        <f t="shared" si="61"/>
        <v/>
      </c>
    </row>
    <row r="2556" spans="1:1" x14ac:dyDescent="0.25">
      <c r="A2556" t="str">
        <f t="shared" si="61"/>
        <v/>
      </c>
    </row>
    <row r="2557" spans="1:1" x14ac:dyDescent="0.25">
      <c r="A2557" t="str">
        <f t="shared" si="61"/>
        <v/>
      </c>
    </row>
    <row r="2558" spans="1:1" x14ac:dyDescent="0.25">
      <c r="A2558" t="str">
        <f t="shared" si="61"/>
        <v/>
      </c>
    </row>
    <row r="2559" spans="1:1" x14ac:dyDescent="0.25">
      <c r="A2559" t="str">
        <f t="shared" si="61"/>
        <v/>
      </c>
    </row>
    <row r="2560" spans="1:1" x14ac:dyDescent="0.25">
      <c r="A2560" t="str">
        <f t="shared" si="61"/>
        <v/>
      </c>
    </row>
    <row r="2561" spans="1:1" x14ac:dyDescent="0.25">
      <c r="A2561" t="str">
        <f t="shared" ref="A2561:A2624" si="62">E2561&amp;C2561&amp;D2561</f>
        <v/>
      </c>
    </row>
    <row r="2562" spans="1:1" x14ac:dyDescent="0.25">
      <c r="A2562" t="str">
        <f t="shared" si="62"/>
        <v/>
      </c>
    </row>
    <row r="2563" spans="1:1" x14ac:dyDescent="0.25">
      <c r="A2563" t="str">
        <f t="shared" si="62"/>
        <v/>
      </c>
    </row>
    <row r="2564" spans="1:1" x14ac:dyDescent="0.25">
      <c r="A2564" t="str">
        <f t="shared" si="62"/>
        <v/>
      </c>
    </row>
    <row r="2565" spans="1:1" x14ac:dyDescent="0.25">
      <c r="A2565" t="str">
        <f t="shared" si="62"/>
        <v/>
      </c>
    </row>
    <row r="2566" spans="1:1" x14ac:dyDescent="0.25">
      <c r="A2566" t="str">
        <f t="shared" si="62"/>
        <v/>
      </c>
    </row>
    <row r="2567" spans="1:1" x14ac:dyDescent="0.25">
      <c r="A2567" t="str">
        <f t="shared" si="62"/>
        <v/>
      </c>
    </row>
    <row r="2568" spans="1:1" x14ac:dyDescent="0.25">
      <c r="A2568" t="str">
        <f t="shared" si="62"/>
        <v/>
      </c>
    </row>
    <row r="2569" spans="1:1" x14ac:dyDescent="0.25">
      <c r="A2569" t="str">
        <f t="shared" si="62"/>
        <v/>
      </c>
    </row>
    <row r="2570" spans="1:1" x14ac:dyDescent="0.25">
      <c r="A2570" t="str">
        <f t="shared" si="62"/>
        <v/>
      </c>
    </row>
    <row r="2571" spans="1:1" x14ac:dyDescent="0.25">
      <c r="A2571" t="str">
        <f t="shared" si="62"/>
        <v/>
      </c>
    </row>
    <row r="2572" spans="1:1" x14ac:dyDescent="0.25">
      <c r="A2572" t="str">
        <f t="shared" si="62"/>
        <v/>
      </c>
    </row>
    <row r="2573" spans="1:1" x14ac:dyDescent="0.25">
      <c r="A2573" t="str">
        <f t="shared" si="62"/>
        <v/>
      </c>
    </row>
    <row r="2574" spans="1:1" x14ac:dyDescent="0.25">
      <c r="A2574" t="str">
        <f t="shared" si="62"/>
        <v/>
      </c>
    </row>
    <row r="2575" spans="1:1" x14ac:dyDescent="0.25">
      <c r="A2575" t="str">
        <f t="shared" si="62"/>
        <v/>
      </c>
    </row>
    <row r="2576" spans="1:1" x14ac:dyDescent="0.25">
      <c r="A2576" t="str">
        <f t="shared" si="62"/>
        <v/>
      </c>
    </row>
    <row r="2577" spans="1:1" x14ac:dyDescent="0.25">
      <c r="A2577" t="str">
        <f t="shared" si="62"/>
        <v/>
      </c>
    </row>
    <row r="2578" spans="1:1" x14ac:dyDescent="0.25">
      <c r="A2578" t="str">
        <f t="shared" si="62"/>
        <v/>
      </c>
    </row>
    <row r="2579" spans="1:1" x14ac:dyDescent="0.25">
      <c r="A2579" t="str">
        <f t="shared" si="62"/>
        <v/>
      </c>
    </row>
    <row r="2580" spans="1:1" x14ac:dyDescent="0.25">
      <c r="A2580" t="str">
        <f t="shared" si="62"/>
        <v/>
      </c>
    </row>
    <row r="2581" spans="1:1" x14ac:dyDescent="0.25">
      <c r="A2581" t="str">
        <f t="shared" si="62"/>
        <v/>
      </c>
    </row>
    <row r="2582" spans="1:1" x14ac:dyDescent="0.25">
      <c r="A2582" t="str">
        <f t="shared" si="62"/>
        <v/>
      </c>
    </row>
    <row r="2583" spans="1:1" x14ac:dyDescent="0.25">
      <c r="A2583" t="str">
        <f t="shared" si="62"/>
        <v/>
      </c>
    </row>
    <row r="2584" spans="1:1" x14ac:dyDescent="0.25">
      <c r="A2584" t="str">
        <f t="shared" si="62"/>
        <v/>
      </c>
    </row>
    <row r="2585" spans="1:1" x14ac:dyDescent="0.25">
      <c r="A2585" t="str">
        <f t="shared" si="62"/>
        <v/>
      </c>
    </row>
    <row r="2586" spans="1:1" x14ac:dyDescent="0.25">
      <c r="A2586" t="str">
        <f t="shared" si="62"/>
        <v/>
      </c>
    </row>
    <row r="2587" spans="1:1" x14ac:dyDescent="0.25">
      <c r="A2587" t="str">
        <f t="shared" si="62"/>
        <v/>
      </c>
    </row>
    <row r="2588" spans="1:1" x14ac:dyDescent="0.25">
      <c r="A2588" t="str">
        <f t="shared" si="62"/>
        <v/>
      </c>
    </row>
    <row r="2589" spans="1:1" x14ac:dyDescent="0.25">
      <c r="A2589" t="str">
        <f t="shared" si="62"/>
        <v/>
      </c>
    </row>
    <row r="2590" spans="1:1" x14ac:dyDescent="0.25">
      <c r="A2590" t="str">
        <f t="shared" si="62"/>
        <v/>
      </c>
    </row>
    <row r="2591" spans="1:1" x14ac:dyDescent="0.25">
      <c r="A2591" t="str">
        <f t="shared" si="62"/>
        <v/>
      </c>
    </row>
    <row r="2592" spans="1:1" x14ac:dyDescent="0.25">
      <c r="A2592" t="str">
        <f t="shared" si="62"/>
        <v/>
      </c>
    </row>
    <row r="2593" spans="1:1" x14ac:dyDescent="0.25">
      <c r="A2593" t="str">
        <f t="shared" si="62"/>
        <v/>
      </c>
    </row>
    <row r="2594" spans="1:1" x14ac:dyDescent="0.25">
      <c r="A2594" t="str">
        <f t="shared" si="62"/>
        <v/>
      </c>
    </row>
    <row r="2595" spans="1:1" x14ac:dyDescent="0.25">
      <c r="A2595" t="str">
        <f t="shared" si="62"/>
        <v/>
      </c>
    </row>
    <row r="2596" spans="1:1" x14ac:dyDescent="0.25">
      <c r="A2596" t="str">
        <f t="shared" si="62"/>
        <v/>
      </c>
    </row>
    <row r="2597" spans="1:1" x14ac:dyDescent="0.25">
      <c r="A2597" t="str">
        <f t="shared" si="62"/>
        <v/>
      </c>
    </row>
    <row r="2598" spans="1:1" x14ac:dyDescent="0.25">
      <c r="A2598" t="str">
        <f t="shared" si="62"/>
        <v/>
      </c>
    </row>
    <row r="2599" spans="1:1" x14ac:dyDescent="0.25">
      <c r="A2599" t="str">
        <f t="shared" si="62"/>
        <v/>
      </c>
    </row>
    <row r="2600" spans="1:1" x14ac:dyDescent="0.25">
      <c r="A2600" t="str">
        <f t="shared" si="62"/>
        <v/>
      </c>
    </row>
    <row r="2601" spans="1:1" x14ac:dyDescent="0.25">
      <c r="A2601" t="str">
        <f t="shared" si="62"/>
        <v/>
      </c>
    </row>
    <row r="2602" spans="1:1" x14ac:dyDescent="0.25">
      <c r="A2602" t="str">
        <f t="shared" si="62"/>
        <v/>
      </c>
    </row>
    <row r="2603" spans="1:1" x14ac:dyDescent="0.25">
      <c r="A2603" t="str">
        <f t="shared" si="62"/>
        <v/>
      </c>
    </row>
    <row r="2604" spans="1:1" x14ac:dyDescent="0.25">
      <c r="A2604" t="str">
        <f t="shared" si="62"/>
        <v/>
      </c>
    </row>
    <row r="2605" spans="1:1" x14ac:dyDescent="0.25">
      <c r="A2605" t="str">
        <f t="shared" si="62"/>
        <v/>
      </c>
    </row>
    <row r="2606" spans="1:1" x14ac:dyDescent="0.25">
      <c r="A2606" t="str">
        <f t="shared" si="62"/>
        <v/>
      </c>
    </row>
    <row r="2607" spans="1:1" x14ac:dyDescent="0.25">
      <c r="A2607" t="str">
        <f t="shared" si="62"/>
        <v/>
      </c>
    </row>
    <row r="2608" spans="1:1" x14ac:dyDescent="0.25">
      <c r="A2608" t="str">
        <f t="shared" si="62"/>
        <v/>
      </c>
    </row>
    <row r="2609" spans="1:1" x14ac:dyDescent="0.25">
      <c r="A2609" t="str">
        <f t="shared" si="62"/>
        <v/>
      </c>
    </row>
    <row r="2610" spans="1:1" x14ac:dyDescent="0.25">
      <c r="A2610" t="str">
        <f t="shared" si="62"/>
        <v/>
      </c>
    </row>
    <row r="2611" spans="1:1" x14ac:dyDescent="0.25">
      <c r="A2611" t="str">
        <f t="shared" si="62"/>
        <v/>
      </c>
    </row>
    <row r="2612" spans="1:1" x14ac:dyDescent="0.25">
      <c r="A2612" t="str">
        <f t="shared" si="62"/>
        <v/>
      </c>
    </row>
    <row r="2613" spans="1:1" x14ac:dyDescent="0.25">
      <c r="A2613" t="str">
        <f t="shared" si="62"/>
        <v/>
      </c>
    </row>
    <row r="2614" spans="1:1" x14ac:dyDescent="0.25">
      <c r="A2614" t="str">
        <f t="shared" si="62"/>
        <v/>
      </c>
    </row>
    <row r="2615" spans="1:1" x14ac:dyDescent="0.25">
      <c r="A2615" t="str">
        <f t="shared" si="62"/>
        <v/>
      </c>
    </row>
    <row r="2616" spans="1:1" x14ac:dyDescent="0.25">
      <c r="A2616" t="str">
        <f t="shared" si="62"/>
        <v/>
      </c>
    </row>
    <row r="2617" spans="1:1" x14ac:dyDescent="0.25">
      <c r="A2617" t="str">
        <f t="shared" si="62"/>
        <v/>
      </c>
    </row>
    <row r="2618" spans="1:1" x14ac:dyDescent="0.25">
      <c r="A2618" t="str">
        <f t="shared" si="62"/>
        <v/>
      </c>
    </row>
    <row r="2619" spans="1:1" x14ac:dyDescent="0.25">
      <c r="A2619" t="str">
        <f t="shared" si="62"/>
        <v/>
      </c>
    </row>
    <row r="2620" spans="1:1" x14ac:dyDescent="0.25">
      <c r="A2620" t="str">
        <f t="shared" si="62"/>
        <v/>
      </c>
    </row>
    <row r="2621" spans="1:1" x14ac:dyDescent="0.25">
      <c r="A2621" t="str">
        <f t="shared" si="62"/>
        <v/>
      </c>
    </row>
    <row r="2622" spans="1:1" x14ac:dyDescent="0.25">
      <c r="A2622" t="str">
        <f t="shared" si="62"/>
        <v/>
      </c>
    </row>
    <row r="2623" spans="1:1" x14ac:dyDescent="0.25">
      <c r="A2623" t="str">
        <f t="shared" si="62"/>
        <v/>
      </c>
    </row>
    <row r="2624" spans="1:1" x14ac:dyDescent="0.25">
      <c r="A2624" t="str">
        <f t="shared" si="62"/>
        <v/>
      </c>
    </row>
    <row r="2625" spans="1:1" x14ac:dyDescent="0.25">
      <c r="A2625" t="str">
        <f t="shared" ref="A2625:A2688" si="63">E2625&amp;C2625&amp;D2625</f>
        <v/>
      </c>
    </row>
    <row r="2626" spans="1:1" x14ac:dyDescent="0.25">
      <c r="A2626" t="str">
        <f t="shared" si="63"/>
        <v/>
      </c>
    </row>
    <row r="2627" spans="1:1" x14ac:dyDescent="0.25">
      <c r="A2627" t="str">
        <f t="shared" si="63"/>
        <v/>
      </c>
    </row>
    <row r="2628" spans="1:1" x14ac:dyDescent="0.25">
      <c r="A2628" t="str">
        <f t="shared" si="63"/>
        <v/>
      </c>
    </row>
    <row r="2629" spans="1:1" x14ac:dyDescent="0.25">
      <c r="A2629" t="str">
        <f t="shared" si="63"/>
        <v/>
      </c>
    </row>
    <row r="2630" spans="1:1" x14ac:dyDescent="0.25">
      <c r="A2630" t="str">
        <f t="shared" si="63"/>
        <v/>
      </c>
    </row>
    <row r="2631" spans="1:1" x14ac:dyDescent="0.25">
      <c r="A2631" t="str">
        <f t="shared" si="63"/>
        <v/>
      </c>
    </row>
    <row r="2632" spans="1:1" x14ac:dyDescent="0.25">
      <c r="A2632" t="str">
        <f t="shared" si="63"/>
        <v/>
      </c>
    </row>
    <row r="2633" spans="1:1" x14ac:dyDescent="0.25">
      <c r="A2633" t="str">
        <f t="shared" si="63"/>
        <v/>
      </c>
    </row>
    <row r="2634" spans="1:1" x14ac:dyDescent="0.25">
      <c r="A2634" t="str">
        <f t="shared" si="63"/>
        <v/>
      </c>
    </row>
    <row r="2635" spans="1:1" x14ac:dyDescent="0.25">
      <c r="A2635" t="str">
        <f t="shared" si="63"/>
        <v/>
      </c>
    </row>
    <row r="2636" spans="1:1" x14ac:dyDescent="0.25">
      <c r="A2636" t="str">
        <f t="shared" si="63"/>
        <v/>
      </c>
    </row>
    <row r="2637" spans="1:1" x14ac:dyDescent="0.25">
      <c r="A2637" t="str">
        <f t="shared" si="63"/>
        <v/>
      </c>
    </row>
    <row r="2638" spans="1:1" x14ac:dyDescent="0.25">
      <c r="A2638" t="str">
        <f t="shared" si="63"/>
        <v/>
      </c>
    </row>
    <row r="2639" spans="1:1" x14ac:dyDescent="0.25">
      <c r="A2639" t="str">
        <f t="shared" si="63"/>
        <v/>
      </c>
    </row>
    <row r="2640" spans="1:1" x14ac:dyDescent="0.25">
      <c r="A2640" t="str">
        <f t="shared" si="63"/>
        <v/>
      </c>
    </row>
    <row r="2641" spans="1:1" x14ac:dyDescent="0.25">
      <c r="A2641" t="str">
        <f t="shared" si="63"/>
        <v/>
      </c>
    </row>
    <row r="2642" spans="1:1" x14ac:dyDescent="0.25">
      <c r="A2642" t="str">
        <f t="shared" si="63"/>
        <v/>
      </c>
    </row>
    <row r="2643" spans="1:1" x14ac:dyDescent="0.25">
      <c r="A2643" t="str">
        <f t="shared" si="63"/>
        <v/>
      </c>
    </row>
    <row r="2644" spans="1:1" x14ac:dyDescent="0.25">
      <c r="A2644" t="str">
        <f t="shared" si="63"/>
        <v/>
      </c>
    </row>
    <row r="2645" spans="1:1" x14ac:dyDescent="0.25">
      <c r="A2645" t="str">
        <f t="shared" si="63"/>
        <v/>
      </c>
    </row>
    <row r="2646" spans="1:1" x14ac:dyDescent="0.25">
      <c r="A2646" t="str">
        <f t="shared" si="63"/>
        <v/>
      </c>
    </row>
    <row r="2647" spans="1:1" x14ac:dyDescent="0.25">
      <c r="A2647" t="str">
        <f t="shared" si="63"/>
        <v/>
      </c>
    </row>
    <row r="2648" spans="1:1" x14ac:dyDescent="0.25">
      <c r="A2648" t="str">
        <f t="shared" si="63"/>
        <v/>
      </c>
    </row>
    <row r="2649" spans="1:1" x14ac:dyDescent="0.25">
      <c r="A2649" t="str">
        <f t="shared" si="63"/>
        <v/>
      </c>
    </row>
    <row r="2650" spans="1:1" x14ac:dyDescent="0.25">
      <c r="A2650" t="str">
        <f t="shared" si="63"/>
        <v/>
      </c>
    </row>
    <row r="2651" spans="1:1" x14ac:dyDescent="0.25">
      <c r="A2651" t="str">
        <f t="shared" si="63"/>
        <v/>
      </c>
    </row>
    <row r="2652" spans="1:1" x14ac:dyDescent="0.25">
      <c r="A2652" t="str">
        <f t="shared" si="63"/>
        <v/>
      </c>
    </row>
    <row r="2653" spans="1:1" x14ac:dyDescent="0.25">
      <c r="A2653" t="str">
        <f t="shared" si="63"/>
        <v/>
      </c>
    </row>
    <row r="2654" spans="1:1" x14ac:dyDescent="0.25">
      <c r="A2654" t="str">
        <f t="shared" si="63"/>
        <v/>
      </c>
    </row>
    <row r="2655" spans="1:1" x14ac:dyDescent="0.25">
      <c r="A2655" t="str">
        <f t="shared" si="63"/>
        <v/>
      </c>
    </row>
    <row r="2656" spans="1:1" x14ac:dyDescent="0.25">
      <c r="A2656" t="str">
        <f t="shared" si="63"/>
        <v/>
      </c>
    </row>
    <row r="2657" spans="1:1" x14ac:dyDescent="0.25">
      <c r="A2657" t="str">
        <f t="shared" si="63"/>
        <v/>
      </c>
    </row>
    <row r="2658" spans="1:1" x14ac:dyDescent="0.25">
      <c r="A2658" t="str">
        <f t="shared" si="63"/>
        <v/>
      </c>
    </row>
    <row r="2659" spans="1:1" x14ac:dyDescent="0.25">
      <c r="A2659" t="str">
        <f t="shared" si="63"/>
        <v/>
      </c>
    </row>
    <row r="2660" spans="1:1" x14ac:dyDescent="0.25">
      <c r="A2660" t="str">
        <f t="shared" si="63"/>
        <v/>
      </c>
    </row>
    <row r="2661" spans="1:1" x14ac:dyDescent="0.25">
      <c r="A2661" t="str">
        <f t="shared" si="63"/>
        <v/>
      </c>
    </row>
    <row r="2662" spans="1:1" x14ac:dyDescent="0.25">
      <c r="A2662" t="str">
        <f t="shared" si="63"/>
        <v/>
      </c>
    </row>
    <row r="2663" spans="1:1" x14ac:dyDescent="0.25">
      <c r="A2663" t="str">
        <f t="shared" si="63"/>
        <v/>
      </c>
    </row>
    <row r="2664" spans="1:1" x14ac:dyDescent="0.25">
      <c r="A2664" t="str">
        <f t="shared" si="63"/>
        <v/>
      </c>
    </row>
    <row r="2665" spans="1:1" x14ac:dyDescent="0.25">
      <c r="A2665" t="str">
        <f t="shared" si="63"/>
        <v/>
      </c>
    </row>
    <row r="2666" spans="1:1" x14ac:dyDescent="0.25">
      <c r="A2666" t="str">
        <f t="shared" si="63"/>
        <v/>
      </c>
    </row>
    <row r="2667" spans="1:1" x14ac:dyDescent="0.25">
      <c r="A2667" t="str">
        <f t="shared" si="63"/>
        <v/>
      </c>
    </row>
    <row r="2668" spans="1:1" x14ac:dyDescent="0.25">
      <c r="A2668" t="str">
        <f t="shared" si="63"/>
        <v/>
      </c>
    </row>
    <row r="2669" spans="1:1" x14ac:dyDescent="0.25">
      <c r="A2669" t="str">
        <f t="shared" si="63"/>
        <v/>
      </c>
    </row>
    <row r="2670" spans="1:1" x14ac:dyDescent="0.25">
      <c r="A2670" t="str">
        <f t="shared" si="63"/>
        <v/>
      </c>
    </row>
    <row r="2671" spans="1:1" x14ac:dyDescent="0.25">
      <c r="A2671" t="str">
        <f t="shared" si="63"/>
        <v/>
      </c>
    </row>
    <row r="2672" spans="1:1" x14ac:dyDescent="0.25">
      <c r="A2672" t="str">
        <f t="shared" si="63"/>
        <v/>
      </c>
    </row>
    <row r="2673" spans="1:1" x14ac:dyDescent="0.25">
      <c r="A2673" t="str">
        <f t="shared" si="63"/>
        <v/>
      </c>
    </row>
    <row r="2674" spans="1:1" x14ac:dyDescent="0.25">
      <c r="A2674" t="str">
        <f t="shared" si="63"/>
        <v/>
      </c>
    </row>
    <row r="2675" spans="1:1" x14ac:dyDescent="0.25">
      <c r="A2675" t="str">
        <f t="shared" si="63"/>
        <v/>
      </c>
    </row>
    <row r="2676" spans="1:1" x14ac:dyDescent="0.25">
      <c r="A2676" t="str">
        <f t="shared" si="63"/>
        <v/>
      </c>
    </row>
    <row r="2677" spans="1:1" x14ac:dyDescent="0.25">
      <c r="A2677" t="str">
        <f t="shared" si="63"/>
        <v/>
      </c>
    </row>
    <row r="2678" spans="1:1" x14ac:dyDescent="0.25">
      <c r="A2678" t="str">
        <f t="shared" si="63"/>
        <v/>
      </c>
    </row>
    <row r="2679" spans="1:1" x14ac:dyDescent="0.25">
      <c r="A2679" t="str">
        <f t="shared" si="63"/>
        <v/>
      </c>
    </row>
    <row r="2680" spans="1:1" x14ac:dyDescent="0.25">
      <c r="A2680" t="str">
        <f t="shared" si="63"/>
        <v/>
      </c>
    </row>
    <row r="2681" spans="1:1" x14ac:dyDescent="0.25">
      <c r="A2681" t="str">
        <f t="shared" si="63"/>
        <v/>
      </c>
    </row>
    <row r="2682" spans="1:1" x14ac:dyDescent="0.25">
      <c r="A2682" t="str">
        <f t="shared" si="63"/>
        <v/>
      </c>
    </row>
    <row r="2683" spans="1:1" x14ac:dyDescent="0.25">
      <c r="A2683" t="str">
        <f t="shared" si="63"/>
        <v/>
      </c>
    </row>
    <row r="2684" spans="1:1" x14ac:dyDescent="0.25">
      <c r="A2684" t="str">
        <f t="shared" si="63"/>
        <v/>
      </c>
    </row>
    <row r="2685" spans="1:1" x14ac:dyDescent="0.25">
      <c r="A2685" t="str">
        <f t="shared" si="63"/>
        <v/>
      </c>
    </row>
    <row r="2686" spans="1:1" x14ac:dyDescent="0.25">
      <c r="A2686" t="str">
        <f t="shared" si="63"/>
        <v/>
      </c>
    </row>
    <row r="2687" spans="1:1" x14ac:dyDescent="0.25">
      <c r="A2687" t="str">
        <f t="shared" si="63"/>
        <v/>
      </c>
    </row>
    <row r="2688" spans="1:1" x14ac:dyDescent="0.25">
      <c r="A2688" t="str">
        <f t="shared" si="63"/>
        <v/>
      </c>
    </row>
    <row r="2689" spans="1:1" x14ac:dyDescent="0.25">
      <c r="A2689" t="str">
        <f t="shared" ref="A2689:A2752" si="64">E2689&amp;C2689&amp;D2689</f>
        <v/>
      </c>
    </row>
    <row r="2690" spans="1:1" x14ac:dyDescent="0.25">
      <c r="A2690" t="str">
        <f t="shared" si="64"/>
        <v/>
      </c>
    </row>
    <row r="2691" spans="1:1" x14ac:dyDescent="0.25">
      <c r="A2691" t="str">
        <f t="shared" si="64"/>
        <v/>
      </c>
    </row>
    <row r="2692" spans="1:1" x14ac:dyDescent="0.25">
      <c r="A2692" t="str">
        <f t="shared" si="64"/>
        <v/>
      </c>
    </row>
    <row r="2693" spans="1:1" x14ac:dyDescent="0.25">
      <c r="A2693" t="str">
        <f t="shared" si="64"/>
        <v/>
      </c>
    </row>
    <row r="2694" spans="1:1" x14ac:dyDescent="0.25">
      <c r="A2694" t="str">
        <f t="shared" si="64"/>
        <v/>
      </c>
    </row>
    <row r="2695" spans="1:1" x14ac:dyDescent="0.25">
      <c r="A2695" t="str">
        <f t="shared" si="64"/>
        <v/>
      </c>
    </row>
    <row r="2696" spans="1:1" x14ac:dyDescent="0.25">
      <c r="A2696" t="str">
        <f t="shared" si="64"/>
        <v/>
      </c>
    </row>
    <row r="2697" spans="1:1" x14ac:dyDescent="0.25">
      <c r="A2697" t="str">
        <f t="shared" si="64"/>
        <v/>
      </c>
    </row>
    <row r="2698" spans="1:1" x14ac:dyDescent="0.25">
      <c r="A2698" t="str">
        <f t="shared" si="64"/>
        <v/>
      </c>
    </row>
    <row r="2699" spans="1:1" x14ac:dyDescent="0.25">
      <c r="A2699" t="str">
        <f t="shared" si="64"/>
        <v/>
      </c>
    </row>
    <row r="2700" spans="1:1" x14ac:dyDescent="0.25">
      <c r="A2700" t="str">
        <f t="shared" si="64"/>
        <v/>
      </c>
    </row>
    <row r="2701" spans="1:1" x14ac:dyDescent="0.25">
      <c r="A2701" t="str">
        <f t="shared" si="64"/>
        <v/>
      </c>
    </row>
    <row r="2702" spans="1:1" x14ac:dyDescent="0.25">
      <c r="A2702" t="str">
        <f t="shared" si="64"/>
        <v/>
      </c>
    </row>
    <row r="2703" spans="1:1" x14ac:dyDescent="0.25">
      <c r="A2703" t="str">
        <f t="shared" si="64"/>
        <v/>
      </c>
    </row>
    <row r="2704" spans="1:1" x14ac:dyDescent="0.25">
      <c r="A2704" t="str">
        <f t="shared" si="64"/>
        <v/>
      </c>
    </row>
    <row r="2705" spans="1:1" x14ac:dyDescent="0.25">
      <c r="A2705" t="str">
        <f t="shared" si="64"/>
        <v/>
      </c>
    </row>
    <row r="2706" spans="1:1" x14ac:dyDescent="0.25">
      <c r="A2706" t="str">
        <f t="shared" si="64"/>
        <v/>
      </c>
    </row>
    <row r="2707" spans="1:1" x14ac:dyDescent="0.25">
      <c r="A2707" t="str">
        <f t="shared" si="64"/>
        <v/>
      </c>
    </row>
    <row r="2708" spans="1:1" x14ac:dyDescent="0.25">
      <c r="A2708" t="str">
        <f t="shared" si="64"/>
        <v/>
      </c>
    </row>
    <row r="2709" spans="1:1" x14ac:dyDescent="0.25">
      <c r="A2709" t="str">
        <f t="shared" si="64"/>
        <v/>
      </c>
    </row>
    <row r="2710" spans="1:1" x14ac:dyDescent="0.25">
      <c r="A2710" t="str">
        <f t="shared" si="64"/>
        <v/>
      </c>
    </row>
    <row r="2711" spans="1:1" x14ac:dyDescent="0.25">
      <c r="A2711" t="str">
        <f t="shared" si="64"/>
        <v/>
      </c>
    </row>
    <row r="2712" spans="1:1" x14ac:dyDescent="0.25">
      <c r="A2712" t="str">
        <f t="shared" si="64"/>
        <v/>
      </c>
    </row>
    <row r="2713" spans="1:1" x14ac:dyDescent="0.25">
      <c r="A2713" t="str">
        <f t="shared" si="64"/>
        <v/>
      </c>
    </row>
    <row r="2714" spans="1:1" x14ac:dyDescent="0.25">
      <c r="A2714" t="str">
        <f t="shared" si="64"/>
        <v/>
      </c>
    </row>
    <row r="2715" spans="1:1" x14ac:dyDescent="0.25">
      <c r="A2715" t="str">
        <f t="shared" si="64"/>
        <v/>
      </c>
    </row>
    <row r="2716" spans="1:1" x14ac:dyDescent="0.25">
      <c r="A2716" t="str">
        <f t="shared" si="64"/>
        <v/>
      </c>
    </row>
    <row r="2717" spans="1:1" x14ac:dyDescent="0.25">
      <c r="A2717" t="str">
        <f t="shared" si="64"/>
        <v/>
      </c>
    </row>
    <row r="2718" spans="1:1" x14ac:dyDescent="0.25">
      <c r="A2718" t="str">
        <f t="shared" si="64"/>
        <v/>
      </c>
    </row>
    <row r="2719" spans="1:1" x14ac:dyDescent="0.25">
      <c r="A2719" t="str">
        <f t="shared" si="64"/>
        <v/>
      </c>
    </row>
    <row r="2720" spans="1:1" x14ac:dyDescent="0.25">
      <c r="A2720" t="str">
        <f t="shared" si="64"/>
        <v/>
      </c>
    </row>
    <row r="2721" spans="1:1" x14ac:dyDescent="0.25">
      <c r="A2721" t="str">
        <f t="shared" si="64"/>
        <v/>
      </c>
    </row>
    <row r="2722" spans="1:1" x14ac:dyDescent="0.25">
      <c r="A2722" t="str">
        <f t="shared" si="64"/>
        <v/>
      </c>
    </row>
    <row r="2723" spans="1:1" x14ac:dyDescent="0.25">
      <c r="A2723" t="str">
        <f t="shared" si="64"/>
        <v/>
      </c>
    </row>
    <row r="2724" spans="1:1" x14ac:dyDescent="0.25">
      <c r="A2724" t="str">
        <f t="shared" si="64"/>
        <v/>
      </c>
    </row>
    <row r="2725" spans="1:1" x14ac:dyDescent="0.25">
      <c r="A2725" t="str">
        <f t="shared" si="64"/>
        <v/>
      </c>
    </row>
    <row r="2726" spans="1:1" x14ac:dyDescent="0.25">
      <c r="A2726" t="str">
        <f t="shared" si="64"/>
        <v/>
      </c>
    </row>
    <row r="2727" spans="1:1" x14ac:dyDescent="0.25">
      <c r="A2727" t="str">
        <f t="shared" si="64"/>
        <v/>
      </c>
    </row>
    <row r="2728" spans="1:1" x14ac:dyDescent="0.25">
      <c r="A2728" t="str">
        <f t="shared" si="64"/>
        <v/>
      </c>
    </row>
    <row r="2729" spans="1:1" x14ac:dyDescent="0.25">
      <c r="A2729" t="str">
        <f t="shared" si="64"/>
        <v/>
      </c>
    </row>
    <row r="2730" spans="1:1" x14ac:dyDescent="0.25">
      <c r="A2730" t="str">
        <f t="shared" si="64"/>
        <v/>
      </c>
    </row>
    <row r="2731" spans="1:1" x14ac:dyDescent="0.25">
      <c r="A2731" t="str">
        <f t="shared" si="64"/>
        <v/>
      </c>
    </row>
    <row r="2732" spans="1:1" x14ac:dyDescent="0.25">
      <c r="A2732" t="str">
        <f t="shared" si="64"/>
        <v/>
      </c>
    </row>
    <row r="2733" spans="1:1" x14ac:dyDescent="0.25">
      <c r="A2733" t="str">
        <f t="shared" si="64"/>
        <v/>
      </c>
    </row>
    <row r="2734" spans="1:1" x14ac:dyDescent="0.25">
      <c r="A2734" t="str">
        <f t="shared" si="64"/>
        <v/>
      </c>
    </row>
    <row r="2735" spans="1:1" x14ac:dyDescent="0.25">
      <c r="A2735" t="str">
        <f t="shared" si="64"/>
        <v/>
      </c>
    </row>
    <row r="2736" spans="1:1" x14ac:dyDescent="0.25">
      <c r="A2736" t="str">
        <f t="shared" si="64"/>
        <v/>
      </c>
    </row>
    <row r="2737" spans="1:1" x14ac:dyDescent="0.25">
      <c r="A2737" t="str">
        <f t="shared" si="64"/>
        <v/>
      </c>
    </row>
    <row r="2738" spans="1:1" x14ac:dyDescent="0.25">
      <c r="A2738" t="str">
        <f t="shared" si="64"/>
        <v/>
      </c>
    </row>
    <row r="2739" spans="1:1" x14ac:dyDescent="0.25">
      <c r="A2739" t="str">
        <f t="shared" si="64"/>
        <v/>
      </c>
    </row>
    <row r="2740" spans="1:1" x14ac:dyDescent="0.25">
      <c r="A2740" t="str">
        <f t="shared" si="64"/>
        <v/>
      </c>
    </row>
    <row r="2741" spans="1:1" x14ac:dyDescent="0.25">
      <c r="A2741" t="str">
        <f t="shared" si="64"/>
        <v/>
      </c>
    </row>
    <row r="2742" spans="1:1" x14ac:dyDescent="0.25">
      <c r="A2742" t="str">
        <f t="shared" si="64"/>
        <v/>
      </c>
    </row>
    <row r="2743" spans="1:1" x14ac:dyDescent="0.25">
      <c r="A2743" t="str">
        <f t="shared" si="64"/>
        <v/>
      </c>
    </row>
    <row r="2744" spans="1:1" x14ac:dyDescent="0.25">
      <c r="A2744" t="str">
        <f t="shared" si="64"/>
        <v/>
      </c>
    </row>
    <row r="2745" spans="1:1" x14ac:dyDescent="0.25">
      <c r="A2745" t="str">
        <f t="shared" si="64"/>
        <v/>
      </c>
    </row>
    <row r="2746" spans="1:1" x14ac:dyDescent="0.25">
      <c r="A2746" t="str">
        <f t="shared" si="64"/>
        <v/>
      </c>
    </row>
    <row r="2747" spans="1:1" x14ac:dyDescent="0.25">
      <c r="A2747" t="str">
        <f t="shared" si="64"/>
        <v/>
      </c>
    </row>
    <row r="2748" spans="1:1" x14ac:dyDescent="0.25">
      <c r="A2748" t="str">
        <f t="shared" si="64"/>
        <v/>
      </c>
    </row>
    <row r="2749" spans="1:1" x14ac:dyDescent="0.25">
      <c r="A2749" t="str">
        <f t="shared" si="64"/>
        <v/>
      </c>
    </row>
    <row r="2750" spans="1:1" x14ac:dyDescent="0.25">
      <c r="A2750" t="str">
        <f t="shared" si="64"/>
        <v/>
      </c>
    </row>
    <row r="2751" spans="1:1" x14ac:dyDescent="0.25">
      <c r="A2751" t="str">
        <f t="shared" si="64"/>
        <v/>
      </c>
    </row>
    <row r="2752" spans="1:1" x14ac:dyDescent="0.25">
      <c r="A2752" t="str">
        <f t="shared" si="64"/>
        <v/>
      </c>
    </row>
    <row r="2753" spans="1:1" x14ac:dyDescent="0.25">
      <c r="A2753" t="str">
        <f t="shared" ref="A2753:A2816" si="65">E2753&amp;C2753&amp;D2753</f>
        <v/>
      </c>
    </row>
    <row r="2754" spans="1:1" x14ac:dyDescent="0.25">
      <c r="A2754" t="str">
        <f t="shared" si="65"/>
        <v/>
      </c>
    </row>
    <row r="2755" spans="1:1" x14ac:dyDescent="0.25">
      <c r="A2755" t="str">
        <f t="shared" si="65"/>
        <v/>
      </c>
    </row>
    <row r="2756" spans="1:1" x14ac:dyDescent="0.25">
      <c r="A2756" t="str">
        <f t="shared" si="65"/>
        <v/>
      </c>
    </row>
    <row r="2757" spans="1:1" x14ac:dyDescent="0.25">
      <c r="A2757" t="str">
        <f t="shared" si="65"/>
        <v/>
      </c>
    </row>
    <row r="2758" spans="1:1" x14ac:dyDescent="0.25">
      <c r="A2758" t="str">
        <f t="shared" si="65"/>
        <v/>
      </c>
    </row>
    <row r="2759" spans="1:1" x14ac:dyDescent="0.25">
      <c r="A2759" t="str">
        <f t="shared" si="65"/>
        <v/>
      </c>
    </row>
    <row r="2760" spans="1:1" x14ac:dyDescent="0.25">
      <c r="A2760" t="str">
        <f t="shared" si="65"/>
        <v/>
      </c>
    </row>
    <row r="2761" spans="1:1" x14ac:dyDescent="0.25">
      <c r="A2761" t="str">
        <f t="shared" si="65"/>
        <v/>
      </c>
    </row>
    <row r="2762" spans="1:1" x14ac:dyDescent="0.25">
      <c r="A2762" t="str">
        <f t="shared" si="65"/>
        <v/>
      </c>
    </row>
    <row r="2763" spans="1:1" x14ac:dyDescent="0.25">
      <c r="A2763" t="str">
        <f t="shared" si="65"/>
        <v/>
      </c>
    </row>
    <row r="2764" spans="1:1" x14ac:dyDescent="0.25">
      <c r="A2764" t="str">
        <f t="shared" si="65"/>
        <v/>
      </c>
    </row>
    <row r="2765" spans="1:1" x14ac:dyDescent="0.25">
      <c r="A2765" t="str">
        <f t="shared" si="65"/>
        <v/>
      </c>
    </row>
    <row r="2766" spans="1:1" x14ac:dyDescent="0.25">
      <c r="A2766" t="str">
        <f t="shared" si="65"/>
        <v/>
      </c>
    </row>
    <row r="2767" spans="1:1" x14ac:dyDescent="0.25">
      <c r="A2767" t="str">
        <f t="shared" si="65"/>
        <v/>
      </c>
    </row>
    <row r="2768" spans="1:1" x14ac:dyDescent="0.25">
      <c r="A2768" t="str">
        <f t="shared" si="65"/>
        <v/>
      </c>
    </row>
    <row r="2769" spans="1:1" x14ac:dyDescent="0.25">
      <c r="A2769" t="str">
        <f t="shared" si="65"/>
        <v/>
      </c>
    </row>
    <row r="2770" spans="1:1" x14ac:dyDescent="0.25">
      <c r="A2770" t="str">
        <f t="shared" si="65"/>
        <v/>
      </c>
    </row>
    <row r="2771" spans="1:1" x14ac:dyDescent="0.25">
      <c r="A2771" t="str">
        <f t="shared" si="65"/>
        <v/>
      </c>
    </row>
    <row r="2772" spans="1:1" x14ac:dyDescent="0.25">
      <c r="A2772" t="str">
        <f t="shared" si="65"/>
        <v/>
      </c>
    </row>
    <row r="2773" spans="1:1" x14ac:dyDescent="0.25">
      <c r="A2773" t="str">
        <f t="shared" si="65"/>
        <v/>
      </c>
    </row>
    <row r="2774" spans="1:1" x14ac:dyDescent="0.25">
      <c r="A2774" t="str">
        <f t="shared" si="65"/>
        <v/>
      </c>
    </row>
    <row r="2775" spans="1:1" x14ac:dyDescent="0.25">
      <c r="A2775" t="str">
        <f t="shared" si="65"/>
        <v/>
      </c>
    </row>
    <row r="2776" spans="1:1" x14ac:dyDescent="0.25">
      <c r="A2776" t="str">
        <f t="shared" si="65"/>
        <v/>
      </c>
    </row>
    <row r="2777" spans="1:1" x14ac:dyDescent="0.25">
      <c r="A2777" t="str">
        <f t="shared" si="65"/>
        <v/>
      </c>
    </row>
    <row r="2778" spans="1:1" x14ac:dyDescent="0.25">
      <c r="A2778" t="str">
        <f t="shared" si="65"/>
        <v/>
      </c>
    </row>
    <row r="2779" spans="1:1" x14ac:dyDescent="0.25">
      <c r="A2779" t="str">
        <f t="shared" si="65"/>
        <v/>
      </c>
    </row>
    <row r="2780" spans="1:1" x14ac:dyDescent="0.25">
      <c r="A2780" t="str">
        <f t="shared" si="65"/>
        <v/>
      </c>
    </row>
    <row r="2781" spans="1:1" x14ac:dyDescent="0.25">
      <c r="A2781" t="str">
        <f t="shared" si="65"/>
        <v/>
      </c>
    </row>
    <row r="2782" spans="1:1" x14ac:dyDescent="0.25">
      <c r="A2782" t="str">
        <f t="shared" si="65"/>
        <v/>
      </c>
    </row>
    <row r="2783" spans="1:1" x14ac:dyDescent="0.25">
      <c r="A2783" t="str">
        <f t="shared" si="65"/>
        <v/>
      </c>
    </row>
    <row r="2784" spans="1:1" x14ac:dyDescent="0.25">
      <c r="A2784" t="str">
        <f t="shared" si="65"/>
        <v/>
      </c>
    </row>
    <row r="2785" spans="1:1" x14ac:dyDescent="0.25">
      <c r="A2785" t="str">
        <f t="shared" si="65"/>
        <v/>
      </c>
    </row>
    <row r="2786" spans="1:1" x14ac:dyDescent="0.25">
      <c r="A2786" t="str">
        <f t="shared" si="65"/>
        <v/>
      </c>
    </row>
    <row r="2787" spans="1:1" x14ac:dyDescent="0.25">
      <c r="A2787" t="str">
        <f t="shared" si="65"/>
        <v/>
      </c>
    </row>
    <row r="2788" spans="1:1" x14ac:dyDescent="0.25">
      <c r="A2788" t="str">
        <f t="shared" si="65"/>
        <v/>
      </c>
    </row>
    <row r="2789" spans="1:1" x14ac:dyDescent="0.25">
      <c r="A2789" t="str">
        <f t="shared" si="65"/>
        <v/>
      </c>
    </row>
    <row r="2790" spans="1:1" x14ac:dyDescent="0.25">
      <c r="A2790" t="str">
        <f t="shared" si="65"/>
        <v/>
      </c>
    </row>
    <row r="2791" spans="1:1" x14ac:dyDescent="0.25">
      <c r="A2791" t="str">
        <f t="shared" si="65"/>
        <v/>
      </c>
    </row>
    <row r="2792" spans="1:1" x14ac:dyDescent="0.25">
      <c r="A2792" t="str">
        <f t="shared" si="65"/>
        <v/>
      </c>
    </row>
    <row r="2793" spans="1:1" x14ac:dyDescent="0.25">
      <c r="A2793" t="str">
        <f t="shared" si="65"/>
        <v/>
      </c>
    </row>
    <row r="2794" spans="1:1" x14ac:dyDescent="0.25">
      <c r="A2794" t="str">
        <f t="shared" si="65"/>
        <v/>
      </c>
    </row>
    <row r="2795" spans="1:1" x14ac:dyDescent="0.25">
      <c r="A2795" t="str">
        <f t="shared" si="65"/>
        <v/>
      </c>
    </row>
    <row r="2796" spans="1:1" x14ac:dyDescent="0.25">
      <c r="A2796" t="str">
        <f t="shared" si="65"/>
        <v/>
      </c>
    </row>
    <row r="2797" spans="1:1" x14ac:dyDescent="0.25">
      <c r="A2797" t="str">
        <f t="shared" si="65"/>
        <v/>
      </c>
    </row>
    <row r="2798" spans="1:1" x14ac:dyDescent="0.25">
      <c r="A2798" t="str">
        <f t="shared" si="65"/>
        <v/>
      </c>
    </row>
    <row r="2799" spans="1:1" x14ac:dyDescent="0.25">
      <c r="A2799" t="str">
        <f t="shared" si="65"/>
        <v/>
      </c>
    </row>
    <row r="2800" spans="1:1" x14ac:dyDescent="0.25">
      <c r="A2800" t="str">
        <f t="shared" si="65"/>
        <v/>
      </c>
    </row>
    <row r="2801" spans="1:1" x14ac:dyDescent="0.25">
      <c r="A2801" t="str">
        <f t="shared" si="65"/>
        <v/>
      </c>
    </row>
    <row r="2802" spans="1:1" x14ac:dyDescent="0.25">
      <c r="A2802" t="str">
        <f t="shared" si="65"/>
        <v/>
      </c>
    </row>
    <row r="2803" spans="1:1" x14ac:dyDescent="0.25">
      <c r="A2803" t="str">
        <f t="shared" si="65"/>
        <v/>
      </c>
    </row>
    <row r="2804" spans="1:1" x14ac:dyDescent="0.25">
      <c r="A2804" t="str">
        <f t="shared" si="65"/>
        <v/>
      </c>
    </row>
    <row r="2805" spans="1:1" x14ac:dyDescent="0.25">
      <c r="A2805" t="str">
        <f t="shared" si="65"/>
        <v/>
      </c>
    </row>
    <row r="2806" spans="1:1" x14ac:dyDescent="0.25">
      <c r="A2806" t="str">
        <f t="shared" si="65"/>
        <v/>
      </c>
    </row>
    <row r="2807" spans="1:1" x14ac:dyDescent="0.25">
      <c r="A2807" t="str">
        <f t="shared" si="65"/>
        <v/>
      </c>
    </row>
    <row r="2808" spans="1:1" x14ac:dyDescent="0.25">
      <c r="A2808" t="str">
        <f t="shared" si="65"/>
        <v/>
      </c>
    </row>
    <row r="2809" spans="1:1" x14ac:dyDescent="0.25">
      <c r="A2809" t="str">
        <f t="shared" si="65"/>
        <v/>
      </c>
    </row>
    <row r="2810" spans="1:1" x14ac:dyDescent="0.25">
      <c r="A2810" t="str">
        <f t="shared" si="65"/>
        <v/>
      </c>
    </row>
    <row r="2811" spans="1:1" x14ac:dyDescent="0.25">
      <c r="A2811" t="str">
        <f t="shared" si="65"/>
        <v/>
      </c>
    </row>
    <row r="2812" spans="1:1" x14ac:dyDescent="0.25">
      <c r="A2812" t="str">
        <f t="shared" si="65"/>
        <v/>
      </c>
    </row>
    <row r="2813" spans="1:1" x14ac:dyDescent="0.25">
      <c r="A2813" t="str">
        <f t="shared" si="65"/>
        <v/>
      </c>
    </row>
    <row r="2814" spans="1:1" x14ac:dyDescent="0.25">
      <c r="A2814" t="str">
        <f t="shared" si="65"/>
        <v/>
      </c>
    </row>
    <row r="2815" spans="1:1" x14ac:dyDescent="0.25">
      <c r="A2815" t="str">
        <f t="shared" si="65"/>
        <v/>
      </c>
    </row>
    <row r="2816" spans="1:1" x14ac:dyDescent="0.25">
      <c r="A2816" t="str">
        <f t="shared" si="65"/>
        <v/>
      </c>
    </row>
    <row r="2817" spans="1:1" x14ac:dyDescent="0.25">
      <c r="A2817" t="str">
        <f t="shared" ref="A2817:A2880" si="66">E2817&amp;C2817&amp;D2817</f>
        <v/>
      </c>
    </row>
    <row r="2818" spans="1:1" x14ac:dyDescent="0.25">
      <c r="A2818" t="str">
        <f t="shared" si="66"/>
        <v/>
      </c>
    </row>
    <row r="2819" spans="1:1" x14ac:dyDescent="0.25">
      <c r="A2819" t="str">
        <f t="shared" si="66"/>
        <v/>
      </c>
    </row>
    <row r="2820" spans="1:1" x14ac:dyDescent="0.25">
      <c r="A2820" t="str">
        <f t="shared" si="66"/>
        <v/>
      </c>
    </row>
    <row r="2821" spans="1:1" x14ac:dyDescent="0.25">
      <c r="A2821" t="str">
        <f t="shared" si="66"/>
        <v/>
      </c>
    </row>
    <row r="2822" spans="1:1" x14ac:dyDescent="0.25">
      <c r="A2822" t="str">
        <f t="shared" si="66"/>
        <v/>
      </c>
    </row>
    <row r="2823" spans="1:1" x14ac:dyDescent="0.25">
      <c r="A2823" t="str">
        <f t="shared" si="66"/>
        <v/>
      </c>
    </row>
    <row r="2824" spans="1:1" x14ac:dyDescent="0.25">
      <c r="A2824" t="str">
        <f t="shared" si="66"/>
        <v/>
      </c>
    </row>
    <row r="2825" spans="1:1" x14ac:dyDescent="0.25">
      <c r="A2825" t="str">
        <f t="shared" si="66"/>
        <v/>
      </c>
    </row>
    <row r="2826" spans="1:1" x14ac:dyDescent="0.25">
      <c r="A2826" t="str">
        <f t="shared" si="66"/>
        <v/>
      </c>
    </row>
    <row r="2827" spans="1:1" x14ac:dyDescent="0.25">
      <c r="A2827" t="str">
        <f t="shared" si="66"/>
        <v/>
      </c>
    </row>
    <row r="2828" spans="1:1" x14ac:dyDescent="0.25">
      <c r="A2828" t="str">
        <f t="shared" si="66"/>
        <v/>
      </c>
    </row>
    <row r="2829" spans="1:1" x14ac:dyDescent="0.25">
      <c r="A2829" t="str">
        <f t="shared" si="66"/>
        <v/>
      </c>
    </row>
    <row r="2830" spans="1:1" x14ac:dyDescent="0.25">
      <c r="A2830" t="str">
        <f t="shared" si="66"/>
        <v/>
      </c>
    </row>
    <row r="2831" spans="1:1" x14ac:dyDescent="0.25">
      <c r="A2831" t="str">
        <f t="shared" si="66"/>
        <v/>
      </c>
    </row>
    <row r="2832" spans="1:1" x14ac:dyDescent="0.25">
      <c r="A2832" t="str">
        <f t="shared" si="66"/>
        <v/>
      </c>
    </row>
    <row r="2833" spans="1:1" x14ac:dyDescent="0.25">
      <c r="A2833" t="str">
        <f t="shared" si="66"/>
        <v/>
      </c>
    </row>
    <row r="2834" spans="1:1" x14ac:dyDescent="0.25">
      <c r="A2834" t="str">
        <f t="shared" si="66"/>
        <v/>
      </c>
    </row>
    <row r="2835" spans="1:1" x14ac:dyDescent="0.25">
      <c r="A2835" t="str">
        <f t="shared" si="66"/>
        <v/>
      </c>
    </row>
    <row r="2836" spans="1:1" x14ac:dyDescent="0.25">
      <c r="A2836" t="str">
        <f t="shared" si="66"/>
        <v/>
      </c>
    </row>
    <row r="2837" spans="1:1" x14ac:dyDescent="0.25">
      <c r="A2837" t="str">
        <f t="shared" si="66"/>
        <v/>
      </c>
    </row>
    <row r="2838" spans="1:1" x14ac:dyDescent="0.25">
      <c r="A2838" t="str">
        <f t="shared" si="66"/>
        <v/>
      </c>
    </row>
    <row r="2839" spans="1:1" x14ac:dyDescent="0.25">
      <c r="A2839" t="str">
        <f t="shared" si="66"/>
        <v/>
      </c>
    </row>
    <row r="2840" spans="1:1" x14ac:dyDescent="0.25">
      <c r="A2840" t="str">
        <f t="shared" si="66"/>
        <v/>
      </c>
    </row>
    <row r="2841" spans="1:1" x14ac:dyDescent="0.25">
      <c r="A2841" t="str">
        <f t="shared" si="66"/>
        <v/>
      </c>
    </row>
    <row r="2842" spans="1:1" x14ac:dyDescent="0.25">
      <c r="A2842" t="str">
        <f t="shared" si="66"/>
        <v/>
      </c>
    </row>
    <row r="2843" spans="1:1" x14ac:dyDescent="0.25">
      <c r="A2843" t="str">
        <f t="shared" si="66"/>
        <v/>
      </c>
    </row>
    <row r="2844" spans="1:1" x14ac:dyDescent="0.25">
      <c r="A2844" t="str">
        <f t="shared" si="66"/>
        <v/>
      </c>
    </row>
    <row r="2845" spans="1:1" x14ac:dyDescent="0.25">
      <c r="A2845" t="str">
        <f t="shared" si="66"/>
        <v/>
      </c>
    </row>
    <row r="2846" spans="1:1" x14ac:dyDescent="0.25">
      <c r="A2846" t="str">
        <f t="shared" si="66"/>
        <v/>
      </c>
    </row>
    <row r="2847" spans="1:1" x14ac:dyDescent="0.25">
      <c r="A2847" t="str">
        <f t="shared" si="66"/>
        <v/>
      </c>
    </row>
    <row r="2848" spans="1:1" x14ac:dyDescent="0.25">
      <c r="A2848" t="str">
        <f t="shared" si="66"/>
        <v/>
      </c>
    </row>
    <row r="2849" spans="1:1" x14ac:dyDescent="0.25">
      <c r="A2849" t="str">
        <f t="shared" si="66"/>
        <v/>
      </c>
    </row>
    <row r="2850" spans="1:1" x14ac:dyDescent="0.25">
      <c r="A2850" t="str">
        <f t="shared" si="66"/>
        <v/>
      </c>
    </row>
    <row r="2851" spans="1:1" x14ac:dyDescent="0.25">
      <c r="A2851" t="str">
        <f t="shared" si="66"/>
        <v/>
      </c>
    </row>
    <row r="2852" spans="1:1" x14ac:dyDescent="0.25">
      <c r="A2852" t="str">
        <f t="shared" si="66"/>
        <v/>
      </c>
    </row>
    <row r="2853" spans="1:1" x14ac:dyDescent="0.25">
      <c r="A2853" t="str">
        <f t="shared" si="66"/>
        <v/>
      </c>
    </row>
    <row r="2854" spans="1:1" x14ac:dyDescent="0.25">
      <c r="A2854" t="str">
        <f t="shared" si="66"/>
        <v/>
      </c>
    </row>
    <row r="2855" spans="1:1" x14ac:dyDescent="0.25">
      <c r="A2855" t="str">
        <f t="shared" si="66"/>
        <v/>
      </c>
    </row>
    <row r="2856" spans="1:1" x14ac:dyDescent="0.25">
      <c r="A2856" t="str">
        <f t="shared" si="66"/>
        <v/>
      </c>
    </row>
    <row r="2857" spans="1:1" x14ac:dyDescent="0.25">
      <c r="A2857" t="str">
        <f t="shared" si="66"/>
        <v/>
      </c>
    </row>
    <row r="2858" spans="1:1" x14ac:dyDescent="0.25">
      <c r="A2858" t="str">
        <f t="shared" si="66"/>
        <v/>
      </c>
    </row>
    <row r="2859" spans="1:1" x14ac:dyDescent="0.25">
      <c r="A2859" t="str">
        <f t="shared" si="66"/>
        <v/>
      </c>
    </row>
    <row r="2860" spans="1:1" x14ac:dyDescent="0.25">
      <c r="A2860" t="str">
        <f t="shared" si="66"/>
        <v/>
      </c>
    </row>
    <row r="2861" spans="1:1" x14ac:dyDescent="0.25">
      <c r="A2861" t="str">
        <f t="shared" si="66"/>
        <v/>
      </c>
    </row>
    <row r="2862" spans="1:1" x14ac:dyDescent="0.25">
      <c r="A2862" t="str">
        <f t="shared" si="66"/>
        <v/>
      </c>
    </row>
    <row r="2863" spans="1:1" x14ac:dyDescent="0.25">
      <c r="A2863" t="str">
        <f t="shared" si="66"/>
        <v/>
      </c>
    </row>
    <row r="2864" spans="1:1" x14ac:dyDescent="0.25">
      <c r="A2864" t="str">
        <f t="shared" si="66"/>
        <v/>
      </c>
    </row>
    <row r="2865" spans="1:1" x14ac:dyDescent="0.25">
      <c r="A2865" t="str">
        <f t="shared" si="66"/>
        <v/>
      </c>
    </row>
    <row r="2866" spans="1:1" x14ac:dyDescent="0.25">
      <c r="A2866" t="str">
        <f t="shared" si="66"/>
        <v/>
      </c>
    </row>
    <row r="2867" spans="1:1" x14ac:dyDescent="0.25">
      <c r="A2867" t="str">
        <f t="shared" si="66"/>
        <v/>
      </c>
    </row>
    <row r="2868" spans="1:1" x14ac:dyDescent="0.25">
      <c r="A2868" t="str">
        <f t="shared" si="66"/>
        <v/>
      </c>
    </row>
    <row r="2869" spans="1:1" x14ac:dyDescent="0.25">
      <c r="A2869" t="str">
        <f t="shared" si="66"/>
        <v/>
      </c>
    </row>
    <row r="2870" spans="1:1" x14ac:dyDescent="0.25">
      <c r="A2870" t="str">
        <f t="shared" si="66"/>
        <v/>
      </c>
    </row>
    <row r="2871" spans="1:1" x14ac:dyDescent="0.25">
      <c r="A2871" t="str">
        <f t="shared" si="66"/>
        <v/>
      </c>
    </row>
    <row r="2872" spans="1:1" x14ac:dyDescent="0.25">
      <c r="A2872" t="str">
        <f t="shared" si="66"/>
        <v/>
      </c>
    </row>
    <row r="2873" spans="1:1" x14ac:dyDescent="0.25">
      <c r="A2873" t="str">
        <f t="shared" si="66"/>
        <v/>
      </c>
    </row>
    <row r="2874" spans="1:1" x14ac:dyDescent="0.25">
      <c r="A2874" t="str">
        <f t="shared" si="66"/>
        <v/>
      </c>
    </row>
    <row r="2875" spans="1:1" x14ac:dyDescent="0.25">
      <c r="A2875" t="str">
        <f t="shared" si="66"/>
        <v/>
      </c>
    </row>
    <row r="2876" spans="1:1" x14ac:dyDescent="0.25">
      <c r="A2876" t="str">
        <f t="shared" si="66"/>
        <v/>
      </c>
    </row>
    <row r="2877" spans="1:1" x14ac:dyDescent="0.25">
      <c r="A2877" t="str">
        <f t="shared" si="66"/>
        <v/>
      </c>
    </row>
    <row r="2878" spans="1:1" x14ac:dyDescent="0.25">
      <c r="A2878" t="str">
        <f t="shared" si="66"/>
        <v/>
      </c>
    </row>
    <row r="2879" spans="1:1" x14ac:dyDescent="0.25">
      <c r="A2879" t="str">
        <f t="shared" si="66"/>
        <v/>
      </c>
    </row>
    <row r="2880" spans="1:1" x14ac:dyDescent="0.25">
      <c r="A2880" t="str">
        <f t="shared" si="66"/>
        <v/>
      </c>
    </row>
    <row r="2881" spans="1:1" x14ac:dyDescent="0.25">
      <c r="A2881" t="str">
        <f t="shared" ref="A2881:A2944" si="67">E2881&amp;C2881&amp;D2881</f>
        <v/>
      </c>
    </row>
    <row r="2882" spans="1:1" x14ac:dyDescent="0.25">
      <c r="A2882" t="str">
        <f t="shared" si="67"/>
        <v/>
      </c>
    </row>
    <row r="2883" spans="1:1" x14ac:dyDescent="0.25">
      <c r="A2883" t="str">
        <f t="shared" si="67"/>
        <v/>
      </c>
    </row>
    <row r="2884" spans="1:1" x14ac:dyDescent="0.25">
      <c r="A2884" t="str">
        <f t="shared" si="67"/>
        <v/>
      </c>
    </row>
    <row r="2885" spans="1:1" x14ac:dyDescent="0.25">
      <c r="A2885" t="str">
        <f t="shared" si="67"/>
        <v/>
      </c>
    </row>
    <row r="2886" spans="1:1" x14ac:dyDescent="0.25">
      <c r="A2886" t="str">
        <f t="shared" si="67"/>
        <v/>
      </c>
    </row>
    <row r="2887" spans="1:1" x14ac:dyDescent="0.25">
      <c r="A2887" t="str">
        <f t="shared" si="67"/>
        <v/>
      </c>
    </row>
    <row r="2888" spans="1:1" x14ac:dyDescent="0.25">
      <c r="A2888" t="str">
        <f t="shared" si="67"/>
        <v/>
      </c>
    </row>
    <row r="2889" spans="1:1" x14ac:dyDescent="0.25">
      <c r="A2889" t="str">
        <f t="shared" si="67"/>
        <v/>
      </c>
    </row>
    <row r="2890" spans="1:1" x14ac:dyDescent="0.25">
      <c r="A2890" t="str">
        <f t="shared" si="67"/>
        <v/>
      </c>
    </row>
    <row r="2891" spans="1:1" x14ac:dyDescent="0.25">
      <c r="A2891" t="str">
        <f t="shared" si="67"/>
        <v/>
      </c>
    </row>
    <row r="2892" spans="1:1" x14ac:dyDescent="0.25">
      <c r="A2892" t="str">
        <f t="shared" si="67"/>
        <v/>
      </c>
    </row>
    <row r="2893" spans="1:1" x14ac:dyDescent="0.25">
      <c r="A2893" t="str">
        <f t="shared" si="67"/>
        <v/>
      </c>
    </row>
    <row r="2894" spans="1:1" x14ac:dyDescent="0.25">
      <c r="A2894" t="str">
        <f t="shared" si="67"/>
        <v/>
      </c>
    </row>
    <row r="2895" spans="1:1" x14ac:dyDescent="0.25">
      <c r="A2895" t="str">
        <f t="shared" si="67"/>
        <v/>
      </c>
    </row>
    <row r="2896" spans="1:1" x14ac:dyDescent="0.25">
      <c r="A2896" t="str">
        <f t="shared" si="67"/>
        <v/>
      </c>
    </row>
    <row r="2897" spans="1:1" x14ac:dyDescent="0.25">
      <c r="A2897" t="str">
        <f t="shared" si="67"/>
        <v/>
      </c>
    </row>
    <row r="2898" spans="1:1" x14ac:dyDescent="0.25">
      <c r="A2898" t="str">
        <f t="shared" si="67"/>
        <v/>
      </c>
    </row>
    <row r="2899" spans="1:1" x14ac:dyDescent="0.25">
      <c r="A2899" t="str">
        <f t="shared" si="67"/>
        <v/>
      </c>
    </row>
    <row r="2900" spans="1:1" x14ac:dyDescent="0.25">
      <c r="A2900" t="str">
        <f t="shared" si="67"/>
        <v/>
      </c>
    </row>
    <row r="2901" spans="1:1" x14ac:dyDescent="0.25">
      <c r="A2901" t="str">
        <f t="shared" si="67"/>
        <v/>
      </c>
    </row>
    <row r="2902" spans="1:1" x14ac:dyDescent="0.25">
      <c r="A2902" t="str">
        <f t="shared" si="67"/>
        <v/>
      </c>
    </row>
    <row r="2903" spans="1:1" x14ac:dyDescent="0.25">
      <c r="A2903" t="str">
        <f t="shared" si="67"/>
        <v/>
      </c>
    </row>
    <row r="2904" spans="1:1" x14ac:dyDescent="0.25">
      <c r="A2904" t="str">
        <f t="shared" si="67"/>
        <v/>
      </c>
    </row>
    <row r="2905" spans="1:1" x14ac:dyDescent="0.25">
      <c r="A2905" t="str">
        <f t="shared" si="67"/>
        <v/>
      </c>
    </row>
    <row r="2906" spans="1:1" x14ac:dyDescent="0.25">
      <c r="A2906" t="str">
        <f t="shared" si="67"/>
        <v/>
      </c>
    </row>
    <row r="2907" spans="1:1" x14ac:dyDescent="0.25">
      <c r="A2907" t="str">
        <f t="shared" si="67"/>
        <v/>
      </c>
    </row>
    <row r="2908" spans="1:1" x14ac:dyDescent="0.25">
      <c r="A2908" t="str">
        <f t="shared" si="67"/>
        <v/>
      </c>
    </row>
    <row r="2909" spans="1:1" x14ac:dyDescent="0.25">
      <c r="A2909" t="str">
        <f t="shared" si="67"/>
        <v/>
      </c>
    </row>
    <row r="2910" spans="1:1" x14ac:dyDescent="0.25">
      <c r="A2910" t="str">
        <f t="shared" si="67"/>
        <v/>
      </c>
    </row>
    <row r="2911" spans="1:1" x14ac:dyDescent="0.25">
      <c r="A2911" t="str">
        <f t="shared" si="67"/>
        <v/>
      </c>
    </row>
    <row r="2912" spans="1:1" x14ac:dyDescent="0.25">
      <c r="A2912" t="str">
        <f t="shared" si="67"/>
        <v/>
      </c>
    </row>
    <row r="2913" spans="1:1" x14ac:dyDescent="0.25">
      <c r="A2913" t="str">
        <f t="shared" si="67"/>
        <v/>
      </c>
    </row>
    <row r="2914" spans="1:1" x14ac:dyDescent="0.25">
      <c r="A2914" t="str">
        <f t="shared" si="67"/>
        <v/>
      </c>
    </row>
    <row r="2915" spans="1:1" x14ac:dyDescent="0.25">
      <c r="A2915" t="str">
        <f t="shared" si="67"/>
        <v/>
      </c>
    </row>
    <row r="2916" spans="1:1" x14ac:dyDescent="0.25">
      <c r="A2916" t="str">
        <f t="shared" si="67"/>
        <v/>
      </c>
    </row>
    <row r="2917" spans="1:1" x14ac:dyDescent="0.25">
      <c r="A2917" t="str">
        <f t="shared" si="67"/>
        <v/>
      </c>
    </row>
    <row r="2918" spans="1:1" x14ac:dyDescent="0.25">
      <c r="A2918" t="str">
        <f t="shared" si="67"/>
        <v/>
      </c>
    </row>
    <row r="2919" spans="1:1" x14ac:dyDescent="0.25">
      <c r="A2919" t="str">
        <f t="shared" si="67"/>
        <v/>
      </c>
    </row>
    <row r="2920" spans="1:1" x14ac:dyDescent="0.25">
      <c r="A2920" t="str">
        <f t="shared" si="67"/>
        <v/>
      </c>
    </row>
    <row r="2921" spans="1:1" x14ac:dyDescent="0.25">
      <c r="A2921" t="str">
        <f t="shared" si="67"/>
        <v/>
      </c>
    </row>
    <row r="2922" spans="1:1" x14ac:dyDescent="0.25">
      <c r="A2922" t="str">
        <f t="shared" si="67"/>
        <v/>
      </c>
    </row>
    <row r="2923" spans="1:1" x14ac:dyDescent="0.25">
      <c r="A2923" t="str">
        <f t="shared" si="67"/>
        <v/>
      </c>
    </row>
    <row r="2924" spans="1:1" x14ac:dyDescent="0.25">
      <c r="A2924" t="str">
        <f t="shared" si="67"/>
        <v/>
      </c>
    </row>
    <row r="2925" spans="1:1" x14ac:dyDescent="0.25">
      <c r="A2925" t="str">
        <f t="shared" si="67"/>
        <v/>
      </c>
    </row>
    <row r="2926" spans="1:1" x14ac:dyDescent="0.25">
      <c r="A2926" t="str">
        <f t="shared" si="67"/>
        <v/>
      </c>
    </row>
    <row r="2927" spans="1:1" x14ac:dyDescent="0.25">
      <c r="A2927" t="str">
        <f t="shared" si="67"/>
        <v/>
      </c>
    </row>
    <row r="2928" spans="1:1" x14ac:dyDescent="0.25">
      <c r="A2928" t="str">
        <f t="shared" si="67"/>
        <v/>
      </c>
    </row>
    <row r="2929" spans="1:1" x14ac:dyDescent="0.25">
      <c r="A2929" t="str">
        <f t="shared" si="67"/>
        <v/>
      </c>
    </row>
    <row r="2930" spans="1:1" x14ac:dyDescent="0.25">
      <c r="A2930" t="str">
        <f t="shared" si="67"/>
        <v/>
      </c>
    </row>
    <row r="2931" spans="1:1" x14ac:dyDescent="0.25">
      <c r="A2931" t="str">
        <f t="shared" si="67"/>
        <v/>
      </c>
    </row>
    <row r="2932" spans="1:1" x14ac:dyDescent="0.25">
      <c r="A2932" t="str">
        <f t="shared" si="67"/>
        <v/>
      </c>
    </row>
    <row r="2933" spans="1:1" x14ac:dyDescent="0.25">
      <c r="A2933" t="str">
        <f t="shared" si="67"/>
        <v/>
      </c>
    </row>
    <row r="2934" spans="1:1" x14ac:dyDescent="0.25">
      <c r="A2934" t="str">
        <f t="shared" si="67"/>
        <v/>
      </c>
    </row>
    <row r="2935" spans="1:1" x14ac:dyDescent="0.25">
      <c r="A2935" t="str">
        <f t="shared" si="67"/>
        <v/>
      </c>
    </row>
    <row r="2936" spans="1:1" x14ac:dyDescent="0.25">
      <c r="A2936" t="str">
        <f t="shared" si="67"/>
        <v/>
      </c>
    </row>
    <row r="2937" spans="1:1" x14ac:dyDescent="0.25">
      <c r="A2937" t="str">
        <f t="shared" si="67"/>
        <v/>
      </c>
    </row>
    <row r="2938" spans="1:1" x14ac:dyDescent="0.25">
      <c r="A2938" t="str">
        <f t="shared" si="67"/>
        <v/>
      </c>
    </row>
    <row r="2939" spans="1:1" x14ac:dyDescent="0.25">
      <c r="A2939" t="str">
        <f t="shared" si="67"/>
        <v/>
      </c>
    </row>
    <row r="2940" spans="1:1" x14ac:dyDescent="0.25">
      <c r="A2940" t="str">
        <f t="shared" si="67"/>
        <v/>
      </c>
    </row>
    <row r="2941" spans="1:1" x14ac:dyDescent="0.25">
      <c r="A2941" t="str">
        <f t="shared" si="67"/>
        <v/>
      </c>
    </row>
    <row r="2942" spans="1:1" x14ac:dyDescent="0.25">
      <c r="A2942" t="str">
        <f t="shared" si="67"/>
        <v/>
      </c>
    </row>
    <row r="2943" spans="1:1" x14ac:dyDescent="0.25">
      <c r="A2943" t="str">
        <f t="shared" si="67"/>
        <v/>
      </c>
    </row>
    <row r="2944" spans="1:1" x14ac:dyDescent="0.25">
      <c r="A2944" t="str">
        <f t="shared" si="67"/>
        <v/>
      </c>
    </row>
    <row r="2945" spans="1:1" x14ac:dyDescent="0.25">
      <c r="A2945" t="str">
        <f t="shared" ref="A2945:A3008" si="68">E2945&amp;C2945&amp;D2945</f>
        <v/>
      </c>
    </row>
    <row r="2946" spans="1:1" x14ac:dyDescent="0.25">
      <c r="A2946" t="str">
        <f t="shared" si="68"/>
        <v/>
      </c>
    </row>
    <row r="2947" spans="1:1" x14ac:dyDescent="0.25">
      <c r="A2947" t="str">
        <f t="shared" si="68"/>
        <v/>
      </c>
    </row>
    <row r="2948" spans="1:1" x14ac:dyDescent="0.25">
      <c r="A2948" t="str">
        <f t="shared" si="68"/>
        <v/>
      </c>
    </row>
    <row r="2949" spans="1:1" x14ac:dyDescent="0.25">
      <c r="A2949" t="str">
        <f t="shared" si="68"/>
        <v/>
      </c>
    </row>
    <row r="2950" spans="1:1" x14ac:dyDescent="0.25">
      <c r="A2950" t="str">
        <f t="shared" si="68"/>
        <v/>
      </c>
    </row>
    <row r="2951" spans="1:1" x14ac:dyDescent="0.25">
      <c r="A2951" t="str">
        <f t="shared" si="68"/>
        <v/>
      </c>
    </row>
    <row r="2952" spans="1:1" x14ac:dyDescent="0.25">
      <c r="A2952" t="str">
        <f t="shared" si="68"/>
        <v/>
      </c>
    </row>
    <row r="2953" spans="1:1" x14ac:dyDescent="0.25">
      <c r="A2953" t="str">
        <f t="shared" si="68"/>
        <v/>
      </c>
    </row>
    <row r="2954" spans="1:1" x14ac:dyDescent="0.25">
      <c r="A2954" t="str">
        <f t="shared" si="68"/>
        <v/>
      </c>
    </row>
    <row r="2955" spans="1:1" x14ac:dyDescent="0.25">
      <c r="A2955" t="str">
        <f t="shared" si="68"/>
        <v/>
      </c>
    </row>
    <row r="2956" spans="1:1" x14ac:dyDescent="0.25">
      <c r="A2956" t="str">
        <f t="shared" si="68"/>
        <v/>
      </c>
    </row>
    <row r="2957" spans="1:1" x14ac:dyDescent="0.25">
      <c r="A2957" t="str">
        <f t="shared" si="68"/>
        <v/>
      </c>
    </row>
    <row r="2958" spans="1:1" x14ac:dyDescent="0.25">
      <c r="A2958" t="str">
        <f t="shared" si="68"/>
        <v/>
      </c>
    </row>
    <row r="2959" spans="1:1" x14ac:dyDescent="0.25">
      <c r="A2959" t="str">
        <f t="shared" si="68"/>
        <v/>
      </c>
    </row>
    <row r="2960" spans="1:1" x14ac:dyDescent="0.25">
      <c r="A2960" t="str">
        <f t="shared" si="68"/>
        <v/>
      </c>
    </row>
    <row r="2961" spans="1:1" x14ac:dyDescent="0.25">
      <c r="A2961" t="str">
        <f t="shared" si="68"/>
        <v/>
      </c>
    </row>
    <row r="2962" spans="1:1" x14ac:dyDescent="0.25">
      <c r="A2962" t="str">
        <f t="shared" si="68"/>
        <v/>
      </c>
    </row>
    <row r="2963" spans="1:1" x14ac:dyDescent="0.25">
      <c r="A2963" t="str">
        <f t="shared" si="68"/>
        <v/>
      </c>
    </row>
    <row r="2964" spans="1:1" x14ac:dyDescent="0.25">
      <c r="A2964" t="str">
        <f t="shared" si="68"/>
        <v/>
      </c>
    </row>
    <row r="2965" spans="1:1" x14ac:dyDescent="0.25">
      <c r="A2965" t="str">
        <f t="shared" si="68"/>
        <v/>
      </c>
    </row>
    <row r="2966" spans="1:1" x14ac:dyDescent="0.25">
      <c r="A2966" t="str">
        <f t="shared" si="68"/>
        <v/>
      </c>
    </row>
    <row r="2967" spans="1:1" x14ac:dyDescent="0.25">
      <c r="A2967" t="str">
        <f t="shared" si="68"/>
        <v/>
      </c>
    </row>
    <row r="2968" spans="1:1" x14ac:dyDescent="0.25">
      <c r="A2968" t="str">
        <f t="shared" si="68"/>
        <v/>
      </c>
    </row>
    <row r="2969" spans="1:1" x14ac:dyDescent="0.25">
      <c r="A2969" t="str">
        <f t="shared" si="68"/>
        <v/>
      </c>
    </row>
    <row r="2970" spans="1:1" x14ac:dyDescent="0.25">
      <c r="A2970" t="str">
        <f t="shared" si="68"/>
        <v/>
      </c>
    </row>
    <row r="2971" spans="1:1" x14ac:dyDescent="0.25">
      <c r="A2971" t="str">
        <f t="shared" si="68"/>
        <v/>
      </c>
    </row>
    <row r="2972" spans="1:1" x14ac:dyDescent="0.25">
      <c r="A2972" t="str">
        <f t="shared" si="68"/>
        <v/>
      </c>
    </row>
    <row r="2973" spans="1:1" x14ac:dyDescent="0.25">
      <c r="A2973" t="str">
        <f t="shared" si="68"/>
        <v/>
      </c>
    </row>
    <row r="2974" spans="1:1" x14ac:dyDescent="0.25">
      <c r="A2974" t="str">
        <f t="shared" si="68"/>
        <v/>
      </c>
    </row>
    <row r="2975" spans="1:1" x14ac:dyDescent="0.25">
      <c r="A2975" t="str">
        <f t="shared" si="68"/>
        <v/>
      </c>
    </row>
    <row r="2976" spans="1:1" x14ac:dyDescent="0.25">
      <c r="A2976" t="str">
        <f t="shared" si="68"/>
        <v/>
      </c>
    </row>
    <row r="2977" spans="1:1" x14ac:dyDescent="0.25">
      <c r="A2977" t="str">
        <f t="shared" si="68"/>
        <v/>
      </c>
    </row>
    <row r="2978" spans="1:1" x14ac:dyDescent="0.25">
      <c r="A2978" t="str">
        <f t="shared" si="68"/>
        <v/>
      </c>
    </row>
    <row r="2979" spans="1:1" x14ac:dyDescent="0.25">
      <c r="A2979" t="str">
        <f t="shared" si="68"/>
        <v/>
      </c>
    </row>
    <row r="2980" spans="1:1" x14ac:dyDescent="0.25">
      <c r="A2980" t="str">
        <f t="shared" si="68"/>
        <v/>
      </c>
    </row>
    <row r="2981" spans="1:1" x14ac:dyDescent="0.25">
      <c r="A2981" t="str">
        <f t="shared" si="68"/>
        <v/>
      </c>
    </row>
    <row r="2982" spans="1:1" x14ac:dyDescent="0.25">
      <c r="A2982" t="str">
        <f t="shared" si="68"/>
        <v/>
      </c>
    </row>
    <row r="2983" spans="1:1" x14ac:dyDescent="0.25">
      <c r="A2983" t="str">
        <f t="shared" si="68"/>
        <v/>
      </c>
    </row>
    <row r="2984" spans="1:1" x14ac:dyDescent="0.25">
      <c r="A2984" t="str">
        <f t="shared" si="68"/>
        <v/>
      </c>
    </row>
    <row r="2985" spans="1:1" x14ac:dyDescent="0.25">
      <c r="A2985" t="str">
        <f t="shared" si="68"/>
        <v/>
      </c>
    </row>
    <row r="2986" spans="1:1" x14ac:dyDescent="0.25">
      <c r="A2986" t="str">
        <f t="shared" si="68"/>
        <v/>
      </c>
    </row>
    <row r="2987" spans="1:1" x14ac:dyDescent="0.25">
      <c r="A2987" t="str">
        <f t="shared" si="68"/>
        <v/>
      </c>
    </row>
    <row r="2988" spans="1:1" x14ac:dyDescent="0.25">
      <c r="A2988" t="str">
        <f t="shared" si="68"/>
        <v/>
      </c>
    </row>
    <row r="2989" spans="1:1" x14ac:dyDescent="0.25">
      <c r="A2989" t="str">
        <f t="shared" si="68"/>
        <v/>
      </c>
    </row>
    <row r="2990" spans="1:1" x14ac:dyDescent="0.25">
      <c r="A2990" t="str">
        <f t="shared" si="68"/>
        <v/>
      </c>
    </row>
    <row r="2991" spans="1:1" x14ac:dyDescent="0.25">
      <c r="A2991" t="str">
        <f t="shared" si="68"/>
        <v/>
      </c>
    </row>
    <row r="2992" spans="1:1" x14ac:dyDescent="0.25">
      <c r="A2992" t="str">
        <f t="shared" si="68"/>
        <v/>
      </c>
    </row>
    <row r="2993" spans="1:1" x14ac:dyDescent="0.25">
      <c r="A2993" t="str">
        <f t="shared" si="68"/>
        <v/>
      </c>
    </row>
    <row r="2994" spans="1:1" x14ac:dyDescent="0.25">
      <c r="A2994" t="str">
        <f t="shared" si="68"/>
        <v/>
      </c>
    </row>
    <row r="2995" spans="1:1" x14ac:dyDescent="0.25">
      <c r="A2995" t="str">
        <f t="shared" si="68"/>
        <v/>
      </c>
    </row>
    <row r="2996" spans="1:1" x14ac:dyDescent="0.25">
      <c r="A2996" t="str">
        <f t="shared" si="68"/>
        <v/>
      </c>
    </row>
    <row r="2997" spans="1:1" x14ac:dyDescent="0.25">
      <c r="A2997" t="str">
        <f t="shared" si="68"/>
        <v/>
      </c>
    </row>
    <row r="2998" spans="1:1" x14ac:dyDescent="0.25">
      <c r="A2998" t="str">
        <f t="shared" si="68"/>
        <v/>
      </c>
    </row>
    <row r="2999" spans="1:1" x14ac:dyDescent="0.25">
      <c r="A2999" t="str">
        <f t="shared" si="68"/>
        <v/>
      </c>
    </row>
    <row r="3000" spans="1:1" x14ac:dyDescent="0.25">
      <c r="A3000" t="str">
        <f t="shared" si="68"/>
        <v/>
      </c>
    </row>
    <row r="3001" spans="1:1" x14ac:dyDescent="0.25">
      <c r="A3001" t="str">
        <f t="shared" si="68"/>
        <v/>
      </c>
    </row>
    <row r="3002" spans="1:1" x14ac:dyDescent="0.25">
      <c r="A3002" t="str">
        <f t="shared" si="68"/>
        <v/>
      </c>
    </row>
    <row r="3003" spans="1:1" x14ac:dyDescent="0.25">
      <c r="A3003" t="str">
        <f t="shared" si="68"/>
        <v/>
      </c>
    </row>
    <row r="3004" spans="1:1" x14ac:dyDescent="0.25">
      <c r="A3004" t="str">
        <f t="shared" si="68"/>
        <v/>
      </c>
    </row>
    <row r="3005" spans="1:1" x14ac:dyDescent="0.25">
      <c r="A3005" t="str">
        <f t="shared" si="68"/>
        <v/>
      </c>
    </row>
    <row r="3006" spans="1:1" x14ac:dyDescent="0.25">
      <c r="A3006" t="str">
        <f t="shared" si="68"/>
        <v/>
      </c>
    </row>
    <row r="3007" spans="1:1" x14ac:dyDescent="0.25">
      <c r="A3007" t="str">
        <f t="shared" si="68"/>
        <v/>
      </c>
    </row>
    <row r="3008" spans="1:1" x14ac:dyDescent="0.25">
      <c r="A3008" t="str">
        <f t="shared" si="68"/>
        <v/>
      </c>
    </row>
    <row r="3009" spans="1:1" x14ac:dyDescent="0.25">
      <c r="A3009" t="str">
        <f t="shared" ref="A3009:A3072" si="69">E3009&amp;C3009&amp;D3009</f>
        <v/>
      </c>
    </row>
    <row r="3010" spans="1:1" x14ac:dyDescent="0.25">
      <c r="A3010" t="str">
        <f t="shared" si="69"/>
        <v/>
      </c>
    </row>
    <row r="3011" spans="1:1" x14ac:dyDescent="0.25">
      <c r="A3011" t="str">
        <f t="shared" si="69"/>
        <v/>
      </c>
    </row>
    <row r="3012" spans="1:1" x14ac:dyDescent="0.25">
      <c r="A3012" t="str">
        <f t="shared" si="69"/>
        <v/>
      </c>
    </row>
    <row r="3013" spans="1:1" x14ac:dyDescent="0.25">
      <c r="A3013" t="str">
        <f t="shared" si="69"/>
        <v/>
      </c>
    </row>
    <row r="3014" spans="1:1" x14ac:dyDescent="0.25">
      <c r="A3014" t="str">
        <f t="shared" si="69"/>
        <v/>
      </c>
    </row>
    <row r="3015" spans="1:1" x14ac:dyDescent="0.25">
      <c r="A3015" t="str">
        <f t="shared" si="69"/>
        <v/>
      </c>
    </row>
    <row r="3016" spans="1:1" x14ac:dyDescent="0.25">
      <c r="A3016" t="str">
        <f t="shared" si="69"/>
        <v/>
      </c>
    </row>
    <row r="3017" spans="1:1" x14ac:dyDescent="0.25">
      <c r="A3017" t="str">
        <f t="shared" si="69"/>
        <v/>
      </c>
    </row>
    <row r="3018" spans="1:1" x14ac:dyDescent="0.25">
      <c r="A3018" t="str">
        <f t="shared" si="69"/>
        <v/>
      </c>
    </row>
    <row r="3019" spans="1:1" x14ac:dyDescent="0.25">
      <c r="A3019" t="str">
        <f t="shared" si="69"/>
        <v/>
      </c>
    </row>
    <row r="3020" spans="1:1" x14ac:dyDescent="0.25">
      <c r="A3020" t="str">
        <f t="shared" si="69"/>
        <v/>
      </c>
    </row>
    <row r="3021" spans="1:1" x14ac:dyDescent="0.25">
      <c r="A3021" t="str">
        <f t="shared" si="69"/>
        <v/>
      </c>
    </row>
    <row r="3022" spans="1:1" x14ac:dyDescent="0.25">
      <c r="A3022" t="str">
        <f t="shared" si="69"/>
        <v/>
      </c>
    </row>
    <row r="3023" spans="1:1" x14ac:dyDescent="0.25">
      <c r="A3023" t="str">
        <f t="shared" si="69"/>
        <v/>
      </c>
    </row>
    <row r="3024" spans="1:1" x14ac:dyDescent="0.25">
      <c r="A3024" t="str">
        <f t="shared" si="69"/>
        <v/>
      </c>
    </row>
    <row r="3025" spans="1:1" x14ac:dyDescent="0.25">
      <c r="A3025" t="str">
        <f t="shared" si="69"/>
        <v/>
      </c>
    </row>
    <row r="3026" spans="1:1" x14ac:dyDescent="0.25">
      <c r="A3026" t="str">
        <f t="shared" si="69"/>
        <v/>
      </c>
    </row>
    <row r="3027" spans="1:1" x14ac:dyDescent="0.25">
      <c r="A3027" t="str">
        <f t="shared" si="69"/>
        <v/>
      </c>
    </row>
    <row r="3028" spans="1:1" x14ac:dyDescent="0.25">
      <c r="A3028" t="str">
        <f t="shared" si="69"/>
        <v/>
      </c>
    </row>
    <row r="3029" spans="1:1" x14ac:dyDescent="0.25">
      <c r="A3029" t="str">
        <f t="shared" si="69"/>
        <v/>
      </c>
    </row>
    <row r="3030" spans="1:1" x14ac:dyDescent="0.25">
      <c r="A3030" t="str">
        <f t="shared" si="69"/>
        <v/>
      </c>
    </row>
    <row r="3031" spans="1:1" x14ac:dyDescent="0.25">
      <c r="A3031" t="str">
        <f t="shared" si="69"/>
        <v/>
      </c>
    </row>
    <row r="3032" spans="1:1" x14ac:dyDescent="0.25">
      <c r="A3032" t="str">
        <f t="shared" si="69"/>
        <v/>
      </c>
    </row>
    <row r="3033" spans="1:1" x14ac:dyDescent="0.25">
      <c r="A3033" t="str">
        <f t="shared" si="69"/>
        <v/>
      </c>
    </row>
    <row r="3034" spans="1:1" x14ac:dyDescent="0.25">
      <c r="A3034" t="str">
        <f t="shared" si="69"/>
        <v/>
      </c>
    </row>
    <row r="3035" spans="1:1" x14ac:dyDescent="0.25">
      <c r="A3035" t="str">
        <f t="shared" si="69"/>
        <v/>
      </c>
    </row>
    <row r="3036" spans="1:1" x14ac:dyDescent="0.25">
      <c r="A3036" t="str">
        <f t="shared" si="69"/>
        <v/>
      </c>
    </row>
    <row r="3037" spans="1:1" x14ac:dyDescent="0.25">
      <c r="A3037" t="str">
        <f t="shared" si="69"/>
        <v/>
      </c>
    </row>
    <row r="3038" spans="1:1" x14ac:dyDescent="0.25">
      <c r="A3038" t="str">
        <f t="shared" si="69"/>
        <v/>
      </c>
    </row>
    <row r="3039" spans="1:1" x14ac:dyDescent="0.25">
      <c r="A3039" t="str">
        <f t="shared" si="69"/>
        <v/>
      </c>
    </row>
    <row r="3040" spans="1:1" x14ac:dyDescent="0.25">
      <c r="A3040" t="str">
        <f t="shared" si="69"/>
        <v/>
      </c>
    </row>
    <row r="3041" spans="1:1" x14ac:dyDescent="0.25">
      <c r="A3041" t="str">
        <f t="shared" si="69"/>
        <v/>
      </c>
    </row>
    <row r="3042" spans="1:1" x14ac:dyDescent="0.25">
      <c r="A3042" t="str">
        <f t="shared" si="69"/>
        <v/>
      </c>
    </row>
    <row r="3043" spans="1:1" x14ac:dyDescent="0.25">
      <c r="A3043" t="str">
        <f t="shared" si="69"/>
        <v/>
      </c>
    </row>
    <row r="3044" spans="1:1" x14ac:dyDescent="0.25">
      <c r="A3044" t="str">
        <f t="shared" si="69"/>
        <v/>
      </c>
    </row>
    <row r="3045" spans="1:1" x14ac:dyDescent="0.25">
      <c r="A3045" t="str">
        <f t="shared" si="69"/>
        <v/>
      </c>
    </row>
    <row r="3046" spans="1:1" x14ac:dyDescent="0.25">
      <c r="A3046" t="str">
        <f t="shared" si="69"/>
        <v/>
      </c>
    </row>
    <row r="3047" spans="1:1" x14ac:dyDescent="0.25">
      <c r="A3047" t="str">
        <f t="shared" si="69"/>
        <v/>
      </c>
    </row>
    <row r="3048" spans="1:1" x14ac:dyDescent="0.25">
      <c r="A3048" t="str">
        <f t="shared" si="69"/>
        <v/>
      </c>
    </row>
    <row r="3049" spans="1:1" x14ac:dyDescent="0.25">
      <c r="A3049" t="str">
        <f t="shared" si="69"/>
        <v/>
      </c>
    </row>
    <row r="3050" spans="1:1" x14ac:dyDescent="0.25">
      <c r="A3050" t="str">
        <f t="shared" si="69"/>
        <v/>
      </c>
    </row>
    <row r="3051" spans="1:1" x14ac:dyDescent="0.25">
      <c r="A3051" t="str">
        <f t="shared" si="69"/>
        <v/>
      </c>
    </row>
    <row r="3052" spans="1:1" x14ac:dyDescent="0.25">
      <c r="A3052" t="str">
        <f t="shared" si="69"/>
        <v/>
      </c>
    </row>
    <row r="3053" spans="1:1" x14ac:dyDescent="0.25">
      <c r="A3053" t="str">
        <f t="shared" si="69"/>
        <v/>
      </c>
    </row>
    <row r="3054" spans="1:1" x14ac:dyDescent="0.25">
      <c r="A3054" t="str">
        <f t="shared" si="69"/>
        <v/>
      </c>
    </row>
    <row r="3055" spans="1:1" x14ac:dyDescent="0.25">
      <c r="A3055" t="str">
        <f t="shared" si="69"/>
        <v/>
      </c>
    </row>
    <row r="3056" spans="1:1" x14ac:dyDescent="0.25">
      <c r="A3056" t="str">
        <f t="shared" si="69"/>
        <v/>
      </c>
    </row>
    <row r="3057" spans="1:1" x14ac:dyDescent="0.25">
      <c r="A3057" t="str">
        <f t="shared" si="69"/>
        <v/>
      </c>
    </row>
    <row r="3058" spans="1:1" x14ac:dyDescent="0.25">
      <c r="A3058" t="str">
        <f t="shared" si="69"/>
        <v/>
      </c>
    </row>
    <row r="3059" spans="1:1" x14ac:dyDescent="0.25">
      <c r="A3059" t="str">
        <f t="shared" si="69"/>
        <v/>
      </c>
    </row>
    <row r="3060" spans="1:1" x14ac:dyDescent="0.25">
      <c r="A3060" t="str">
        <f t="shared" si="69"/>
        <v/>
      </c>
    </row>
    <row r="3061" spans="1:1" x14ac:dyDescent="0.25">
      <c r="A3061" t="str">
        <f t="shared" si="69"/>
        <v/>
      </c>
    </row>
    <row r="3062" spans="1:1" x14ac:dyDescent="0.25">
      <c r="A3062" t="str">
        <f t="shared" si="69"/>
        <v/>
      </c>
    </row>
    <row r="3063" spans="1:1" x14ac:dyDescent="0.25">
      <c r="A3063" t="str">
        <f t="shared" si="69"/>
        <v/>
      </c>
    </row>
    <row r="3064" spans="1:1" x14ac:dyDescent="0.25">
      <c r="A3064" t="str">
        <f t="shared" si="69"/>
        <v/>
      </c>
    </row>
    <row r="3065" spans="1:1" x14ac:dyDescent="0.25">
      <c r="A3065" t="str">
        <f t="shared" si="69"/>
        <v/>
      </c>
    </row>
    <row r="3066" spans="1:1" x14ac:dyDescent="0.25">
      <c r="A3066" t="str">
        <f t="shared" si="69"/>
        <v/>
      </c>
    </row>
    <row r="3067" spans="1:1" x14ac:dyDescent="0.25">
      <c r="A3067" t="str">
        <f t="shared" si="69"/>
        <v/>
      </c>
    </row>
    <row r="3068" spans="1:1" x14ac:dyDescent="0.25">
      <c r="A3068" t="str">
        <f t="shared" si="69"/>
        <v/>
      </c>
    </row>
    <row r="3069" spans="1:1" x14ac:dyDescent="0.25">
      <c r="A3069" t="str">
        <f t="shared" si="69"/>
        <v/>
      </c>
    </row>
    <row r="3070" spans="1:1" x14ac:dyDescent="0.25">
      <c r="A3070" t="str">
        <f t="shared" si="69"/>
        <v/>
      </c>
    </row>
    <row r="3071" spans="1:1" x14ac:dyDescent="0.25">
      <c r="A3071" t="str">
        <f t="shared" si="69"/>
        <v/>
      </c>
    </row>
    <row r="3072" spans="1:1" x14ac:dyDescent="0.25">
      <c r="A3072" t="str">
        <f t="shared" si="69"/>
        <v/>
      </c>
    </row>
    <row r="3073" spans="1:1" x14ac:dyDescent="0.25">
      <c r="A3073" t="str">
        <f t="shared" ref="A3073:A3136" si="70">E3073&amp;C3073&amp;D3073</f>
        <v/>
      </c>
    </row>
    <row r="3074" spans="1:1" x14ac:dyDescent="0.25">
      <c r="A3074" t="str">
        <f t="shared" si="70"/>
        <v/>
      </c>
    </row>
    <row r="3075" spans="1:1" x14ac:dyDescent="0.25">
      <c r="A3075" t="str">
        <f t="shared" si="70"/>
        <v/>
      </c>
    </row>
    <row r="3076" spans="1:1" x14ac:dyDescent="0.25">
      <c r="A3076" t="str">
        <f t="shared" si="70"/>
        <v/>
      </c>
    </row>
    <row r="3077" spans="1:1" x14ac:dyDescent="0.25">
      <c r="A3077" t="str">
        <f t="shared" si="70"/>
        <v/>
      </c>
    </row>
    <row r="3078" spans="1:1" x14ac:dyDescent="0.25">
      <c r="A3078" t="str">
        <f t="shared" si="70"/>
        <v/>
      </c>
    </row>
    <row r="3079" spans="1:1" x14ac:dyDescent="0.25">
      <c r="A3079" t="str">
        <f t="shared" si="70"/>
        <v/>
      </c>
    </row>
    <row r="3080" spans="1:1" x14ac:dyDescent="0.25">
      <c r="A3080" t="str">
        <f t="shared" si="70"/>
        <v/>
      </c>
    </row>
    <row r="3081" spans="1:1" x14ac:dyDescent="0.25">
      <c r="A3081" t="str">
        <f t="shared" si="70"/>
        <v/>
      </c>
    </row>
    <row r="3082" spans="1:1" x14ac:dyDescent="0.25">
      <c r="A3082" t="str">
        <f t="shared" si="70"/>
        <v/>
      </c>
    </row>
    <row r="3083" spans="1:1" x14ac:dyDescent="0.25">
      <c r="A3083" t="str">
        <f t="shared" si="70"/>
        <v/>
      </c>
    </row>
    <row r="3084" spans="1:1" x14ac:dyDescent="0.25">
      <c r="A3084" t="str">
        <f t="shared" si="70"/>
        <v/>
      </c>
    </row>
    <row r="3085" spans="1:1" x14ac:dyDescent="0.25">
      <c r="A3085" t="str">
        <f t="shared" si="70"/>
        <v/>
      </c>
    </row>
    <row r="3086" spans="1:1" x14ac:dyDescent="0.25">
      <c r="A3086" t="str">
        <f t="shared" si="70"/>
        <v/>
      </c>
    </row>
    <row r="3087" spans="1:1" x14ac:dyDescent="0.25">
      <c r="A3087" t="str">
        <f t="shared" si="70"/>
        <v/>
      </c>
    </row>
    <row r="3088" spans="1:1" x14ac:dyDescent="0.25">
      <c r="A3088" t="str">
        <f t="shared" si="70"/>
        <v/>
      </c>
    </row>
    <row r="3089" spans="1:1" x14ac:dyDescent="0.25">
      <c r="A3089" t="str">
        <f t="shared" si="70"/>
        <v/>
      </c>
    </row>
    <row r="3090" spans="1:1" x14ac:dyDescent="0.25">
      <c r="A3090" t="str">
        <f t="shared" si="70"/>
        <v/>
      </c>
    </row>
    <row r="3091" spans="1:1" x14ac:dyDescent="0.25">
      <c r="A3091" t="str">
        <f t="shared" si="70"/>
        <v/>
      </c>
    </row>
    <row r="3092" spans="1:1" x14ac:dyDescent="0.25">
      <c r="A3092" t="str">
        <f t="shared" si="70"/>
        <v/>
      </c>
    </row>
    <row r="3093" spans="1:1" x14ac:dyDescent="0.25">
      <c r="A3093" t="str">
        <f t="shared" si="70"/>
        <v/>
      </c>
    </row>
    <row r="3094" spans="1:1" x14ac:dyDescent="0.25">
      <c r="A3094" t="str">
        <f t="shared" si="70"/>
        <v/>
      </c>
    </row>
    <row r="3095" spans="1:1" x14ac:dyDescent="0.25">
      <c r="A3095" t="str">
        <f t="shared" si="70"/>
        <v/>
      </c>
    </row>
    <row r="3096" spans="1:1" x14ac:dyDescent="0.25">
      <c r="A3096" t="str">
        <f t="shared" si="70"/>
        <v/>
      </c>
    </row>
    <row r="3097" spans="1:1" x14ac:dyDescent="0.25">
      <c r="A3097" t="str">
        <f t="shared" si="70"/>
        <v/>
      </c>
    </row>
    <row r="3098" spans="1:1" x14ac:dyDescent="0.25">
      <c r="A3098" t="str">
        <f t="shared" si="70"/>
        <v/>
      </c>
    </row>
    <row r="3099" spans="1:1" x14ac:dyDescent="0.25">
      <c r="A3099" t="str">
        <f t="shared" si="70"/>
        <v/>
      </c>
    </row>
    <row r="3100" spans="1:1" x14ac:dyDescent="0.25">
      <c r="A3100" t="str">
        <f t="shared" si="70"/>
        <v/>
      </c>
    </row>
    <row r="3101" spans="1:1" x14ac:dyDescent="0.25">
      <c r="A3101" t="str">
        <f t="shared" si="70"/>
        <v/>
      </c>
    </row>
    <row r="3102" spans="1:1" x14ac:dyDescent="0.25">
      <c r="A3102" t="str">
        <f t="shared" si="70"/>
        <v/>
      </c>
    </row>
    <row r="3103" spans="1:1" x14ac:dyDescent="0.25">
      <c r="A3103" t="str">
        <f t="shared" si="70"/>
        <v/>
      </c>
    </row>
    <row r="3104" spans="1:1" x14ac:dyDescent="0.25">
      <c r="A3104" t="str">
        <f t="shared" si="70"/>
        <v/>
      </c>
    </row>
    <row r="3105" spans="1:1" x14ac:dyDescent="0.25">
      <c r="A3105" t="str">
        <f t="shared" si="70"/>
        <v/>
      </c>
    </row>
    <row r="3106" spans="1:1" x14ac:dyDescent="0.25">
      <c r="A3106" t="str">
        <f t="shared" si="70"/>
        <v/>
      </c>
    </row>
    <row r="3107" spans="1:1" x14ac:dyDescent="0.25">
      <c r="A3107" t="str">
        <f t="shared" si="70"/>
        <v/>
      </c>
    </row>
    <row r="3108" spans="1:1" x14ac:dyDescent="0.25">
      <c r="A3108" t="str">
        <f t="shared" si="70"/>
        <v/>
      </c>
    </row>
    <row r="3109" spans="1:1" x14ac:dyDescent="0.25">
      <c r="A3109" t="str">
        <f t="shared" si="70"/>
        <v/>
      </c>
    </row>
    <row r="3110" spans="1:1" x14ac:dyDescent="0.25">
      <c r="A3110" t="str">
        <f t="shared" si="70"/>
        <v/>
      </c>
    </row>
    <row r="3111" spans="1:1" x14ac:dyDescent="0.25">
      <c r="A3111" t="str">
        <f t="shared" si="70"/>
        <v/>
      </c>
    </row>
    <row r="3112" spans="1:1" x14ac:dyDescent="0.25">
      <c r="A3112" t="str">
        <f t="shared" si="70"/>
        <v/>
      </c>
    </row>
    <row r="3113" spans="1:1" x14ac:dyDescent="0.25">
      <c r="A3113" t="str">
        <f t="shared" si="70"/>
        <v/>
      </c>
    </row>
    <row r="3114" spans="1:1" x14ac:dyDescent="0.25">
      <c r="A3114" t="str">
        <f t="shared" si="70"/>
        <v/>
      </c>
    </row>
    <row r="3115" spans="1:1" x14ac:dyDescent="0.25">
      <c r="A3115" t="str">
        <f t="shared" si="70"/>
        <v/>
      </c>
    </row>
    <row r="3116" spans="1:1" x14ac:dyDescent="0.25">
      <c r="A3116" t="str">
        <f t="shared" si="70"/>
        <v/>
      </c>
    </row>
    <row r="3117" spans="1:1" x14ac:dyDescent="0.25">
      <c r="A3117" t="str">
        <f t="shared" si="70"/>
        <v/>
      </c>
    </row>
    <row r="3118" spans="1:1" x14ac:dyDescent="0.25">
      <c r="A3118" t="str">
        <f t="shared" si="70"/>
        <v/>
      </c>
    </row>
    <row r="3119" spans="1:1" x14ac:dyDescent="0.25">
      <c r="A3119" t="str">
        <f t="shared" si="70"/>
        <v/>
      </c>
    </row>
    <row r="3120" spans="1:1" x14ac:dyDescent="0.25">
      <c r="A3120" t="str">
        <f t="shared" si="70"/>
        <v/>
      </c>
    </row>
    <row r="3121" spans="1:1" x14ac:dyDescent="0.25">
      <c r="A3121" t="str">
        <f t="shared" si="70"/>
        <v/>
      </c>
    </row>
    <row r="3122" spans="1:1" x14ac:dyDescent="0.25">
      <c r="A3122" t="str">
        <f t="shared" si="70"/>
        <v/>
      </c>
    </row>
    <row r="3123" spans="1:1" x14ac:dyDescent="0.25">
      <c r="A3123" t="str">
        <f t="shared" si="70"/>
        <v/>
      </c>
    </row>
    <row r="3124" spans="1:1" x14ac:dyDescent="0.25">
      <c r="A3124" t="str">
        <f t="shared" si="70"/>
        <v/>
      </c>
    </row>
    <row r="3125" spans="1:1" x14ac:dyDescent="0.25">
      <c r="A3125" t="str">
        <f t="shared" si="70"/>
        <v/>
      </c>
    </row>
    <row r="3126" spans="1:1" x14ac:dyDescent="0.25">
      <c r="A3126" t="str">
        <f t="shared" si="70"/>
        <v/>
      </c>
    </row>
    <row r="3127" spans="1:1" x14ac:dyDescent="0.25">
      <c r="A3127" t="str">
        <f t="shared" si="70"/>
        <v/>
      </c>
    </row>
    <row r="3128" spans="1:1" x14ac:dyDescent="0.25">
      <c r="A3128" t="str">
        <f t="shared" si="70"/>
        <v/>
      </c>
    </row>
    <row r="3129" spans="1:1" x14ac:dyDescent="0.25">
      <c r="A3129" t="str">
        <f t="shared" si="70"/>
        <v/>
      </c>
    </row>
    <row r="3130" spans="1:1" x14ac:dyDescent="0.25">
      <c r="A3130" t="str">
        <f t="shared" si="70"/>
        <v/>
      </c>
    </row>
    <row r="3131" spans="1:1" x14ac:dyDescent="0.25">
      <c r="A3131" t="str">
        <f t="shared" si="70"/>
        <v/>
      </c>
    </row>
    <row r="3132" spans="1:1" x14ac:dyDescent="0.25">
      <c r="A3132" t="str">
        <f t="shared" si="70"/>
        <v/>
      </c>
    </row>
    <row r="3133" spans="1:1" x14ac:dyDescent="0.25">
      <c r="A3133" t="str">
        <f t="shared" si="70"/>
        <v/>
      </c>
    </row>
    <row r="3134" spans="1:1" x14ac:dyDescent="0.25">
      <c r="A3134" t="str">
        <f t="shared" si="70"/>
        <v/>
      </c>
    </row>
    <row r="3135" spans="1:1" x14ac:dyDescent="0.25">
      <c r="A3135" t="str">
        <f t="shared" si="70"/>
        <v/>
      </c>
    </row>
    <row r="3136" spans="1:1" x14ac:dyDescent="0.25">
      <c r="A3136" t="str">
        <f t="shared" si="70"/>
        <v/>
      </c>
    </row>
    <row r="3137" spans="1:1" x14ac:dyDescent="0.25">
      <c r="A3137" t="str">
        <f t="shared" ref="A3137:A3200" si="71">E3137&amp;C3137&amp;D3137</f>
        <v/>
      </c>
    </row>
    <row r="3138" spans="1:1" x14ac:dyDescent="0.25">
      <c r="A3138" t="str">
        <f t="shared" si="71"/>
        <v/>
      </c>
    </row>
    <row r="3139" spans="1:1" x14ac:dyDescent="0.25">
      <c r="A3139" t="str">
        <f t="shared" si="71"/>
        <v/>
      </c>
    </row>
    <row r="3140" spans="1:1" x14ac:dyDescent="0.25">
      <c r="A3140" t="str">
        <f t="shared" si="71"/>
        <v/>
      </c>
    </row>
    <row r="3141" spans="1:1" x14ac:dyDescent="0.25">
      <c r="A3141" t="str">
        <f t="shared" si="71"/>
        <v/>
      </c>
    </row>
    <row r="3142" spans="1:1" x14ac:dyDescent="0.25">
      <c r="A3142" t="str">
        <f t="shared" si="71"/>
        <v/>
      </c>
    </row>
    <row r="3143" spans="1:1" x14ac:dyDescent="0.25">
      <c r="A3143" t="str">
        <f t="shared" si="71"/>
        <v/>
      </c>
    </row>
    <row r="3144" spans="1:1" x14ac:dyDescent="0.25">
      <c r="A3144" t="str">
        <f t="shared" si="71"/>
        <v/>
      </c>
    </row>
    <row r="3145" spans="1:1" x14ac:dyDescent="0.25">
      <c r="A3145" t="str">
        <f t="shared" si="71"/>
        <v/>
      </c>
    </row>
    <row r="3146" spans="1:1" x14ac:dyDescent="0.25">
      <c r="A3146" t="str">
        <f t="shared" si="71"/>
        <v/>
      </c>
    </row>
    <row r="3147" spans="1:1" x14ac:dyDescent="0.25">
      <c r="A3147" t="str">
        <f t="shared" si="71"/>
        <v/>
      </c>
    </row>
    <row r="3148" spans="1:1" x14ac:dyDescent="0.25">
      <c r="A3148" t="str">
        <f t="shared" si="71"/>
        <v/>
      </c>
    </row>
    <row r="3149" spans="1:1" x14ac:dyDescent="0.25">
      <c r="A3149" t="str">
        <f t="shared" si="71"/>
        <v/>
      </c>
    </row>
    <row r="3150" spans="1:1" x14ac:dyDescent="0.25">
      <c r="A3150" t="str">
        <f t="shared" si="71"/>
        <v/>
      </c>
    </row>
    <row r="3151" spans="1:1" x14ac:dyDescent="0.25">
      <c r="A3151" t="str">
        <f t="shared" si="71"/>
        <v/>
      </c>
    </row>
    <row r="3152" spans="1:1" x14ac:dyDescent="0.25">
      <c r="A3152" t="str">
        <f t="shared" si="71"/>
        <v/>
      </c>
    </row>
    <row r="3153" spans="1:1" x14ac:dyDescent="0.25">
      <c r="A3153" t="str">
        <f t="shared" si="71"/>
        <v/>
      </c>
    </row>
    <row r="3154" spans="1:1" x14ac:dyDescent="0.25">
      <c r="A3154" t="str">
        <f t="shared" si="71"/>
        <v/>
      </c>
    </row>
    <row r="3155" spans="1:1" x14ac:dyDescent="0.25">
      <c r="A3155" t="str">
        <f t="shared" si="71"/>
        <v/>
      </c>
    </row>
    <row r="3156" spans="1:1" x14ac:dyDescent="0.25">
      <c r="A3156" t="str">
        <f t="shared" si="71"/>
        <v/>
      </c>
    </row>
    <row r="3157" spans="1:1" x14ac:dyDescent="0.25">
      <c r="A3157" t="str">
        <f t="shared" si="71"/>
        <v/>
      </c>
    </row>
    <row r="3158" spans="1:1" x14ac:dyDescent="0.25">
      <c r="A3158" t="str">
        <f t="shared" si="71"/>
        <v/>
      </c>
    </row>
    <row r="3159" spans="1:1" x14ac:dyDescent="0.25">
      <c r="A3159" t="str">
        <f t="shared" si="71"/>
        <v/>
      </c>
    </row>
    <row r="3160" spans="1:1" x14ac:dyDescent="0.25">
      <c r="A3160" t="str">
        <f t="shared" si="71"/>
        <v/>
      </c>
    </row>
    <row r="3161" spans="1:1" x14ac:dyDescent="0.25">
      <c r="A3161" t="str">
        <f t="shared" si="71"/>
        <v/>
      </c>
    </row>
    <row r="3162" spans="1:1" x14ac:dyDescent="0.25">
      <c r="A3162" t="str">
        <f t="shared" si="71"/>
        <v/>
      </c>
    </row>
    <row r="3163" spans="1:1" x14ac:dyDescent="0.25">
      <c r="A3163" t="str">
        <f t="shared" si="71"/>
        <v/>
      </c>
    </row>
    <row r="3164" spans="1:1" x14ac:dyDescent="0.25">
      <c r="A3164" t="str">
        <f t="shared" si="71"/>
        <v/>
      </c>
    </row>
    <row r="3165" spans="1:1" x14ac:dyDescent="0.25">
      <c r="A3165" t="str">
        <f t="shared" si="71"/>
        <v/>
      </c>
    </row>
    <row r="3166" spans="1:1" x14ac:dyDescent="0.25">
      <c r="A3166" t="str">
        <f t="shared" si="71"/>
        <v/>
      </c>
    </row>
    <row r="3167" spans="1:1" x14ac:dyDescent="0.25">
      <c r="A3167" t="str">
        <f t="shared" si="71"/>
        <v/>
      </c>
    </row>
    <row r="3168" spans="1:1" x14ac:dyDescent="0.25">
      <c r="A3168" t="str">
        <f t="shared" si="71"/>
        <v/>
      </c>
    </row>
    <row r="3169" spans="1:1" x14ac:dyDescent="0.25">
      <c r="A3169" t="str">
        <f t="shared" si="71"/>
        <v/>
      </c>
    </row>
    <row r="3170" spans="1:1" x14ac:dyDescent="0.25">
      <c r="A3170" t="str">
        <f t="shared" si="71"/>
        <v/>
      </c>
    </row>
    <row r="3171" spans="1:1" x14ac:dyDescent="0.25">
      <c r="A3171" t="str">
        <f t="shared" si="71"/>
        <v/>
      </c>
    </row>
    <row r="3172" spans="1:1" x14ac:dyDescent="0.25">
      <c r="A3172" t="str">
        <f t="shared" si="71"/>
        <v/>
      </c>
    </row>
    <row r="3173" spans="1:1" x14ac:dyDescent="0.25">
      <c r="A3173" t="str">
        <f t="shared" si="71"/>
        <v/>
      </c>
    </row>
    <row r="3174" spans="1:1" x14ac:dyDescent="0.25">
      <c r="A3174" t="str">
        <f t="shared" si="71"/>
        <v/>
      </c>
    </row>
    <row r="3175" spans="1:1" x14ac:dyDescent="0.25">
      <c r="A3175" t="str">
        <f t="shared" si="71"/>
        <v/>
      </c>
    </row>
    <row r="3176" spans="1:1" x14ac:dyDescent="0.25">
      <c r="A3176" t="str">
        <f t="shared" si="71"/>
        <v/>
      </c>
    </row>
    <row r="3177" spans="1:1" x14ac:dyDescent="0.25">
      <c r="A3177" t="str">
        <f t="shared" si="71"/>
        <v/>
      </c>
    </row>
    <row r="3178" spans="1:1" x14ac:dyDescent="0.25">
      <c r="A3178" t="str">
        <f t="shared" si="71"/>
        <v/>
      </c>
    </row>
    <row r="3179" spans="1:1" x14ac:dyDescent="0.25">
      <c r="A3179" t="str">
        <f t="shared" si="71"/>
        <v/>
      </c>
    </row>
    <row r="3180" spans="1:1" x14ac:dyDescent="0.25">
      <c r="A3180" t="str">
        <f t="shared" si="71"/>
        <v/>
      </c>
    </row>
    <row r="3181" spans="1:1" x14ac:dyDescent="0.25">
      <c r="A3181" t="str">
        <f t="shared" si="71"/>
        <v/>
      </c>
    </row>
    <row r="3182" spans="1:1" x14ac:dyDescent="0.25">
      <c r="A3182" t="str">
        <f t="shared" si="71"/>
        <v/>
      </c>
    </row>
    <row r="3183" spans="1:1" x14ac:dyDescent="0.25">
      <c r="A3183" t="str">
        <f t="shared" si="71"/>
        <v/>
      </c>
    </row>
    <row r="3184" spans="1:1" x14ac:dyDescent="0.25">
      <c r="A3184" t="str">
        <f t="shared" si="71"/>
        <v/>
      </c>
    </row>
    <row r="3185" spans="1:1" x14ac:dyDescent="0.25">
      <c r="A3185" t="str">
        <f t="shared" si="71"/>
        <v/>
      </c>
    </row>
    <row r="3186" spans="1:1" x14ac:dyDescent="0.25">
      <c r="A3186" t="str">
        <f t="shared" si="71"/>
        <v/>
      </c>
    </row>
    <row r="3187" spans="1:1" x14ac:dyDescent="0.25">
      <c r="A3187" t="str">
        <f t="shared" si="71"/>
        <v/>
      </c>
    </row>
    <row r="3188" spans="1:1" x14ac:dyDescent="0.25">
      <c r="A3188" t="str">
        <f t="shared" si="71"/>
        <v/>
      </c>
    </row>
    <row r="3189" spans="1:1" x14ac:dyDescent="0.25">
      <c r="A3189" t="str">
        <f t="shared" si="71"/>
        <v/>
      </c>
    </row>
    <row r="3190" spans="1:1" x14ac:dyDescent="0.25">
      <c r="A3190" t="str">
        <f t="shared" si="71"/>
        <v/>
      </c>
    </row>
    <row r="3191" spans="1:1" x14ac:dyDescent="0.25">
      <c r="A3191" t="str">
        <f t="shared" si="71"/>
        <v/>
      </c>
    </row>
    <row r="3192" spans="1:1" x14ac:dyDescent="0.25">
      <c r="A3192" t="str">
        <f t="shared" si="71"/>
        <v/>
      </c>
    </row>
    <row r="3193" spans="1:1" x14ac:dyDescent="0.25">
      <c r="A3193" t="str">
        <f t="shared" si="71"/>
        <v/>
      </c>
    </row>
    <row r="3194" spans="1:1" x14ac:dyDescent="0.25">
      <c r="A3194" t="str">
        <f t="shared" si="71"/>
        <v/>
      </c>
    </row>
    <row r="3195" spans="1:1" x14ac:dyDescent="0.25">
      <c r="A3195" t="str">
        <f t="shared" si="71"/>
        <v/>
      </c>
    </row>
    <row r="3196" spans="1:1" x14ac:dyDescent="0.25">
      <c r="A3196" t="str">
        <f t="shared" si="71"/>
        <v/>
      </c>
    </row>
    <row r="3197" spans="1:1" x14ac:dyDescent="0.25">
      <c r="A3197" t="str">
        <f t="shared" si="71"/>
        <v/>
      </c>
    </row>
    <row r="3198" spans="1:1" x14ac:dyDescent="0.25">
      <c r="A3198" t="str">
        <f t="shared" si="71"/>
        <v/>
      </c>
    </row>
    <row r="3199" spans="1:1" x14ac:dyDescent="0.25">
      <c r="A3199" t="str">
        <f t="shared" si="71"/>
        <v/>
      </c>
    </row>
    <row r="3200" spans="1:1" x14ac:dyDescent="0.25">
      <c r="A3200" t="str">
        <f t="shared" si="71"/>
        <v/>
      </c>
    </row>
    <row r="3201" spans="1:1" x14ac:dyDescent="0.25">
      <c r="A3201" t="str">
        <f t="shared" ref="A3201:A3264" si="72">E3201&amp;C3201&amp;D3201</f>
        <v/>
      </c>
    </row>
    <row r="3202" spans="1:1" x14ac:dyDescent="0.25">
      <c r="A3202" t="str">
        <f t="shared" si="72"/>
        <v/>
      </c>
    </row>
    <row r="3203" spans="1:1" x14ac:dyDescent="0.25">
      <c r="A3203" t="str">
        <f t="shared" si="72"/>
        <v/>
      </c>
    </row>
    <row r="3204" spans="1:1" x14ac:dyDescent="0.25">
      <c r="A3204" t="str">
        <f t="shared" si="72"/>
        <v/>
      </c>
    </row>
    <row r="3205" spans="1:1" x14ac:dyDescent="0.25">
      <c r="A3205" t="str">
        <f t="shared" si="72"/>
        <v/>
      </c>
    </row>
    <row r="3206" spans="1:1" x14ac:dyDescent="0.25">
      <c r="A3206" t="str">
        <f t="shared" si="72"/>
        <v/>
      </c>
    </row>
    <row r="3207" spans="1:1" x14ac:dyDescent="0.25">
      <c r="A3207" t="str">
        <f t="shared" si="72"/>
        <v/>
      </c>
    </row>
    <row r="3208" spans="1:1" x14ac:dyDescent="0.25">
      <c r="A3208" t="str">
        <f t="shared" si="72"/>
        <v/>
      </c>
    </row>
    <row r="3209" spans="1:1" x14ac:dyDescent="0.25">
      <c r="A3209" t="str">
        <f t="shared" si="72"/>
        <v/>
      </c>
    </row>
    <row r="3210" spans="1:1" x14ac:dyDescent="0.25">
      <c r="A3210" t="str">
        <f t="shared" si="72"/>
        <v/>
      </c>
    </row>
    <row r="3211" spans="1:1" x14ac:dyDescent="0.25">
      <c r="A3211" t="str">
        <f t="shared" si="72"/>
        <v/>
      </c>
    </row>
    <row r="3212" spans="1:1" x14ac:dyDescent="0.25">
      <c r="A3212" t="str">
        <f t="shared" si="72"/>
        <v/>
      </c>
    </row>
    <row r="3213" spans="1:1" x14ac:dyDescent="0.25">
      <c r="A3213" t="str">
        <f t="shared" si="72"/>
        <v/>
      </c>
    </row>
    <row r="3214" spans="1:1" x14ac:dyDescent="0.25">
      <c r="A3214" t="str">
        <f t="shared" si="72"/>
        <v/>
      </c>
    </row>
    <row r="3215" spans="1:1" x14ac:dyDescent="0.25">
      <c r="A3215" t="str">
        <f t="shared" si="72"/>
        <v/>
      </c>
    </row>
    <row r="3216" spans="1:1" x14ac:dyDescent="0.25">
      <c r="A3216" t="str">
        <f t="shared" si="72"/>
        <v/>
      </c>
    </row>
    <row r="3217" spans="1:1" x14ac:dyDescent="0.25">
      <c r="A3217" t="str">
        <f t="shared" si="72"/>
        <v/>
      </c>
    </row>
    <row r="3218" spans="1:1" x14ac:dyDescent="0.25">
      <c r="A3218" t="str">
        <f t="shared" si="72"/>
        <v/>
      </c>
    </row>
    <row r="3219" spans="1:1" x14ac:dyDescent="0.25">
      <c r="A3219" t="str">
        <f t="shared" si="72"/>
        <v/>
      </c>
    </row>
    <row r="3220" spans="1:1" x14ac:dyDescent="0.25">
      <c r="A3220" t="str">
        <f t="shared" si="72"/>
        <v/>
      </c>
    </row>
    <row r="3221" spans="1:1" x14ac:dyDescent="0.25">
      <c r="A3221" t="str">
        <f t="shared" si="72"/>
        <v/>
      </c>
    </row>
    <row r="3222" spans="1:1" x14ac:dyDescent="0.25">
      <c r="A3222" t="str">
        <f t="shared" si="72"/>
        <v/>
      </c>
    </row>
    <row r="3223" spans="1:1" x14ac:dyDescent="0.25">
      <c r="A3223" t="str">
        <f t="shared" si="72"/>
        <v/>
      </c>
    </row>
    <row r="3224" spans="1:1" x14ac:dyDescent="0.25">
      <c r="A3224" t="str">
        <f t="shared" si="72"/>
        <v/>
      </c>
    </row>
    <row r="3225" spans="1:1" x14ac:dyDescent="0.25">
      <c r="A3225" t="str">
        <f t="shared" si="72"/>
        <v/>
      </c>
    </row>
    <row r="3226" spans="1:1" x14ac:dyDescent="0.25">
      <c r="A3226" t="str">
        <f t="shared" si="72"/>
        <v/>
      </c>
    </row>
    <row r="3227" spans="1:1" x14ac:dyDescent="0.25">
      <c r="A3227" t="str">
        <f t="shared" si="72"/>
        <v/>
      </c>
    </row>
    <row r="3228" spans="1:1" x14ac:dyDescent="0.25">
      <c r="A3228" t="str">
        <f t="shared" si="72"/>
        <v/>
      </c>
    </row>
    <row r="3229" spans="1:1" x14ac:dyDescent="0.25">
      <c r="A3229" t="str">
        <f t="shared" si="72"/>
        <v/>
      </c>
    </row>
    <row r="3230" spans="1:1" x14ac:dyDescent="0.25">
      <c r="A3230" t="str">
        <f t="shared" si="72"/>
        <v/>
      </c>
    </row>
    <row r="3231" spans="1:1" x14ac:dyDescent="0.25">
      <c r="A3231" t="str">
        <f t="shared" si="72"/>
        <v/>
      </c>
    </row>
    <row r="3232" spans="1:1" x14ac:dyDescent="0.25">
      <c r="A3232" t="str">
        <f t="shared" si="72"/>
        <v/>
      </c>
    </row>
    <row r="3233" spans="1:1" x14ac:dyDescent="0.25">
      <c r="A3233" t="str">
        <f t="shared" si="72"/>
        <v/>
      </c>
    </row>
    <row r="3234" spans="1:1" x14ac:dyDescent="0.25">
      <c r="A3234" t="str">
        <f t="shared" si="72"/>
        <v/>
      </c>
    </row>
    <row r="3235" spans="1:1" x14ac:dyDescent="0.25">
      <c r="A3235" t="str">
        <f t="shared" si="72"/>
        <v/>
      </c>
    </row>
    <row r="3236" spans="1:1" x14ac:dyDescent="0.25">
      <c r="A3236" t="str">
        <f t="shared" si="72"/>
        <v/>
      </c>
    </row>
    <row r="3237" spans="1:1" x14ac:dyDescent="0.25">
      <c r="A3237" t="str">
        <f t="shared" si="72"/>
        <v/>
      </c>
    </row>
    <row r="3238" spans="1:1" x14ac:dyDescent="0.25">
      <c r="A3238" t="str">
        <f t="shared" si="72"/>
        <v/>
      </c>
    </row>
    <row r="3239" spans="1:1" x14ac:dyDescent="0.25">
      <c r="A3239" t="str">
        <f t="shared" si="72"/>
        <v/>
      </c>
    </row>
    <row r="3240" spans="1:1" x14ac:dyDescent="0.25">
      <c r="A3240" t="str">
        <f t="shared" si="72"/>
        <v/>
      </c>
    </row>
    <row r="3241" spans="1:1" x14ac:dyDescent="0.25">
      <c r="A3241" t="str">
        <f t="shared" si="72"/>
        <v/>
      </c>
    </row>
    <row r="3242" spans="1:1" x14ac:dyDescent="0.25">
      <c r="A3242" t="str">
        <f t="shared" si="72"/>
        <v/>
      </c>
    </row>
    <row r="3243" spans="1:1" x14ac:dyDescent="0.25">
      <c r="A3243" t="str">
        <f t="shared" si="72"/>
        <v/>
      </c>
    </row>
    <row r="3244" spans="1:1" x14ac:dyDescent="0.25">
      <c r="A3244" t="str">
        <f t="shared" si="72"/>
        <v/>
      </c>
    </row>
    <row r="3245" spans="1:1" x14ac:dyDescent="0.25">
      <c r="A3245" t="str">
        <f t="shared" si="72"/>
        <v/>
      </c>
    </row>
    <row r="3246" spans="1:1" x14ac:dyDescent="0.25">
      <c r="A3246" t="str">
        <f t="shared" si="72"/>
        <v/>
      </c>
    </row>
    <row r="3247" spans="1:1" x14ac:dyDescent="0.25">
      <c r="A3247" t="str">
        <f t="shared" si="72"/>
        <v/>
      </c>
    </row>
    <row r="3248" spans="1:1" x14ac:dyDescent="0.25">
      <c r="A3248" t="str">
        <f t="shared" si="72"/>
        <v/>
      </c>
    </row>
    <row r="3249" spans="1:1" x14ac:dyDescent="0.25">
      <c r="A3249" t="str">
        <f t="shared" si="72"/>
        <v/>
      </c>
    </row>
    <row r="3250" spans="1:1" x14ac:dyDescent="0.25">
      <c r="A3250" t="str">
        <f t="shared" si="72"/>
        <v/>
      </c>
    </row>
    <row r="3251" spans="1:1" x14ac:dyDescent="0.25">
      <c r="A3251" t="str">
        <f t="shared" si="72"/>
        <v/>
      </c>
    </row>
    <row r="3252" spans="1:1" x14ac:dyDescent="0.25">
      <c r="A3252" t="str">
        <f t="shared" si="72"/>
        <v/>
      </c>
    </row>
    <row r="3253" spans="1:1" x14ac:dyDescent="0.25">
      <c r="A3253" t="str">
        <f t="shared" si="72"/>
        <v/>
      </c>
    </row>
    <row r="3254" spans="1:1" x14ac:dyDescent="0.25">
      <c r="A3254" t="str">
        <f t="shared" si="72"/>
        <v/>
      </c>
    </row>
    <row r="3255" spans="1:1" x14ac:dyDescent="0.25">
      <c r="A3255" t="str">
        <f t="shared" si="72"/>
        <v/>
      </c>
    </row>
    <row r="3256" spans="1:1" x14ac:dyDescent="0.25">
      <c r="A3256" t="str">
        <f t="shared" si="72"/>
        <v/>
      </c>
    </row>
    <row r="3257" spans="1:1" x14ac:dyDescent="0.25">
      <c r="A3257" t="str">
        <f t="shared" si="72"/>
        <v/>
      </c>
    </row>
    <row r="3258" spans="1:1" x14ac:dyDescent="0.25">
      <c r="A3258" t="str">
        <f t="shared" si="72"/>
        <v/>
      </c>
    </row>
    <row r="3259" spans="1:1" x14ac:dyDescent="0.25">
      <c r="A3259" t="str">
        <f t="shared" si="72"/>
        <v/>
      </c>
    </row>
    <row r="3260" spans="1:1" x14ac:dyDescent="0.25">
      <c r="A3260" t="str">
        <f t="shared" si="72"/>
        <v/>
      </c>
    </row>
    <row r="3261" spans="1:1" x14ac:dyDescent="0.25">
      <c r="A3261" t="str">
        <f t="shared" si="72"/>
        <v/>
      </c>
    </row>
    <row r="3262" spans="1:1" x14ac:dyDescent="0.25">
      <c r="A3262" t="str">
        <f t="shared" si="72"/>
        <v/>
      </c>
    </row>
    <row r="3263" spans="1:1" x14ac:dyDescent="0.25">
      <c r="A3263" t="str">
        <f t="shared" si="72"/>
        <v/>
      </c>
    </row>
    <row r="3264" spans="1:1" x14ac:dyDescent="0.25">
      <c r="A3264" t="str">
        <f t="shared" si="72"/>
        <v/>
      </c>
    </row>
    <row r="3265" spans="1:1" x14ac:dyDescent="0.25">
      <c r="A3265" t="str">
        <f t="shared" ref="A3265:A3328" si="73">E3265&amp;C3265&amp;D3265</f>
        <v/>
      </c>
    </row>
    <row r="3266" spans="1:1" x14ac:dyDescent="0.25">
      <c r="A3266" t="str">
        <f t="shared" si="73"/>
        <v/>
      </c>
    </row>
    <row r="3267" spans="1:1" x14ac:dyDescent="0.25">
      <c r="A3267" t="str">
        <f t="shared" si="73"/>
        <v/>
      </c>
    </row>
    <row r="3268" spans="1:1" x14ac:dyDescent="0.25">
      <c r="A3268" t="str">
        <f t="shared" si="73"/>
        <v/>
      </c>
    </row>
    <row r="3269" spans="1:1" x14ac:dyDescent="0.25">
      <c r="A3269" t="str">
        <f t="shared" si="73"/>
        <v/>
      </c>
    </row>
    <row r="3270" spans="1:1" x14ac:dyDescent="0.25">
      <c r="A3270" t="str">
        <f t="shared" si="73"/>
        <v/>
      </c>
    </row>
    <row r="3271" spans="1:1" x14ac:dyDescent="0.25">
      <c r="A3271" t="str">
        <f t="shared" si="73"/>
        <v/>
      </c>
    </row>
    <row r="3272" spans="1:1" x14ac:dyDescent="0.25">
      <c r="A3272" t="str">
        <f t="shared" si="73"/>
        <v/>
      </c>
    </row>
    <row r="3273" spans="1:1" x14ac:dyDescent="0.25">
      <c r="A3273" t="str">
        <f t="shared" si="73"/>
        <v/>
      </c>
    </row>
    <row r="3274" spans="1:1" x14ac:dyDescent="0.25">
      <c r="A3274" t="str">
        <f t="shared" si="73"/>
        <v/>
      </c>
    </row>
    <row r="3275" spans="1:1" x14ac:dyDescent="0.25">
      <c r="A3275" t="str">
        <f t="shared" si="73"/>
        <v/>
      </c>
    </row>
    <row r="3276" spans="1:1" x14ac:dyDescent="0.25">
      <c r="A3276" t="str">
        <f t="shared" si="73"/>
        <v/>
      </c>
    </row>
    <row r="3277" spans="1:1" x14ac:dyDescent="0.25">
      <c r="A3277" t="str">
        <f t="shared" si="73"/>
        <v/>
      </c>
    </row>
    <row r="3278" spans="1:1" x14ac:dyDescent="0.25">
      <c r="A3278" t="str">
        <f t="shared" si="73"/>
        <v/>
      </c>
    </row>
    <row r="3279" spans="1:1" x14ac:dyDescent="0.25">
      <c r="A3279" t="str">
        <f t="shared" si="73"/>
        <v/>
      </c>
    </row>
    <row r="3280" spans="1:1" x14ac:dyDescent="0.25">
      <c r="A3280" t="str">
        <f t="shared" si="73"/>
        <v/>
      </c>
    </row>
    <row r="3281" spans="1:1" x14ac:dyDescent="0.25">
      <c r="A3281" t="str">
        <f t="shared" si="73"/>
        <v/>
      </c>
    </row>
    <row r="3282" spans="1:1" x14ac:dyDescent="0.25">
      <c r="A3282" t="str">
        <f t="shared" si="73"/>
        <v/>
      </c>
    </row>
    <row r="3283" spans="1:1" x14ac:dyDescent="0.25">
      <c r="A3283" t="str">
        <f t="shared" si="73"/>
        <v/>
      </c>
    </row>
    <row r="3284" spans="1:1" x14ac:dyDescent="0.25">
      <c r="A3284" t="str">
        <f t="shared" si="73"/>
        <v/>
      </c>
    </row>
    <row r="3285" spans="1:1" x14ac:dyDescent="0.25">
      <c r="A3285" t="str">
        <f t="shared" si="73"/>
        <v/>
      </c>
    </row>
    <row r="3286" spans="1:1" x14ac:dyDescent="0.25">
      <c r="A3286" t="str">
        <f t="shared" si="73"/>
        <v/>
      </c>
    </row>
    <row r="3287" spans="1:1" x14ac:dyDescent="0.25">
      <c r="A3287" t="str">
        <f t="shared" si="73"/>
        <v/>
      </c>
    </row>
    <row r="3288" spans="1:1" x14ac:dyDescent="0.25">
      <c r="A3288" t="str">
        <f t="shared" si="73"/>
        <v/>
      </c>
    </row>
    <row r="3289" spans="1:1" x14ac:dyDescent="0.25">
      <c r="A3289" t="str">
        <f t="shared" si="73"/>
        <v/>
      </c>
    </row>
    <row r="3290" spans="1:1" x14ac:dyDescent="0.25">
      <c r="A3290" t="str">
        <f t="shared" si="73"/>
        <v/>
      </c>
    </row>
    <row r="3291" spans="1:1" x14ac:dyDescent="0.25">
      <c r="A3291" t="str">
        <f t="shared" si="73"/>
        <v/>
      </c>
    </row>
    <row r="3292" spans="1:1" x14ac:dyDescent="0.25">
      <c r="A3292" t="str">
        <f t="shared" si="73"/>
        <v/>
      </c>
    </row>
    <row r="3293" spans="1:1" x14ac:dyDescent="0.25">
      <c r="A3293" t="str">
        <f t="shared" si="73"/>
        <v/>
      </c>
    </row>
    <row r="3294" spans="1:1" x14ac:dyDescent="0.25">
      <c r="A3294" t="str">
        <f t="shared" si="73"/>
        <v/>
      </c>
    </row>
    <row r="3295" spans="1:1" x14ac:dyDescent="0.25">
      <c r="A3295" t="str">
        <f t="shared" si="73"/>
        <v/>
      </c>
    </row>
    <row r="3296" spans="1:1" x14ac:dyDescent="0.25">
      <c r="A3296" t="str">
        <f t="shared" si="73"/>
        <v/>
      </c>
    </row>
    <row r="3297" spans="1:1" x14ac:dyDescent="0.25">
      <c r="A3297" t="str">
        <f t="shared" si="73"/>
        <v/>
      </c>
    </row>
    <row r="3298" spans="1:1" x14ac:dyDescent="0.25">
      <c r="A3298" t="str">
        <f t="shared" si="73"/>
        <v/>
      </c>
    </row>
    <row r="3299" spans="1:1" x14ac:dyDescent="0.25">
      <c r="A3299" t="str">
        <f t="shared" si="73"/>
        <v/>
      </c>
    </row>
    <row r="3300" spans="1:1" x14ac:dyDescent="0.25">
      <c r="A3300" t="str">
        <f t="shared" si="73"/>
        <v/>
      </c>
    </row>
    <row r="3301" spans="1:1" x14ac:dyDescent="0.25">
      <c r="A3301" t="str">
        <f t="shared" si="73"/>
        <v/>
      </c>
    </row>
    <row r="3302" spans="1:1" x14ac:dyDescent="0.25">
      <c r="A3302" t="str">
        <f t="shared" si="73"/>
        <v/>
      </c>
    </row>
    <row r="3303" spans="1:1" x14ac:dyDescent="0.25">
      <c r="A3303" t="str">
        <f t="shared" si="73"/>
        <v/>
      </c>
    </row>
    <row r="3304" spans="1:1" x14ac:dyDescent="0.25">
      <c r="A3304" t="str">
        <f t="shared" si="73"/>
        <v/>
      </c>
    </row>
    <row r="3305" spans="1:1" x14ac:dyDescent="0.25">
      <c r="A3305" t="str">
        <f t="shared" si="73"/>
        <v/>
      </c>
    </row>
    <row r="3306" spans="1:1" x14ac:dyDescent="0.25">
      <c r="A3306" t="str">
        <f t="shared" si="73"/>
        <v/>
      </c>
    </row>
    <row r="3307" spans="1:1" x14ac:dyDescent="0.25">
      <c r="A3307" t="str">
        <f t="shared" si="73"/>
        <v/>
      </c>
    </row>
    <row r="3308" spans="1:1" x14ac:dyDescent="0.25">
      <c r="A3308" t="str">
        <f t="shared" si="73"/>
        <v/>
      </c>
    </row>
    <row r="3309" spans="1:1" x14ac:dyDescent="0.25">
      <c r="A3309" t="str">
        <f t="shared" si="73"/>
        <v/>
      </c>
    </row>
    <row r="3310" spans="1:1" x14ac:dyDescent="0.25">
      <c r="A3310" t="str">
        <f t="shared" si="73"/>
        <v/>
      </c>
    </row>
    <row r="3311" spans="1:1" x14ac:dyDescent="0.25">
      <c r="A3311" t="str">
        <f t="shared" si="73"/>
        <v/>
      </c>
    </row>
    <row r="3312" spans="1:1" x14ac:dyDescent="0.25">
      <c r="A3312" t="str">
        <f t="shared" si="73"/>
        <v/>
      </c>
    </row>
    <row r="3313" spans="1:1" x14ac:dyDescent="0.25">
      <c r="A3313" t="str">
        <f t="shared" si="73"/>
        <v/>
      </c>
    </row>
    <row r="3314" spans="1:1" x14ac:dyDescent="0.25">
      <c r="A3314" t="str">
        <f t="shared" si="73"/>
        <v/>
      </c>
    </row>
    <row r="3315" spans="1:1" x14ac:dyDescent="0.25">
      <c r="A3315" t="str">
        <f t="shared" si="73"/>
        <v/>
      </c>
    </row>
    <row r="3316" spans="1:1" x14ac:dyDescent="0.25">
      <c r="A3316" t="str">
        <f t="shared" si="73"/>
        <v/>
      </c>
    </row>
    <row r="3317" spans="1:1" x14ac:dyDescent="0.25">
      <c r="A3317" t="str">
        <f t="shared" si="73"/>
        <v/>
      </c>
    </row>
    <row r="3318" spans="1:1" x14ac:dyDescent="0.25">
      <c r="A3318" t="str">
        <f t="shared" si="73"/>
        <v/>
      </c>
    </row>
    <row r="3319" spans="1:1" x14ac:dyDescent="0.25">
      <c r="A3319" t="str">
        <f t="shared" si="73"/>
        <v/>
      </c>
    </row>
    <row r="3320" spans="1:1" x14ac:dyDescent="0.25">
      <c r="A3320" t="str">
        <f t="shared" si="73"/>
        <v/>
      </c>
    </row>
    <row r="3321" spans="1:1" x14ac:dyDescent="0.25">
      <c r="A3321" t="str">
        <f t="shared" si="73"/>
        <v/>
      </c>
    </row>
    <row r="3322" spans="1:1" x14ac:dyDescent="0.25">
      <c r="A3322" t="str">
        <f t="shared" si="73"/>
        <v/>
      </c>
    </row>
    <row r="3323" spans="1:1" x14ac:dyDescent="0.25">
      <c r="A3323" t="str">
        <f t="shared" si="73"/>
        <v/>
      </c>
    </row>
    <row r="3324" spans="1:1" x14ac:dyDescent="0.25">
      <c r="A3324" t="str">
        <f t="shared" si="73"/>
        <v/>
      </c>
    </row>
    <row r="3325" spans="1:1" x14ac:dyDescent="0.25">
      <c r="A3325" t="str">
        <f t="shared" si="73"/>
        <v/>
      </c>
    </row>
    <row r="3326" spans="1:1" x14ac:dyDescent="0.25">
      <c r="A3326" t="str">
        <f t="shared" si="73"/>
        <v/>
      </c>
    </row>
    <row r="3327" spans="1:1" x14ac:dyDescent="0.25">
      <c r="A3327" t="str">
        <f t="shared" si="73"/>
        <v/>
      </c>
    </row>
    <row r="3328" spans="1:1" x14ac:dyDescent="0.25">
      <c r="A3328" t="str">
        <f t="shared" si="73"/>
        <v/>
      </c>
    </row>
    <row r="3329" spans="1:1" x14ac:dyDescent="0.25">
      <c r="A3329" t="str">
        <f t="shared" ref="A3329:A3392" si="74">E3329&amp;C3329&amp;D3329</f>
        <v/>
      </c>
    </row>
    <row r="3330" spans="1:1" x14ac:dyDescent="0.25">
      <c r="A3330" t="str">
        <f t="shared" si="74"/>
        <v/>
      </c>
    </row>
    <row r="3331" spans="1:1" x14ac:dyDescent="0.25">
      <c r="A3331" t="str">
        <f t="shared" si="74"/>
        <v/>
      </c>
    </row>
    <row r="3332" spans="1:1" x14ac:dyDescent="0.25">
      <c r="A3332" t="str">
        <f t="shared" si="74"/>
        <v/>
      </c>
    </row>
    <row r="3333" spans="1:1" x14ac:dyDescent="0.25">
      <c r="A3333" t="str">
        <f t="shared" si="74"/>
        <v/>
      </c>
    </row>
    <row r="3334" spans="1:1" x14ac:dyDescent="0.25">
      <c r="A3334" t="str">
        <f t="shared" si="74"/>
        <v/>
      </c>
    </row>
    <row r="3335" spans="1:1" x14ac:dyDescent="0.25">
      <c r="A3335" t="str">
        <f t="shared" si="74"/>
        <v/>
      </c>
    </row>
    <row r="3336" spans="1:1" x14ac:dyDescent="0.25">
      <c r="A3336" t="str">
        <f t="shared" si="74"/>
        <v/>
      </c>
    </row>
    <row r="3337" spans="1:1" x14ac:dyDescent="0.25">
      <c r="A3337" t="str">
        <f t="shared" si="74"/>
        <v/>
      </c>
    </row>
    <row r="3338" spans="1:1" x14ac:dyDescent="0.25">
      <c r="A3338" t="str">
        <f t="shared" si="74"/>
        <v/>
      </c>
    </row>
    <row r="3339" spans="1:1" x14ac:dyDescent="0.25">
      <c r="A3339" t="str">
        <f t="shared" si="74"/>
        <v/>
      </c>
    </row>
    <row r="3340" spans="1:1" x14ac:dyDescent="0.25">
      <c r="A3340" t="str">
        <f t="shared" si="74"/>
        <v/>
      </c>
    </row>
    <row r="3341" spans="1:1" x14ac:dyDescent="0.25">
      <c r="A3341" t="str">
        <f t="shared" si="74"/>
        <v/>
      </c>
    </row>
    <row r="3342" spans="1:1" x14ac:dyDescent="0.25">
      <c r="A3342" t="str">
        <f t="shared" si="74"/>
        <v/>
      </c>
    </row>
    <row r="3343" spans="1:1" x14ac:dyDescent="0.25">
      <c r="A3343" t="str">
        <f t="shared" si="74"/>
        <v/>
      </c>
    </row>
    <row r="3344" spans="1:1" x14ac:dyDescent="0.25">
      <c r="A3344" t="str">
        <f t="shared" si="74"/>
        <v/>
      </c>
    </row>
    <row r="3345" spans="1:1" x14ac:dyDescent="0.25">
      <c r="A3345" t="str">
        <f t="shared" si="74"/>
        <v/>
      </c>
    </row>
    <row r="3346" spans="1:1" x14ac:dyDescent="0.25">
      <c r="A3346" t="str">
        <f t="shared" si="74"/>
        <v/>
      </c>
    </row>
    <row r="3347" spans="1:1" x14ac:dyDescent="0.25">
      <c r="A3347" t="str">
        <f t="shared" si="74"/>
        <v/>
      </c>
    </row>
    <row r="3348" spans="1:1" x14ac:dyDescent="0.25">
      <c r="A3348" t="str">
        <f t="shared" si="74"/>
        <v/>
      </c>
    </row>
    <row r="3349" spans="1:1" x14ac:dyDescent="0.25">
      <c r="A3349" t="str">
        <f t="shared" si="74"/>
        <v/>
      </c>
    </row>
    <row r="3350" spans="1:1" x14ac:dyDescent="0.25">
      <c r="A3350" t="str">
        <f t="shared" si="74"/>
        <v/>
      </c>
    </row>
    <row r="3351" spans="1:1" x14ac:dyDescent="0.25">
      <c r="A3351" t="str">
        <f t="shared" si="74"/>
        <v/>
      </c>
    </row>
    <row r="3352" spans="1:1" x14ac:dyDescent="0.25">
      <c r="A3352" t="str">
        <f t="shared" si="74"/>
        <v/>
      </c>
    </row>
    <row r="3353" spans="1:1" x14ac:dyDescent="0.25">
      <c r="A3353" t="str">
        <f t="shared" si="74"/>
        <v/>
      </c>
    </row>
    <row r="3354" spans="1:1" x14ac:dyDescent="0.25">
      <c r="A3354" t="str">
        <f t="shared" si="74"/>
        <v/>
      </c>
    </row>
    <row r="3355" spans="1:1" x14ac:dyDescent="0.25">
      <c r="A3355" t="str">
        <f t="shared" si="74"/>
        <v/>
      </c>
    </row>
    <row r="3356" spans="1:1" x14ac:dyDescent="0.25">
      <c r="A3356" t="str">
        <f t="shared" si="74"/>
        <v/>
      </c>
    </row>
    <row r="3357" spans="1:1" x14ac:dyDescent="0.25">
      <c r="A3357" t="str">
        <f t="shared" si="74"/>
        <v/>
      </c>
    </row>
    <row r="3358" spans="1:1" x14ac:dyDescent="0.25">
      <c r="A3358" t="str">
        <f t="shared" si="74"/>
        <v/>
      </c>
    </row>
    <row r="3359" spans="1:1" x14ac:dyDescent="0.25">
      <c r="A3359" t="str">
        <f t="shared" si="74"/>
        <v/>
      </c>
    </row>
    <row r="3360" spans="1:1" x14ac:dyDescent="0.25">
      <c r="A3360" t="str">
        <f t="shared" si="74"/>
        <v/>
      </c>
    </row>
    <row r="3361" spans="1:1" x14ac:dyDescent="0.25">
      <c r="A3361" t="str">
        <f t="shared" si="74"/>
        <v/>
      </c>
    </row>
    <row r="3362" spans="1:1" x14ac:dyDescent="0.25">
      <c r="A3362" t="str">
        <f t="shared" si="74"/>
        <v/>
      </c>
    </row>
    <row r="3363" spans="1:1" x14ac:dyDescent="0.25">
      <c r="A3363" t="str">
        <f t="shared" si="74"/>
        <v/>
      </c>
    </row>
    <row r="3364" spans="1:1" x14ac:dyDescent="0.25">
      <c r="A3364" t="str">
        <f t="shared" si="74"/>
        <v/>
      </c>
    </row>
    <row r="3365" spans="1:1" x14ac:dyDescent="0.25">
      <c r="A3365" t="str">
        <f t="shared" si="74"/>
        <v/>
      </c>
    </row>
    <row r="3366" spans="1:1" x14ac:dyDescent="0.25">
      <c r="A3366" t="str">
        <f t="shared" si="74"/>
        <v/>
      </c>
    </row>
    <row r="3367" spans="1:1" x14ac:dyDescent="0.25">
      <c r="A3367" t="str">
        <f t="shared" si="74"/>
        <v/>
      </c>
    </row>
    <row r="3368" spans="1:1" x14ac:dyDescent="0.25">
      <c r="A3368" t="str">
        <f t="shared" si="74"/>
        <v/>
      </c>
    </row>
    <row r="3369" spans="1:1" x14ac:dyDescent="0.25">
      <c r="A3369" t="str">
        <f t="shared" si="74"/>
        <v/>
      </c>
    </row>
    <row r="3370" spans="1:1" x14ac:dyDescent="0.25">
      <c r="A3370" t="str">
        <f t="shared" si="74"/>
        <v/>
      </c>
    </row>
    <row r="3371" spans="1:1" x14ac:dyDescent="0.25">
      <c r="A3371" t="str">
        <f t="shared" si="74"/>
        <v/>
      </c>
    </row>
    <row r="3372" spans="1:1" x14ac:dyDescent="0.25">
      <c r="A3372" t="str">
        <f t="shared" si="74"/>
        <v/>
      </c>
    </row>
    <row r="3373" spans="1:1" x14ac:dyDescent="0.25">
      <c r="A3373" t="str">
        <f t="shared" si="74"/>
        <v/>
      </c>
    </row>
    <row r="3374" spans="1:1" x14ac:dyDescent="0.25">
      <c r="A3374" t="str">
        <f t="shared" si="74"/>
        <v/>
      </c>
    </row>
    <row r="3375" spans="1:1" x14ac:dyDescent="0.25">
      <c r="A3375" t="str">
        <f t="shared" si="74"/>
        <v/>
      </c>
    </row>
    <row r="3376" spans="1:1" x14ac:dyDescent="0.25">
      <c r="A3376" t="str">
        <f t="shared" si="74"/>
        <v/>
      </c>
    </row>
    <row r="3377" spans="1:1" x14ac:dyDescent="0.25">
      <c r="A3377" t="str">
        <f t="shared" si="74"/>
        <v/>
      </c>
    </row>
    <row r="3378" spans="1:1" x14ac:dyDescent="0.25">
      <c r="A3378" t="str">
        <f t="shared" si="74"/>
        <v/>
      </c>
    </row>
    <row r="3379" spans="1:1" x14ac:dyDescent="0.25">
      <c r="A3379" t="str">
        <f t="shared" si="74"/>
        <v/>
      </c>
    </row>
    <row r="3380" spans="1:1" x14ac:dyDescent="0.25">
      <c r="A3380" t="str">
        <f t="shared" si="74"/>
        <v/>
      </c>
    </row>
    <row r="3381" spans="1:1" x14ac:dyDescent="0.25">
      <c r="A3381" t="str">
        <f t="shared" si="74"/>
        <v/>
      </c>
    </row>
    <row r="3382" spans="1:1" x14ac:dyDescent="0.25">
      <c r="A3382" t="str">
        <f t="shared" si="74"/>
        <v/>
      </c>
    </row>
    <row r="3383" spans="1:1" x14ac:dyDescent="0.25">
      <c r="A3383" t="str">
        <f t="shared" si="74"/>
        <v/>
      </c>
    </row>
    <row r="3384" spans="1:1" x14ac:dyDescent="0.25">
      <c r="A3384" t="str">
        <f t="shared" si="74"/>
        <v/>
      </c>
    </row>
    <row r="3385" spans="1:1" x14ac:dyDescent="0.25">
      <c r="A3385" t="str">
        <f t="shared" si="74"/>
        <v/>
      </c>
    </row>
    <row r="3386" spans="1:1" x14ac:dyDescent="0.25">
      <c r="A3386" t="str">
        <f t="shared" si="74"/>
        <v/>
      </c>
    </row>
    <row r="3387" spans="1:1" x14ac:dyDescent="0.25">
      <c r="A3387" t="str">
        <f t="shared" si="74"/>
        <v/>
      </c>
    </row>
    <row r="3388" spans="1:1" x14ac:dyDescent="0.25">
      <c r="A3388" t="str">
        <f t="shared" si="74"/>
        <v/>
      </c>
    </row>
    <row r="3389" spans="1:1" x14ac:dyDescent="0.25">
      <c r="A3389" t="str">
        <f t="shared" si="74"/>
        <v/>
      </c>
    </row>
    <row r="3390" spans="1:1" x14ac:dyDescent="0.25">
      <c r="A3390" t="str">
        <f t="shared" si="74"/>
        <v/>
      </c>
    </row>
    <row r="3391" spans="1:1" x14ac:dyDescent="0.25">
      <c r="A3391" t="str">
        <f t="shared" si="74"/>
        <v/>
      </c>
    </row>
    <row r="3392" spans="1:1" x14ac:dyDescent="0.25">
      <c r="A3392" t="str">
        <f t="shared" si="74"/>
        <v/>
      </c>
    </row>
    <row r="3393" spans="1:1" x14ac:dyDescent="0.25">
      <c r="A3393" t="str">
        <f t="shared" ref="A3393:A3456" si="75">E3393&amp;C3393&amp;D3393</f>
        <v/>
      </c>
    </row>
    <row r="3394" spans="1:1" x14ac:dyDescent="0.25">
      <c r="A3394" t="str">
        <f t="shared" si="75"/>
        <v/>
      </c>
    </row>
    <row r="3395" spans="1:1" x14ac:dyDescent="0.25">
      <c r="A3395" t="str">
        <f t="shared" si="75"/>
        <v/>
      </c>
    </row>
    <row r="3396" spans="1:1" x14ac:dyDescent="0.25">
      <c r="A3396" t="str">
        <f t="shared" si="75"/>
        <v/>
      </c>
    </row>
    <row r="3397" spans="1:1" x14ac:dyDescent="0.25">
      <c r="A3397" t="str">
        <f t="shared" si="75"/>
        <v/>
      </c>
    </row>
    <row r="3398" spans="1:1" x14ac:dyDescent="0.25">
      <c r="A3398" t="str">
        <f t="shared" si="75"/>
        <v/>
      </c>
    </row>
    <row r="3399" spans="1:1" x14ac:dyDescent="0.25">
      <c r="A3399" t="str">
        <f t="shared" si="75"/>
        <v/>
      </c>
    </row>
    <row r="3400" spans="1:1" x14ac:dyDescent="0.25">
      <c r="A3400" t="str">
        <f t="shared" si="75"/>
        <v/>
      </c>
    </row>
    <row r="3401" spans="1:1" x14ac:dyDescent="0.25">
      <c r="A3401" t="str">
        <f t="shared" si="75"/>
        <v/>
      </c>
    </row>
    <row r="3402" spans="1:1" x14ac:dyDescent="0.25">
      <c r="A3402" t="str">
        <f t="shared" si="75"/>
        <v/>
      </c>
    </row>
    <row r="3403" spans="1:1" x14ac:dyDescent="0.25">
      <c r="A3403" t="str">
        <f t="shared" si="75"/>
        <v/>
      </c>
    </row>
    <row r="3404" spans="1:1" x14ac:dyDescent="0.25">
      <c r="A3404" t="str">
        <f t="shared" si="75"/>
        <v/>
      </c>
    </row>
    <row r="3405" spans="1:1" x14ac:dyDescent="0.25">
      <c r="A3405" t="str">
        <f t="shared" si="75"/>
        <v/>
      </c>
    </row>
    <row r="3406" spans="1:1" x14ac:dyDescent="0.25">
      <c r="A3406" t="str">
        <f t="shared" si="75"/>
        <v/>
      </c>
    </row>
    <row r="3407" spans="1:1" x14ac:dyDescent="0.25">
      <c r="A3407" t="str">
        <f t="shared" si="75"/>
        <v/>
      </c>
    </row>
    <row r="3408" spans="1:1" x14ac:dyDescent="0.25">
      <c r="A3408" t="str">
        <f t="shared" si="75"/>
        <v/>
      </c>
    </row>
    <row r="3409" spans="1:1" x14ac:dyDescent="0.25">
      <c r="A3409" t="str">
        <f t="shared" si="75"/>
        <v/>
      </c>
    </row>
    <row r="3410" spans="1:1" x14ac:dyDescent="0.25">
      <c r="A3410" t="str">
        <f t="shared" si="75"/>
        <v/>
      </c>
    </row>
    <row r="3411" spans="1:1" x14ac:dyDescent="0.25">
      <c r="A3411" t="str">
        <f t="shared" si="75"/>
        <v/>
      </c>
    </row>
    <row r="3412" spans="1:1" x14ac:dyDescent="0.25">
      <c r="A3412" t="str">
        <f t="shared" si="75"/>
        <v/>
      </c>
    </row>
    <row r="3413" spans="1:1" x14ac:dyDescent="0.25">
      <c r="A3413" t="str">
        <f t="shared" si="75"/>
        <v/>
      </c>
    </row>
    <row r="3414" spans="1:1" x14ac:dyDescent="0.25">
      <c r="A3414" t="str">
        <f t="shared" si="75"/>
        <v/>
      </c>
    </row>
    <row r="3415" spans="1:1" x14ac:dyDescent="0.25">
      <c r="A3415" t="str">
        <f t="shared" si="75"/>
        <v/>
      </c>
    </row>
    <row r="3416" spans="1:1" x14ac:dyDescent="0.25">
      <c r="A3416" t="str">
        <f t="shared" si="75"/>
        <v/>
      </c>
    </row>
    <row r="3417" spans="1:1" x14ac:dyDescent="0.25">
      <c r="A3417" t="str">
        <f t="shared" si="75"/>
        <v/>
      </c>
    </row>
    <row r="3418" spans="1:1" x14ac:dyDescent="0.25">
      <c r="A3418" t="str">
        <f t="shared" si="75"/>
        <v/>
      </c>
    </row>
    <row r="3419" spans="1:1" x14ac:dyDescent="0.25">
      <c r="A3419" t="str">
        <f t="shared" si="75"/>
        <v/>
      </c>
    </row>
    <row r="3420" spans="1:1" x14ac:dyDescent="0.25">
      <c r="A3420" t="str">
        <f t="shared" si="75"/>
        <v/>
      </c>
    </row>
    <row r="3421" spans="1:1" x14ac:dyDescent="0.25">
      <c r="A3421" t="str">
        <f t="shared" si="75"/>
        <v/>
      </c>
    </row>
    <row r="3422" spans="1:1" x14ac:dyDescent="0.25">
      <c r="A3422" t="str">
        <f t="shared" si="75"/>
        <v/>
      </c>
    </row>
    <row r="3423" spans="1:1" x14ac:dyDescent="0.25">
      <c r="A3423" t="str">
        <f t="shared" si="75"/>
        <v/>
      </c>
    </row>
    <row r="3424" spans="1:1" x14ac:dyDescent="0.25">
      <c r="A3424" t="str">
        <f t="shared" si="75"/>
        <v/>
      </c>
    </row>
    <row r="3425" spans="1:1" x14ac:dyDescent="0.25">
      <c r="A3425" t="str">
        <f t="shared" si="75"/>
        <v/>
      </c>
    </row>
    <row r="3426" spans="1:1" x14ac:dyDescent="0.25">
      <c r="A3426" t="str">
        <f t="shared" si="75"/>
        <v/>
      </c>
    </row>
    <row r="3427" spans="1:1" x14ac:dyDescent="0.25">
      <c r="A3427" t="str">
        <f t="shared" si="75"/>
        <v/>
      </c>
    </row>
    <row r="3428" spans="1:1" x14ac:dyDescent="0.25">
      <c r="A3428" t="str">
        <f t="shared" si="75"/>
        <v/>
      </c>
    </row>
    <row r="3429" spans="1:1" x14ac:dyDescent="0.25">
      <c r="A3429" t="str">
        <f t="shared" si="75"/>
        <v/>
      </c>
    </row>
    <row r="3430" spans="1:1" x14ac:dyDescent="0.25">
      <c r="A3430" t="str">
        <f t="shared" si="75"/>
        <v/>
      </c>
    </row>
    <row r="3431" spans="1:1" x14ac:dyDescent="0.25">
      <c r="A3431" t="str">
        <f t="shared" si="75"/>
        <v/>
      </c>
    </row>
    <row r="3432" spans="1:1" x14ac:dyDescent="0.25">
      <c r="A3432" t="str">
        <f t="shared" si="75"/>
        <v/>
      </c>
    </row>
    <row r="3433" spans="1:1" x14ac:dyDescent="0.25">
      <c r="A3433" t="str">
        <f t="shared" si="75"/>
        <v/>
      </c>
    </row>
    <row r="3434" spans="1:1" x14ac:dyDescent="0.25">
      <c r="A3434" t="str">
        <f t="shared" si="75"/>
        <v/>
      </c>
    </row>
    <row r="3435" spans="1:1" x14ac:dyDescent="0.25">
      <c r="A3435" t="str">
        <f t="shared" si="75"/>
        <v/>
      </c>
    </row>
    <row r="3436" spans="1:1" x14ac:dyDescent="0.25">
      <c r="A3436" t="str">
        <f t="shared" si="75"/>
        <v/>
      </c>
    </row>
    <row r="3437" spans="1:1" x14ac:dyDescent="0.25">
      <c r="A3437" t="str">
        <f t="shared" si="75"/>
        <v/>
      </c>
    </row>
    <row r="3438" spans="1:1" x14ac:dyDescent="0.25">
      <c r="A3438" t="str">
        <f t="shared" si="75"/>
        <v/>
      </c>
    </row>
    <row r="3439" spans="1:1" x14ac:dyDescent="0.25">
      <c r="A3439" t="str">
        <f t="shared" si="75"/>
        <v/>
      </c>
    </row>
    <row r="3440" spans="1:1" x14ac:dyDescent="0.25">
      <c r="A3440" t="str">
        <f t="shared" si="75"/>
        <v/>
      </c>
    </row>
    <row r="3441" spans="1:1" x14ac:dyDescent="0.25">
      <c r="A3441" t="str">
        <f t="shared" si="75"/>
        <v/>
      </c>
    </row>
    <row r="3442" spans="1:1" x14ac:dyDescent="0.25">
      <c r="A3442" t="str">
        <f t="shared" si="75"/>
        <v/>
      </c>
    </row>
    <row r="3443" spans="1:1" x14ac:dyDescent="0.25">
      <c r="A3443" t="str">
        <f t="shared" si="75"/>
        <v/>
      </c>
    </row>
    <row r="3444" spans="1:1" x14ac:dyDescent="0.25">
      <c r="A3444" t="str">
        <f t="shared" si="75"/>
        <v/>
      </c>
    </row>
    <row r="3445" spans="1:1" x14ac:dyDescent="0.25">
      <c r="A3445" t="str">
        <f t="shared" si="75"/>
        <v/>
      </c>
    </row>
    <row r="3446" spans="1:1" x14ac:dyDescent="0.25">
      <c r="A3446" t="str">
        <f t="shared" si="75"/>
        <v/>
      </c>
    </row>
    <row r="3447" spans="1:1" x14ac:dyDescent="0.25">
      <c r="A3447" t="str">
        <f t="shared" si="75"/>
        <v/>
      </c>
    </row>
    <row r="3448" spans="1:1" x14ac:dyDescent="0.25">
      <c r="A3448" t="str">
        <f t="shared" si="75"/>
        <v/>
      </c>
    </row>
    <row r="3449" spans="1:1" x14ac:dyDescent="0.25">
      <c r="A3449" t="str">
        <f t="shared" si="75"/>
        <v/>
      </c>
    </row>
    <row r="3450" spans="1:1" x14ac:dyDescent="0.25">
      <c r="A3450" t="str">
        <f t="shared" si="75"/>
        <v/>
      </c>
    </row>
    <row r="3451" spans="1:1" x14ac:dyDescent="0.25">
      <c r="A3451" t="str">
        <f t="shared" si="75"/>
        <v/>
      </c>
    </row>
    <row r="3452" spans="1:1" x14ac:dyDescent="0.25">
      <c r="A3452" t="str">
        <f t="shared" si="75"/>
        <v/>
      </c>
    </row>
    <row r="3453" spans="1:1" x14ac:dyDescent="0.25">
      <c r="A3453" t="str">
        <f t="shared" si="75"/>
        <v/>
      </c>
    </row>
    <row r="3454" spans="1:1" x14ac:dyDescent="0.25">
      <c r="A3454" t="str">
        <f t="shared" si="75"/>
        <v/>
      </c>
    </row>
    <row r="3455" spans="1:1" x14ac:dyDescent="0.25">
      <c r="A3455" t="str">
        <f t="shared" si="75"/>
        <v/>
      </c>
    </row>
    <row r="3456" spans="1:1" x14ac:dyDescent="0.25">
      <c r="A3456" t="str">
        <f t="shared" si="75"/>
        <v/>
      </c>
    </row>
    <row r="3457" spans="1:1" x14ac:dyDescent="0.25">
      <c r="A3457" t="str">
        <f t="shared" ref="A3457:A3520" si="76">E3457&amp;C3457&amp;D3457</f>
        <v/>
      </c>
    </row>
    <row r="3458" spans="1:1" x14ac:dyDescent="0.25">
      <c r="A3458" t="str">
        <f t="shared" si="76"/>
        <v/>
      </c>
    </row>
    <row r="3459" spans="1:1" x14ac:dyDescent="0.25">
      <c r="A3459" t="str">
        <f t="shared" si="76"/>
        <v/>
      </c>
    </row>
    <row r="3460" spans="1:1" x14ac:dyDescent="0.25">
      <c r="A3460" t="str">
        <f t="shared" si="76"/>
        <v/>
      </c>
    </row>
    <row r="3461" spans="1:1" x14ac:dyDescent="0.25">
      <c r="A3461" t="str">
        <f t="shared" si="76"/>
        <v/>
      </c>
    </row>
    <row r="3462" spans="1:1" x14ac:dyDescent="0.25">
      <c r="A3462" t="str">
        <f t="shared" si="76"/>
        <v/>
      </c>
    </row>
    <row r="3463" spans="1:1" x14ac:dyDescent="0.25">
      <c r="A3463" t="str">
        <f t="shared" si="76"/>
        <v/>
      </c>
    </row>
    <row r="3464" spans="1:1" x14ac:dyDescent="0.25">
      <c r="A3464" t="str">
        <f t="shared" si="76"/>
        <v/>
      </c>
    </row>
    <row r="3465" spans="1:1" x14ac:dyDescent="0.25">
      <c r="A3465" t="str">
        <f t="shared" si="76"/>
        <v/>
      </c>
    </row>
    <row r="3466" spans="1:1" x14ac:dyDescent="0.25">
      <c r="A3466" t="str">
        <f t="shared" si="76"/>
        <v/>
      </c>
    </row>
    <row r="3467" spans="1:1" x14ac:dyDescent="0.25">
      <c r="A3467" t="str">
        <f t="shared" si="76"/>
        <v/>
      </c>
    </row>
    <row r="3468" spans="1:1" x14ac:dyDescent="0.25">
      <c r="A3468" t="str">
        <f t="shared" si="76"/>
        <v/>
      </c>
    </row>
    <row r="3469" spans="1:1" x14ac:dyDescent="0.25">
      <c r="A3469" t="str">
        <f t="shared" si="76"/>
        <v/>
      </c>
    </row>
    <row r="3470" spans="1:1" x14ac:dyDescent="0.25">
      <c r="A3470" t="str">
        <f t="shared" si="76"/>
        <v/>
      </c>
    </row>
    <row r="3471" spans="1:1" x14ac:dyDescent="0.25">
      <c r="A3471" t="str">
        <f t="shared" si="76"/>
        <v/>
      </c>
    </row>
    <row r="3472" spans="1:1" x14ac:dyDescent="0.25">
      <c r="A3472" t="str">
        <f t="shared" si="76"/>
        <v/>
      </c>
    </row>
    <row r="3473" spans="1:1" x14ac:dyDescent="0.25">
      <c r="A3473" t="str">
        <f t="shared" si="76"/>
        <v/>
      </c>
    </row>
    <row r="3474" spans="1:1" x14ac:dyDescent="0.25">
      <c r="A3474" t="str">
        <f t="shared" si="76"/>
        <v/>
      </c>
    </row>
    <row r="3475" spans="1:1" x14ac:dyDescent="0.25">
      <c r="A3475" t="str">
        <f t="shared" si="76"/>
        <v/>
      </c>
    </row>
    <row r="3476" spans="1:1" x14ac:dyDescent="0.25">
      <c r="A3476" t="str">
        <f t="shared" si="76"/>
        <v/>
      </c>
    </row>
    <row r="3477" spans="1:1" x14ac:dyDescent="0.25">
      <c r="A3477" t="str">
        <f t="shared" si="76"/>
        <v/>
      </c>
    </row>
    <row r="3478" spans="1:1" x14ac:dyDescent="0.25">
      <c r="A3478" t="str">
        <f t="shared" si="76"/>
        <v/>
      </c>
    </row>
    <row r="3479" spans="1:1" x14ac:dyDescent="0.25">
      <c r="A3479" t="str">
        <f t="shared" si="76"/>
        <v/>
      </c>
    </row>
    <row r="3480" spans="1:1" x14ac:dyDescent="0.25">
      <c r="A3480" t="str">
        <f t="shared" si="76"/>
        <v/>
      </c>
    </row>
    <row r="3481" spans="1:1" x14ac:dyDescent="0.25">
      <c r="A3481" t="str">
        <f t="shared" si="76"/>
        <v/>
      </c>
    </row>
    <row r="3482" spans="1:1" x14ac:dyDescent="0.25">
      <c r="A3482" t="str">
        <f t="shared" si="76"/>
        <v/>
      </c>
    </row>
    <row r="3483" spans="1:1" x14ac:dyDescent="0.25">
      <c r="A3483" t="str">
        <f t="shared" si="76"/>
        <v/>
      </c>
    </row>
    <row r="3484" spans="1:1" x14ac:dyDescent="0.25">
      <c r="A3484" t="str">
        <f t="shared" si="76"/>
        <v/>
      </c>
    </row>
    <row r="3485" spans="1:1" x14ac:dyDescent="0.25">
      <c r="A3485" t="str">
        <f t="shared" si="76"/>
        <v/>
      </c>
    </row>
    <row r="3486" spans="1:1" x14ac:dyDescent="0.25">
      <c r="A3486" t="str">
        <f t="shared" si="76"/>
        <v/>
      </c>
    </row>
    <row r="3487" spans="1:1" x14ac:dyDescent="0.25">
      <c r="A3487" t="str">
        <f t="shared" si="76"/>
        <v/>
      </c>
    </row>
    <row r="3488" spans="1:1" x14ac:dyDescent="0.25">
      <c r="A3488" t="str">
        <f t="shared" si="76"/>
        <v/>
      </c>
    </row>
    <row r="3489" spans="1:1" x14ac:dyDescent="0.25">
      <c r="A3489" t="str">
        <f t="shared" si="76"/>
        <v/>
      </c>
    </row>
    <row r="3490" spans="1:1" x14ac:dyDescent="0.25">
      <c r="A3490" t="str">
        <f t="shared" si="76"/>
        <v/>
      </c>
    </row>
    <row r="3491" spans="1:1" x14ac:dyDescent="0.25">
      <c r="A3491" t="str">
        <f t="shared" si="76"/>
        <v/>
      </c>
    </row>
    <row r="3492" spans="1:1" x14ac:dyDescent="0.25">
      <c r="A3492" t="str">
        <f t="shared" si="76"/>
        <v/>
      </c>
    </row>
    <row r="3493" spans="1:1" x14ac:dyDescent="0.25">
      <c r="A3493" t="str">
        <f t="shared" si="76"/>
        <v/>
      </c>
    </row>
    <row r="3494" spans="1:1" x14ac:dyDescent="0.25">
      <c r="A3494" t="str">
        <f t="shared" si="76"/>
        <v/>
      </c>
    </row>
    <row r="3495" spans="1:1" x14ac:dyDescent="0.25">
      <c r="A3495" t="str">
        <f t="shared" si="76"/>
        <v/>
      </c>
    </row>
    <row r="3496" spans="1:1" x14ac:dyDescent="0.25">
      <c r="A3496" t="str">
        <f t="shared" si="76"/>
        <v/>
      </c>
    </row>
    <row r="3497" spans="1:1" x14ac:dyDescent="0.25">
      <c r="A3497" t="str">
        <f t="shared" si="76"/>
        <v/>
      </c>
    </row>
    <row r="3498" spans="1:1" x14ac:dyDescent="0.25">
      <c r="A3498" t="str">
        <f t="shared" si="76"/>
        <v/>
      </c>
    </row>
    <row r="3499" spans="1:1" x14ac:dyDescent="0.25">
      <c r="A3499" t="str">
        <f t="shared" si="76"/>
        <v/>
      </c>
    </row>
    <row r="3500" spans="1:1" x14ac:dyDescent="0.25">
      <c r="A3500" t="str">
        <f t="shared" si="76"/>
        <v/>
      </c>
    </row>
    <row r="3501" spans="1:1" x14ac:dyDescent="0.25">
      <c r="A3501" t="str">
        <f t="shared" si="76"/>
        <v/>
      </c>
    </row>
    <row r="3502" spans="1:1" x14ac:dyDescent="0.25">
      <c r="A3502" t="str">
        <f t="shared" si="76"/>
        <v/>
      </c>
    </row>
    <row r="3503" spans="1:1" x14ac:dyDescent="0.25">
      <c r="A3503" t="str">
        <f t="shared" si="76"/>
        <v/>
      </c>
    </row>
    <row r="3504" spans="1:1" x14ac:dyDescent="0.25">
      <c r="A3504" t="str">
        <f t="shared" si="76"/>
        <v/>
      </c>
    </row>
    <row r="3505" spans="1:1" x14ac:dyDescent="0.25">
      <c r="A3505" t="str">
        <f t="shared" si="76"/>
        <v/>
      </c>
    </row>
    <row r="3506" spans="1:1" x14ac:dyDescent="0.25">
      <c r="A3506" t="str">
        <f t="shared" si="76"/>
        <v/>
      </c>
    </row>
    <row r="3507" spans="1:1" x14ac:dyDescent="0.25">
      <c r="A3507" t="str">
        <f t="shared" si="76"/>
        <v/>
      </c>
    </row>
    <row r="3508" spans="1:1" x14ac:dyDescent="0.25">
      <c r="A3508" t="str">
        <f t="shared" si="76"/>
        <v/>
      </c>
    </row>
    <row r="3509" spans="1:1" x14ac:dyDescent="0.25">
      <c r="A3509" t="str">
        <f t="shared" si="76"/>
        <v/>
      </c>
    </row>
    <row r="3510" spans="1:1" x14ac:dyDescent="0.25">
      <c r="A3510" t="str">
        <f t="shared" si="76"/>
        <v/>
      </c>
    </row>
    <row r="3511" spans="1:1" x14ac:dyDescent="0.25">
      <c r="A3511" t="str">
        <f t="shared" si="76"/>
        <v/>
      </c>
    </row>
    <row r="3512" spans="1:1" x14ac:dyDescent="0.25">
      <c r="A3512" t="str">
        <f t="shared" si="76"/>
        <v/>
      </c>
    </row>
    <row r="3513" spans="1:1" x14ac:dyDescent="0.25">
      <c r="A3513" t="str">
        <f t="shared" si="76"/>
        <v/>
      </c>
    </row>
    <row r="3514" spans="1:1" x14ac:dyDescent="0.25">
      <c r="A3514" t="str">
        <f t="shared" si="76"/>
        <v/>
      </c>
    </row>
    <row r="3515" spans="1:1" x14ac:dyDescent="0.25">
      <c r="A3515" t="str">
        <f t="shared" si="76"/>
        <v/>
      </c>
    </row>
    <row r="3516" spans="1:1" x14ac:dyDescent="0.25">
      <c r="A3516" t="str">
        <f t="shared" si="76"/>
        <v/>
      </c>
    </row>
    <row r="3517" spans="1:1" x14ac:dyDescent="0.25">
      <c r="A3517" t="str">
        <f t="shared" si="76"/>
        <v/>
      </c>
    </row>
    <row r="3518" spans="1:1" x14ac:dyDescent="0.25">
      <c r="A3518" t="str">
        <f t="shared" si="76"/>
        <v/>
      </c>
    </row>
    <row r="3519" spans="1:1" x14ac:dyDescent="0.25">
      <c r="A3519" t="str">
        <f t="shared" si="76"/>
        <v/>
      </c>
    </row>
    <row r="3520" spans="1:1" x14ac:dyDescent="0.25">
      <c r="A3520" t="str">
        <f t="shared" si="76"/>
        <v/>
      </c>
    </row>
    <row r="3521" spans="1:1" x14ac:dyDescent="0.25">
      <c r="A3521" t="str">
        <f t="shared" ref="A3521:A3584" si="77">E3521&amp;C3521&amp;D3521</f>
        <v/>
      </c>
    </row>
    <row r="3522" spans="1:1" x14ac:dyDescent="0.25">
      <c r="A3522" t="str">
        <f t="shared" si="77"/>
        <v/>
      </c>
    </row>
    <row r="3523" spans="1:1" x14ac:dyDescent="0.25">
      <c r="A3523" t="str">
        <f t="shared" si="77"/>
        <v/>
      </c>
    </row>
    <row r="3524" spans="1:1" x14ac:dyDescent="0.25">
      <c r="A3524" t="str">
        <f t="shared" si="77"/>
        <v/>
      </c>
    </row>
    <row r="3525" spans="1:1" x14ac:dyDescent="0.25">
      <c r="A3525" t="str">
        <f t="shared" si="77"/>
        <v/>
      </c>
    </row>
    <row r="3526" spans="1:1" x14ac:dyDescent="0.25">
      <c r="A3526" t="str">
        <f t="shared" si="77"/>
        <v/>
      </c>
    </row>
    <row r="3527" spans="1:1" x14ac:dyDescent="0.25">
      <c r="A3527" t="str">
        <f t="shared" si="77"/>
        <v/>
      </c>
    </row>
    <row r="3528" spans="1:1" x14ac:dyDescent="0.25">
      <c r="A3528" t="str">
        <f t="shared" si="77"/>
        <v/>
      </c>
    </row>
    <row r="3529" spans="1:1" x14ac:dyDescent="0.25">
      <c r="A3529" t="str">
        <f t="shared" si="77"/>
        <v/>
      </c>
    </row>
    <row r="3530" spans="1:1" x14ac:dyDescent="0.25">
      <c r="A3530" t="str">
        <f t="shared" si="77"/>
        <v/>
      </c>
    </row>
    <row r="3531" spans="1:1" x14ac:dyDescent="0.25">
      <c r="A3531" t="str">
        <f t="shared" si="77"/>
        <v/>
      </c>
    </row>
    <row r="3532" spans="1:1" x14ac:dyDescent="0.25">
      <c r="A3532" t="str">
        <f t="shared" si="77"/>
        <v/>
      </c>
    </row>
    <row r="3533" spans="1:1" x14ac:dyDescent="0.25">
      <c r="A3533" t="str">
        <f t="shared" si="77"/>
        <v/>
      </c>
    </row>
    <row r="3534" spans="1:1" x14ac:dyDescent="0.25">
      <c r="A3534" t="str">
        <f t="shared" si="77"/>
        <v/>
      </c>
    </row>
    <row r="3535" spans="1:1" x14ac:dyDescent="0.25">
      <c r="A3535" t="str">
        <f t="shared" si="77"/>
        <v/>
      </c>
    </row>
    <row r="3536" spans="1:1" x14ac:dyDescent="0.25">
      <c r="A3536" t="str">
        <f t="shared" si="77"/>
        <v/>
      </c>
    </row>
    <row r="3537" spans="1:1" x14ac:dyDescent="0.25">
      <c r="A3537" t="str">
        <f t="shared" si="77"/>
        <v/>
      </c>
    </row>
    <row r="3538" spans="1:1" x14ac:dyDescent="0.25">
      <c r="A3538" t="str">
        <f t="shared" si="77"/>
        <v/>
      </c>
    </row>
    <row r="3539" spans="1:1" x14ac:dyDescent="0.25">
      <c r="A3539" t="str">
        <f t="shared" si="77"/>
        <v/>
      </c>
    </row>
    <row r="3540" spans="1:1" x14ac:dyDescent="0.25">
      <c r="A3540" t="str">
        <f t="shared" si="77"/>
        <v/>
      </c>
    </row>
    <row r="3541" spans="1:1" x14ac:dyDescent="0.25">
      <c r="A3541" t="str">
        <f t="shared" si="77"/>
        <v/>
      </c>
    </row>
    <row r="3542" spans="1:1" x14ac:dyDescent="0.25">
      <c r="A3542" t="str">
        <f t="shared" si="77"/>
        <v/>
      </c>
    </row>
    <row r="3543" spans="1:1" x14ac:dyDescent="0.25">
      <c r="A3543" t="str">
        <f t="shared" si="77"/>
        <v/>
      </c>
    </row>
    <row r="3544" spans="1:1" x14ac:dyDescent="0.25">
      <c r="A3544" t="str">
        <f t="shared" si="77"/>
        <v/>
      </c>
    </row>
    <row r="3545" spans="1:1" x14ac:dyDescent="0.25">
      <c r="A3545" t="str">
        <f t="shared" si="77"/>
        <v/>
      </c>
    </row>
    <row r="3546" spans="1:1" x14ac:dyDescent="0.25">
      <c r="A3546" t="str">
        <f t="shared" si="77"/>
        <v/>
      </c>
    </row>
    <row r="3547" spans="1:1" x14ac:dyDescent="0.25">
      <c r="A3547" t="str">
        <f t="shared" si="77"/>
        <v/>
      </c>
    </row>
    <row r="3548" spans="1:1" x14ac:dyDescent="0.25">
      <c r="A3548" t="str">
        <f t="shared" si="77"/>
        <v/>
      </c>
    </row>
    <row r="3549" spans="1:1" x14ac:dyDescent="0.25">
      <c r="A3549" t="str">
        <f t="shared" si="77"/>
        <v/>
      </c>
    </row>
    <row r="3550" spans="1:1" x14ac:dyDescent="0.25">
      <c r="A3550" t="str">
        <f t="shared" si="77"/>
        <v/>
      </c>
    </row>
    <row r="3551" spans="1:1" x14ac:dyDescent="0.25">
      <c r="A3551" t="str">
        <f t="shared" si="77"/>
        <v/>
      </c>
    </row>
    <row r="3552" spans="1:1" x14ac:dyDescent="0.25">
      <c r="A3552" t="str">
        <f t="shared" si="77"/>
        <v/>
      </c>
    </row>
    <row r="3553" spans="1:1" x14ac:dyDescent="0.25">
      <c r="A3553" t="str">
        <f t="shared" si="77"/>
        <v/>
      </c>
    </row>
    <row r="3554" spans="1:1" x14ac:dyDescent="0.25">
      <c r="A3554" t="str">
        <f t="shared" si="77"/>
        <v/>
      </c>
    </row>
    <row r="3555" spans="1:1" x14ac:dyDescent="0.25">
      <c r="A3555" t="str">
        <f t="shared" si="77"/>
        <v/>
      </c>
    </row>
    <row r="3556" spans="1:1" x14ac:dyDescent="0.25">
      <c r="A3556" t="str">
        <f t="shared" si="77"/>
        <v/>
      </c>
    </row>
    <row r="3557" spans="1:1" x14ac:dyDescent="0.25">
      <c r="A3557" t="str">
        <f t="shared" si="77"/>
        <v/>
      </c>
    </row>
    <row r="3558" spans="1:1" x14ac:dyDescent="0.25">
      <c r="A3558" t="str">
        <f t="shared" si="77"/>
        <v/>
      </c>
    </row>
    <row r="3559" spans="1:1" x14ac:dyDescent="0.25">
      <c r="A3559" t="str">
        <f t="shared" si="77"/>
        <v/>
      </c>
    </row>
    <row r="3560" spans="1:1" x14ac:dyDescent="0.25">
      <c r="A3560" t="str">
        <f t="shared" si="77"/>
        <v/>
      </c>
    </row>
    <row r="3561" spans="1:1" x14ac:dyDescent="0.25">
      <c r="A3561" t="str">
        <f t="shared" si="77"/>
        <v/>
      </c>
    </row>
    <row r="3562" spans="1:1" x14ac:dyDescent="0.25">
      <c r="A3562" t="str">
        <f t="shared" si="77"/>
        <v/>
      </c>
    </row>
    <row r="3563" spans="1:1" x14ac:dyDescent="0.25">
      <c r="A3563" t="str">
        <f t="shared" si="77"/>
        <v/>
      </c>
    </row>
    <row r="3564" spans="1:1" x14ac:dyDescent="0.25">
      <c r="A3564" t="str">
        <f t="shared" si="77"/>
        <v/>
      </c>
    </row>
    <row r="3565" spans="1:1" x14ac:dyDescent="0.25">
      <c r="A3565" t="str">
        <f t="shared" si="77"/>
        <v/>
      </c>
    </row>
    <row r="3566" spans="1:1" x14ac:dyDescent="0.25">
      <c r="A3566" t="str">
        <f t="shared" si="77"/>
        <v/>
      </c>
    </row>
    <row r="3567" spans="1:1" x14ac:dyDescent="0.25">
      <c r="A3567" t="str">
        <f t="shared" si="77"/>
        <v/>
      </c>
    </row>
    <row r="3568" spans="1:1" x14ac:dyDescent="0.25">
      <c r="A3568" t="str">
        <f t="shared" si="77"/>
        <v/>
      </c>
    </row>
    <row r="3569" spans="1:1" x14ac:dyDescent="0.25">
      <c r="A3569" t="str">
        <f t="shared" si="77"/>
        <v/>
      </c>
    </row>
    <row r="3570" spans="1:1" x14ac:dyDescent="0.25">
      <c r="A3570" t="str">
        <f t="shared" si="77"/>
        <v/>
      </c>
    </row>
    <row r="3571" spans="1:1" x14ac:dyDescent="0.25">
      <c r="A3571" t="str">
        <f t="shared" si="77"/>
        <v/>
      </c>
    </row>
    <row r="3572" spans="1:1" x14ac:dyDescent="0.25">
      <c r="A3572" t="str">
        <f t="shared" si="77"/>
        <v/>
      </c>
    </row>
    <row r="3573" spans="1:1" x14ac:dyDescent="0.25">
      <c r="A3573" t="str">
        <f t="shared" si="77"/>
        <v/>
      </c>
    </row>
    <row r="3574" spans="1:1" x14ac:dyDescent="0.25">
      <c r="A3574" t="str">
        <f t="shared" si="77"/>
        <v/>
      </c>
    </row>
    <row r="3575" spans="1:1" x14ac:dyDescent="0.25">
      <c r="A3575" t="str">
        <f t="shared" si="77"/>
        <v/>
      </c>
    </row>
    <row r="3576" spans="1:1" x14ac:dyDescent="0.25">
      <c r="A3576" t="str">
        <f t="shared" si="77"/>
        <v/>
      </c>
    </row>
    <row r="3577" spans="1:1" x14ac:dyDescent="0.25">
      <c r="A3577" t="str">
        <f t="shared" si="77"/>
        <v/>
      </c>
    </row>
    <row r="3578" spans="1:1" x14ac:dyDescent="0.25">
      <c r="A3578" t="str">
        <f t="shared" si="77"/>
        <v/>
      </c>
    </row>
    <row r="3579" spans="1:1" x14ac:dyDescent="0.25">
      <c r="A3579" t="str">
        <f t="shared" si="77"/>
        <v/>
      </c>
    </row>
    <row r="3580" spans="1:1" x14ac:dyDescent="0.25">
      <c r="A3580" t="str">
        <f t="shared" si="77"/>
        <v/>
      </c>
    </row>
    <row r="3581" spans="1:1" x14ac:dyDescent="0.25">
      <c r="A3581" t="str">
        <f t="shared" si="77"/>
        <v/>
      </c>
    </row>
    <row r="3582" spans="1:1" x14ac:dyDescent="0.25">
      <c r="A3582" t="str">
        <f t="shared" si="77"/>
        <v/>
      </c>
    </row>
    <row r="3583" spans="1:1" x14ac:dyDescent="0.25">
      <c r="A3583" t="str">
        <f t="shared" si="77"/>
        <v/>
      </c>
    </row>
    <row r="3584" spans="1:1" x14ac:dyDescent="0.25">
      <c r="A3584" t="str">
        <f t="shared" si="77"/>
        <v/>
      </c>
    </row>
    <row r="3585" spans="1:1" x14ac:dyDescent="0.25">
      <c r="A3585" t="str">
        <f t="shared" ref="A3585:A3648" si="78">E3585&amp;C3585&amp;D3585</f>
        <v/>
      </c>
    </row>
    <row r="3586" spans="1:1" x14ac:dyDescent="0.25">
      <c r="A3586" t="str">
        <f t="shared" si="78"/>
        <v/>
      </c>
    </row>
    <row r="3587" spans="1:1" x14ac:dyDescent="0.25">
      <c r="A3587" t="str">
        <f t="shared" si="78"/>
        <v/>
      </c>
    </row>
    <row r="3588" spans="1:1" x14ac:dyDescent="0.25">
      <c r="A3588" t="str">
        <f t="shared" si="78"/>
        <v/>
      </c>
    </row>
    <row r="3589" spans="1:1" x14ac:dyDescent="0.25">
      <c r="A3589" t="str">
        <f t="shared" si="78"/>
        <v/>
      </c>
    </row>
    <row r="3590" spans="1:1" x14ac:dyDescent="0.25">
      <c r="A3590" t="str">
        <f t="shared" si="78"/>
        <v/>
      </c>
    </row>
    <row r="3591" spans="1:1" x14ac:dyDescent="0.25">
      <c r="A3591" t="str">
        <f t="shared" si="78"/>
        <v/>
      </c>
    </row>
    <row r="3592" spans="1:1" x14ac:dyDescent="0.25">
      <c r="A3592" t="str">
        <f t="shared" si="78"/>
        <v/>
      </c>
    </row>
    <row r="3593" spans="1:1" x14ac:dyDescent="0.25">
      <c r="A3593" t="str">
        <f t="shared" si="78"/>
        <v/>
      </c>
    </row>
    <row r="3594" spans="1:1" x14ac:dyDescent="0.25">
      <c r="A3594" t="str">
        <f t="shared" si="78"/>
        <v/>
      </c>
    </row>
    <row r="3595" spans="1:1" x14ac:dyDescent="0.25">
      <c r="A3595" t="str">
        <f t="shared" si="78"/>
        <v/>
      </c>
    </row>
    <row r="3596" spans="1:1" x14ac:dyDescent="0.25">
      <c r="A3596" t="str">
        <f t="shared" si="78"/>
        <v/>
      </c>
    </row>
    <row r="3597" spans="1:1" x14ac:dyDescent="0.25">
      <c r="A3597" t="str">
        <f t="shared" si="78"/>
        <v/>
      </c>
    </row>
    <row r="3598" spans="1:1" x14ac:dyDescent="0.25">
      <c r="A3598" t="str">
        <f t="shared" si="78"/>
        <v/>
      </c>
    </row>
    <row r="3599" spans="1:1" x14ac:dyDescent="0.25">
      <c r="A3599" t="str">
        <f t="shared" si="78"/>
        <v/>
      </c>
    </row>
    <row r="3600" spans="1:1" x14ac:dyDescent="0.25">
      <c r="A3600" t="str">
        <f t="shared" si="78"/>
        <v/>
      </c>
    </row>
    <row r="3601" spans="1:1" x14ac:dyDescent="0.25">
      <c r="A3601" t="str">
        <f t="shared" si="78"/>
        <v/>
      </c>
    </row>
    <row r="3602" spans="1:1" x14ac:dyDescent="0.25">
      <c r="A3602" t="str">
        <f t="shared" si="78"/>
        <v/>
      </c>
    </row>
    <row r="3603" spans="1:1" x14ac:dyDescent="0.25">
      <c r="A3603" t="str">
        <f t="shared" si="78"/>
        <v/>
      </c>
    </row>
    <row r="3604" spans="1:1" x14ac:dyDescent="0.25">
      <c r="A3604" t="str">
        <f t="shared" si="78"/>
        <v/>
      </c>
    </row>
    <row r="3605" spans="1:1" x14ac:dyDescent="0.25">
      <c r="A3605" t="str">
        <f t="shared" si="78"/>
        <v/>
      </c>
    </row>
    <row r="3606" spans="1:1" x14ac:dyDescent="0.25">
      <c r="A3606" t="str">
        <f t="shared" si="78"/>
        <v/>
      </c>
    </row>
    <row r="3607" spans="1:1" x14ac:dyDescent="0.25">
      <c r="A3607" t="str">
        <f t="shared" si="78"/>
        <v/>
      </c>
    </row>
    <row r="3608" spans="1:1" x14ac:dyDescent="0.25">
      <c r="A3608" t="str">
        <f t="shared" si="78"/>
        <v/>
      </c>
    </row>
    <row r="3609" spans="1:1" x14ac:dyDescent="0.25">
      <c r="A3609" t="str">
        <f t="shared" si="78"/>
        <v/>
      </c>
    </row>
    <row r="3610" spans="1:1" x14ac:dyDescent="0.25">
      <c r="A3610" t="str">
        <f t="shared" si="78"/>
        <v/>
      </c>
    </row>
    <row r="3611" spans="1:1" x14ac:dyDescent="0.25">
      <c r="A3611" t="str">
        <f t="shared" si="78"/>
        <v/>
      </c>
    </row>
    <row r="3612" spans="1:1" x14ac:dyDescent="0.25">
      <c r="A3612" t="str">
        <f t="shared" si="78"/>
        <v/>
      </c>
    </row>
    <row r="3613" spans="1:1" x14ac:dyDescent="0.25">
      <c r="A3613" t="str">
        <f t="shared" si="78"/>
        <v/>
      </c>
    </row>
    <row r="3614" spans="1:1" x14ac:dyDescent="0.25">
      <c r="A3614" t="str">
        <f t="shared" si="78"/>
        <v/>
      </c>
    </row>
    <row r="3615" spans="1:1" x14ac:dyDescent="0.25">
      <c r="A3615" t="str">
        <f t="shared" si="78"/>
        <v/>
      </c>
    </row>
    <row r="3616" spans="1:1" x14ac:dyDescent="0.25">
      <c r="A3616" t="str">
        <f t="shared" si="78"/>
        <v/>
      </c>
    </row>
    <row r="3617" spans="1:1" x14ac:dyDescent="0.25">
      <c r="A3617" t="str">
        <f t="shared" si="78"/>
        <v/>
      </c>
    </row>
    <row r="3618" spans="1:1" x14ac:dyDescent="0.25">
      <c r="A3618" t="str">
        <f t="shared" si="78"/>
        <v/>
      </c>
    </row>
    <row r="3619" spans="1:1" x14ac:dyDescent="0.25">
      <c r="A3619" t="str">
        <f t="shared" si="78"/>
        <v/>
      </c>
    </row>
    <row r="3620" spans="1:1" x14ac:dyDescent="0.25">
      <c r="A3620" t="str">
        <f t="shared" si="78"/>
        <v/>
      </c>
    </row>
    <row r="3621" spans="1:1" x14ac:dyDescent="0.25">
      <c r="A3621" t="str">
        <f t="shared" si="78"/>
        <v/>
      </c>
    </row>
    <row r="3622" spans="1:1" x14ac:dyDescent="0.25">
      <c r="A3622" t="str">
        <f t="shared" si="78"/>
        <v/>
      </c>
    </row>
    <row r="3623" spans="1:1" x14ac:dyDescent="0.25">
      <c r="A3623" t="str">
        <f t="shared" si="78"/>
        <v/>
      </c>
    </row>
    <row r="3624" spans="1:1" x14ac:dyDescent="0.25">
      <c r="A3624" t="str">
        <f t="shared" si="78"/>
        <v/>
      </c>
    </row>
    <row r="3625" spans="1:1" x14ac:dyDescent="0.25">
      <c r="A3625" t="str">
        <f t="shared" si="78"/>
        <v/>
      </c>
    </row>
    <row r="3626" spans="1:1" x14ac:dyDescent="0.25">
      <c r="A3626" t="str">
        <f t="shared" si="78"/>
        <v/>
      </c>
    </row>
    <row r="3627" spans="1:1" x14ac:dyDescent="0.25">
      <c r="A3627" t="str">
        <f t="shared" si="78"/>
        <v/>
      </c>
    </row>
    <row r="3628" spans="1:1" x14ac:dyDescent="0.25">
      <c r="A3628" t="str">
        <f t="shared" si="78"/>
        <v/>
      </c>
    </row>
    <row r="3629" spans="1:1" x14ac:dyDescent="0.25">
      <c r="A3629" t="str">
        <f t="shared" si="78"/>
        <v/>
      </c>
    </row>
    <row r="3630" spans="1:1" x14ac:dyDescent="0.25">
      <c r="A3630" t="str">
        <f t="shared" si="78"/>
        <v/>
      </c>
    </row>
    <row r="3631" spans="1:1" x14ac:dyDescent="0.25">
      <c r="A3631" t="str">
        <f t="shared" si="78"/>
        <v/>
      </c>
    </row>
    <row r="3632" spans="1:1" x14ac:dyDescent="0.25">
      <c r="A3632" t="str">
        <f t="shared" si="78"/>
        <v/>
      </c>
    </row>
    <row r="3633" spans="1:1" x14ac:dyDescent="0.25">
      <c r="A3633" t="str">
        <f t="shared" si="78"/>
        <v/>
      </c>
    </row>
    <row r="3634" spans="1:1" x14ac:dyDescent="0.25">
      <c r="A3634" t="str">
        <f t="shared" si="78"/>
        <v/>
      </c>
    </row>
    <row r="3635" spans="1:1" x14ac:dyDescent="0.25">
      <c r="A3635" t="str">
        <f t="shared" si="78"/>
        <v/>
      </c>
    </row>
    <row r="3636" spans="1:1" x14ac:dyDescent="0.25">
      <c r="A3636" t="str">
        <f t="shared" si="78"/>
        <v/>
      </c>
    </row>
    <row r="3637" spans="1:1" x14ac:dyDescent="0.25">
      <c r="A3637" t="str">
        <f t="shared" si="78"/>
        <v/>
      </c>
    </row>
    <row r="3638" spans="1:1" x14ac:dyDescent="0.25">
      <c r="A3638" t="str">
        <f t="shared" si="78"/>
        <v/>
      </c>
    </row>
    <row r="3639" spans="1:1" x14ac:dyDescent="0.25">
      <c r="A3639" t="str">
        <f t="shared" si="78"/>
        <v/>
      </c>
    </row>
    <row r="3640" spans="1:1" x14ac:dyDescent="0.25">
      <c r="A3640" t="str">
        <f t="shared" si="78"/>
        <v/>
      </c>
    </row>
    <row r="3641" spans="1:1" x14ac:dyDescent="0.25">
      <c r="A3641" t="str">
        <f t="shared" si="78"/>
        <v/>
      </c>
    </row>
    <row r="3642" spans="1:1" x14ac:dyDescent="0.25">
      <c r="A3642" t="str">
        <f t="shared" si="78"/>
        <v/>
      </c>
    </row>
    <row r="3643" spans="1:1" x14ac:dyDescent="0.25">
      <c r="A3643" t="str">
        <f t="shared" si="78"/>
        <v/>
      </c>
    </row>
    <row r="3644" spans="1:1" x14ac:dyDescent="0.25">
      <c r="A3644" t="str">
        <f t="shared" si="78"/>
        <v/>
      </c>
    </row>
    <row r="3645" spans="1:1" x14ac:dyDescent="0.25">
      <c r="A3645" t="str">
        <f t="shared" si="78"/>
        <v/>
      </c>
    </row>
    <row r="3646" spans="1:1" x14ac:dyDescent="0.25">
      <c r="A3646" t="str">
        <f t="shared" si="78"/>
        <v/>
      </c>
    </row>
    <row r="3647" spans="1:1" x14ac:dyDescent="0.25">
      <c r="A3647" t="str">
        <f t="shared" si="78"/>
        <v/>
      </c>
    </row>
    <row r="3648" spans="1:1" x14ac:dyDescent="0.25">
      <c r="A3648" t="str">
        <f t="shared" si="78"/>
        <v/>
      </c>
    </row>
    <row r="3649" spans="1:1" x14ac:dyDescent="0.25">
      <c r="A3649" t="str">
        <f t="shared" ref="A3649:A3712" si="79">E3649&amp;C3649&amp;D3649</f>
        <v/>
      </c>
    </row>
    <row r="3650" spans="1:1" x14ac:dyDescent="0.25">
      <c r="A3650" t="str">
        <f t="shared" si="79"/>
        <v/>
      </c>
    </row>
    <row r="3651" spans="1:1" x14ac:dyDescent="0.25">
      <c r="A3651" t="str">
        <f t="shared" si="79"/>
        <v/>
      </c>
    </row>
    <row r="3652" spans="1:1" x14ac:dyDescent="0.25">
      <c r="A3652" t="str">
        <f t="shared" si="79"/>
        <v/>
      </c>
    </row>
    <row r="3653" spans="1:1" x14ac:dyDescent="0.25">
      <c r="A3653" t="str">
        <f t="shared" si="79"/>
        <v/>
      </c>
    </row>
    <row r="3654" spans="1:1" x14ac:dyDescent="0.25">
      <c r="A3654" t="str">
        <f t="shared" si="79"/>
        <v/>
      </c>
    </row>
    <row r="3655" spans="1:1" x14ac:dyDescent="0.25">
      <c r="A3655" t="str">
        <f t="shared" si="79"/>
        <v/>
      </c>
    </row>
    <row r="3656" spans="1:1" x14ac:dyDescent="0.25">
      <c r="A3656" t="str">
        <f t="shared" si="79"/>
        <v/>
      </c>
    </row>
    <row r="3657" spans="1:1" x14ac:dyDescent="0.25">
      <c r="A3657" t="str">
        <f t="shared" si="79"/>
        <v/>
      </c>
    </row>
    <row r="3658" spans="1:1" x14ac:dyDescent="0.25">
      <c r="A3658" t="str">
        <f t="shared" si="79"/>
        <v/>
      </c>
    </row>
    <row r="3659" spans="1:1" x14ac:dyDescent="0.25">
      <c r="A3659" t="str">
        <f t="shared" si="79"/>
        <v/>
      </c>
    </row>
    <row r="3660" spans="1:1" x14ac:dyDescent="0.25">
      <c r="A3660" t="str">
        <f t="shared" si="79"/>
        <v/>
      </c>
    </row>
    <row r="3661" spans="1:1" x14ac:dyDescent="0.25">
      <c r="A3661" t="str">
        <f t="shared" si="79"/>
        <v/>
      </c>
    </row>
    <row r="3662" spans="1:1" x14ac:dyDescent="0.25">
      <c r="A3662" t="str">
        <f t="shared" si="79"/>
        <v/>
      </c>
    </row>
    <row r="3663" spans="1:1" x14ac:dyDescent="0.25">
      <c r="A3663" t="str">
        <f t="shared" si="79"/>
        <v/>
      </c>
    </row>
    <row r="3664" spans="1:1" x14ac:dyDescent="0.25">
      <c r="A3664" t="str">
        <f t="shared" si="79"/>
        <v/>
      </c>
    </row>
    <row r="3665" spans="1:1" x14ac:dyDescent="0.25">
      <c r="A3665" t="str">
        <f t="shared" si="79"/>
        <v/>
      </c>
    </row>
    <row r="3666" spans="1:1" x14ac:dyDescent="0.25">
      <c r="A3666" t="str">
        <f t="shared" si="79"/>
        <v/>
      </c>
    </row>
    <row r="3667" spans="1:1" x14ac:dyDescent="0.25">
      <c r="A3667" t="str">
        <f t="shared" si="79"/>
        <v/>
      </c>
    </row>
    <row r="3668" spans="1:1" x14ac:dyDescent="0.25">
      <c r="A3668" t="str">
        <f t="shared" si="79"/>
        <v/>
      </c>
    </row>
    <row r="3669" spans="1:1" x14ac:dyDescent="0.25">
      <c r="A3669" t="str">
        <f t="shared" si="79"/>
        <v/>
      </c>
    </row>
    <row r="3670" spans="1:1" x14ac:dyDescent="0.25">
      <c r="A3670" t="str">
        <f t="shared" si="79"/>
        <v/>
      </c>
    </row>
    <row r="3671" spans="1:1" x14ac:dyDescent="0.25">
      <c r="A3671" t="str">
        <f t="shared" si="79"/>
        <v/>
      </c>
    </row>
    <row r="3672" spans="1:1" x14ac:dyDescent="0.25">
      <c r="A3672" t="str">
        <f t="shared" si="79"/>
        <v/>
      </c>
    </row>
    <row r="3673" spans="1:1" x14ac:dyDescent="0.25">
      <c r="A3673" t="str">
        <f t="shared" si="79"/>
        <v/>
      </c>
    </row>
    <row r="3674" spans="1:1" x14ac:dyDescent="0.25">
      <c r="A3674" t="str">
        <f t="shared" si="79"/>
        <v/>
      </c>
    </row>
    <row r="3675" spans="1:1" x14ac:dyDescent="0.25">
      <c r="A3675" t="str">
        <f t="shared" si="79"/>
        <v/>
      </c>
    </row>
    <row r="3676" spans="1:1" x14ac:dyDescent="0.25">
      <c r="A3676" t="str">
        <f t="shared" si="79"/>
        <v/>
      </c>
    </row>
    <row r="3677" spans="1:1" x14ac:dyDescent="0.25">
      <c r="A3677" t="str">
        <f t="shared" si="79"/>
        <v/>
      </c>
    </row>
    <row r="3678" spans="1:1" x14ac:dyDescent="0.25">
      <c r="A3678" t="str">
        <f t="shared" si="79"/>
        <v/>
      </c>
    </row>
    <row r="3679" spans="1:1" x14ac:dyDescent="0.25">
      <c r="A3679" t="str">
        <f t="shared" si="79"/>
        <v/>
      </c>
    </row>
    <row r="3680" spans="1:1" x14ac:dyDescent="0.25">
      <c r="A3680" t="str">
        <f t="shared" si="79"/>
        <v/>
      </c>
    </row>
    <row r="3681" spans="1:1" x14ac:dyDescent="0.25">
      <c r="A3681" t="str">
        <f t="shared" si="79"/>
        <v/>
      </c>
    </row>
    <row r="3682" spans="1:1" x14ac:dyDescent="0.25">
      <c r="A3682" t="str">
        <f t="shared" si="79"/>
        <v/>
      </c>
    </row>
    <row r="3683" spans="1:1" x14ac:dyDescent="0.25">
      <c r="A3683" t="str">
        <f t="shared" si="79"/>
        <v/>
      </c>
    </row>
    <row r="3684" spans="1:1" x14ac:dyDescent="0.25">
      <c r="A3684" t="str">
        <f t="shared" si="79"/>
        <v/>
      </c>
    </row>
    <row r="3685" spans="1:1" x14ac:dyDescent="0.25">
      <c r="A3685" t="str">
        <f t="shared" si="79"/>
        <v/>
      </c>
    </row>
    <row r="3686" spans="1:1" x14ac:dyDescent="0.25">
      <c r="A3686" t="str">
        <f t="shared" si="79"/>
        <v/>
      </c>
    </row>
    <row r="3687" spans="1:1" x14ac:dyDescent="0.25">
      <c r="A3687" t="str">
        <f t="shared" si="79"/>
        <v/>
      </c>
    </row>
    <row r="3688" spans="1:1" x14ac:dyDescent="0.25">
      <c r="A3688" t="str">
        <f t="shared" si="79"/>
        <v/>
      </c>
    </row>
    <row r="3689" spans="1:1" x14ac:dyDescent="0.25">
      <c r="A3689" t="str">
        <f t="shared" si="79"/>
        <v/>
      </c>
    </row>
    <row r="3690" spans="1:1" x14ac:dyDescent="0.25">
      <c r="A3690" t="str">
        <f t="shared" si="79"/>
        <v/>
      </c>
    </row>
    <row r="3691" spans="1:1" x14ac:dyDescent="0.25">
      <c r="A3691" t="str">
        <f t="shared" si="79"/>
        <v/>
      </c>
    </row>
    <row r="3692" spans="1:1" x14ac:dyDescent="0.25">
      <c r="A3692" t="str">
        <f t="shared" si="79"/>
        <v/>
      </c>
    </row>
    <row r="3693" spans="1:1" x14ac:dyDescent="0.25">
      <c r="A3693" t="str">
        <f t="shared" si="79"/>
        <v/>
      </c>
    </row>
    <row r="3694" spans="1:1" x14ac:dyDescent="0.25">
      <c r="A3694" t="str">
        <f t="shared" si="79"/>
        <v/>
      </c>
    </row>
    <row r="3695" spans="1:1" x14ac:dyDescent="0.25">
      <c r="A3695" t="str">
        <f t="shared" si="79"/>
        <v/>
      </c>
    </row>
    <row r="3696" spans="1:1" x14ac:dyDescent="0.25">
      <c r="A3696" t="str">
        <f t="shared" si="79"/>
        <v/>
      </c>
    </row>
    <row r="3697" spans="1:1" x14ac:dyDescent="0.25">
      <c r="A3697" t="str">
        <f t="shared" si="79"/>
        <v/>
      </c>
    </row>
    <row r="3698" spans="1:1" x14ac:dyDescent="0.25">
      <c r="A3698" t="str">
        <f t="shared" si="79"/>
        <v/>
      </c>
    </row>
    <row r="3699" spans="1:1" x14ac:dyDescent="0.25">
      <c r="A3699" t="str">
        <f t="shared" si="79"/>
        <v/>
      </c>
    </row>
    <row r="3700" spans="1:1" x14ac:dyDescent="0.25">
      <c r="A3700" t="str">
        <f t="shared" si="79"/>
        <v/>
      </c>
    </row>
    <row r="3701" spans="1:1" x14ac:dyDescent="0.25">
      <c r="A3701" t="str">
        <f t="shared" si="79"/>
        <v/>
      </c>
    </row>
    <row r="3702" spans="1:1" x14ac:dyDescent="0.25">
      <c r="A3702" t="str">
        <f t="shared" si="79"/>
        <v/>
      </c>
    </row>
    <row r="3703" spans="1:1" x14ac:dyDescent="0.25">
      <c r="A3703" t="str">
        <f t="shared" si="79"/>
        <v/>
      </c>
    </row>
    <row r="3704" spans="1:1" x14ac:dyDescent="0.25">
      <c r="A3704" t="str">
        <f t="shared" si="79"/>
        <v/>
      </c>
    </row>
    <row r="3705" spans="1:1" x14ac:dyDescent="0.25">
      <c r="A3705" t="str">
        <f t="shared" si="79"/>
        <v/>
      </c>
    </row>
    <row r="3706" spans="1:1" x14ac:dyDescent="0.25">
      <c r="A3706" t="str">
        <f t="shared" si="79"/>
        <v/>
      </c>
    </row>
    <row r="3707" spans="1:1" x14ac:dyDescent="0.25">
      <c r="A3707" t="str">
        <f t="shared" si="79"/>
        <v/>
      </c>
    </row>
    <row r="3708" spans="1:1" x14ac:dyDescent="0.25">
      <c r="A3708" t="str">
        <f t="shared" si="79"/>
        <v/>
      </c>
    </row>
    <row r="3709" spans="1:1" x14ac:dyDescent="0.25">
      <c r="A3709" t="str">
        <f t="shared" si="79"/>
        <v/>
      </c>
    </row>
    <row r="3710" spans="1:1" x14ac:dyDescent="0.25">
      <c r="A3710" t="str">
        <f t="shared" si="79"/>
        <v/>
      </c>
    </row>
    <row r="3711" spans="1:1" x14ac:dyDescent="0.25">
      <c r="A3711" t="str">
        <f t="shared" si="79"/>
        <v/>
      </c>
    </row>
    <row r="3712" spans="1:1" x14ac:dyDescent="0.25">
      <c r="A3712" t="str">
        <f t="shared" si="79"/>
        <v/>
      </c>
    </row>
    <row r="3713" spans="1:1" x14ac:dyDescent="0.25">
      <c r="A3713" t="str">
        <f t="shared" ref="A3713:A3776" si="80">E3713&amp;C3713&amp;D3713</f>
        <v/>
      </c>
    </row>
    <row r="3714" spans="1:1" x14ac:dyDescent="0.25">
      <c r="A3714" t="str">
        <f t="shared" si="80"/>
        <v/>
      </c>
    </row>
    <row r="3715" spans="1:1" x14ac:dyDescent="0.25">
      <c r="A3715" t="str">
        <f t="shared" si="80"/>
        <v/>
      </c>
    </row>
    <row r="3716" spans="1:1" x14ac:dyDescent="0.25">
      <c r="A3716" t="str">
        <f t="shared" si="80"/>
        <v/>
      </c>
    </row>
    <row r="3717" spans="1:1" x14ac:dyDescent="0.25">
      <c r="A3717" t="str">
        <f t="shared" si="80"/>
        <v/>
      </c>
    </row>
    <row r="3718" spans="1:1" x14ac:dyDescent="0.25">
      <c r="A3718" t="str">
        <f t="shared" si="80"/>
        <v/>
      </c>
    </row>
    <row r="3719" spans="1:1" x14ac:dyDescent="0.25">
      <c r="A3719" t="str">
        <f t="shared" si="80"/>
        <v/>
      </c>
    </row>
    <row r="3720" spans="1:1" x14ac:dyDescent="0.25">
      <c r="A3720" t="str">
        <f t="shared" si="80"/>
        <v/>
      </c>
    </row>
    <row r="3721" spans="1:1" x14ac:dyDescent="0.25">
      <c r="A3721" t="str">
        <f t="shared" si="80"/>
        <v/>
      </c>
    </row>
    <row r="3722" spans="1:1" x14ac:dyDescent="0.25">
      <c r="A3722" t="str">
        <f t="shared" si="80"/>
        <v/>
      </c>
    </row>
    <row r="3723" spans="1:1" x14ac:dyDescent="0.25">
      <c r="A3723" t="str">
        <f t="shared" si="80"/>
        <v/>
      </c>
    </row>
    <row r="3724" spans="1:1" x14ac:dyDescent="0.25">
      <c r="A3724" t="str">
        <f t="shared" si="80"/>
        <v/>
      </c>
    </row>
    <row r="3725" spans="1:1" x14ac:dyDescent="0.25">
      <c r="A3725" t="str">
        <f t="shared" si="80"/>
        <v/>
      </c>
    </row>
    <row r="3726" spans="1:1" x14ac:dyDescent="0.25">
      <c r="A3726" t="str">
        <f t="shared" si="80"/>
        <v/>
      </c>
    </row>
    <row r="3727" spans="1:1" x14ac:dyDescent="0.25">
      <c r="A3727" t="str">
        <f t="shared" si="80"/>
        <v/>
      </c>
    </row>
    <row r="3728" spans="1:1" x14ac:dyDescent="0.25">
      <c r="A3728" t="str">
        <f t="shared" si="80"/>
        <v/>
      </c>
    </row>
    <row r="3729" spans="1:1" x14ac:dyDescent="0.25">
      <c r="A3729" t="str">
        <f t="shared" si="80"/>
        <v/>
      </c>
    </row>
    <row r="3730" spans="1:1" x14ac:dyDescent="0.25">
      <c r="A3730" t="str">
        <f t="shared" si="80"/>
        <v/>
      </c>
    </row>
    <row r="3731" spans="1:1" x14ac:dyDescent="0.25">
      <c r="A3731" t="str">
        <f t="shared" si="80"/>
        <v/>
      </c>
    </row>
    <row r="3732" spans="1:1" x14ac:dyDescent="0.25">
      <c r="A3732" t="str">
        <f t="shared" si="80"/>
        <v/>
      </c>
    </row>
    <row r="3733" spans="1:1" x14ac:dyDescent="0.25">
      <c r="A3733" t="str">
        <f t="shared" si="80"/>
        <v/>
      </c>
    </row>
    <row r="3734" spans="1:1" x14ac:dyDescent="0.25">
      <c r="A3734" t="str">
        <f t="shared" si="80"/>
        <v/>
      </c>
    </row>
    <row r="3735" spans="1:1" x14ac:dyDescent="0.25">
      <c r="A3735" t="str">
        <f t="shared" si="80"/>
        <v/>
      </c>
    </row>
    <row r="3736" spans="1:1" x14ac:dyDescent="0.25">
      <c r="A3736" t="str">
        <f t="shared" si="80"/>
        <v/>
      </c>
    </row>
    <row r="3737" spans="1:1" x14ac:dyDescent="0.25">
      <c r="A3737" t="str">
        <f t="shared" si="80"/>
        <v/>
      </c>
    </row>
    <row r="3738" spans="1:1" x14ac:dyDescent="0.25">
      <c r="A3738" t="str">
        <f t="shared" si="80"/>
        <v/>
      </c>
    </row>
    <row r="3739" spans="1:1" x14ac:dyDescent="0.25">
      <c r="A3739" t="str">
        <f t="shared" si="80"/>
        <v/>
      </c>
    </row>
    <row r="3740" spans="1:1" x14ac:dyDescent="0.25">
      <c r="A3740" t="str">
        <f t="shared" si="80"/>
        <v/>
      </c>
    </row>
    <row r="3741" spans="1:1" x14ac:dyDescent="0.25">
      <c r="A3741" t="str">
        <f t="shared" si="80"/>
        <v/>
      </c>
    </row>
    <row r="3742" spans="1:1" x14ac:dyDescent="0.25">
      <c r="A3742" t="str">
        <f t="shared" si="80"/>
        <v/>
      </c>
    </row>
    <row r="3743" spans="1:1" x14ac:dyDescent="0.25">
      <c r="A3743" t="str">
        <f t="shared" si="80"/>
        <v/>
      </c>
    </row>
    <row r="3744" spans="1:1" x14ac:dyDescent="0.25">
      <c r="A3744" t="str">
        <f t="shared" si="80"/>
        <v/>
      </c>
    </row>
    <row r="3745" spans="1:1" x14ac:dyDescent="0.25">
      <c r="A3745" t="str">
        <f t="shared" si="80"/>
        <v/>
      </c>
    </row>
    <row r="3746" spans="1:1" x14ac:dyDescent="0.25">
      <c r="A3746" t="str">
        <f t="shared" si="80"/>
        <v/>
      </c>
    </row>
    <row r="3747" spans="1:1" x14ac:dyDescent="0.25">
      <c r="A3747" t="str">
        <f t="shared" si="80"/>
        <v/>
      </c>
    </row>
    <row r="3748" spans="1:1" x14ac:dyDescent="0.25">
      <c r="A3748" t="str">
        <f t="shared" si="80"/>
        <v/>
      </c>
    </row>
    <row r="3749" spans="1:1" x14ac:dyDescent="0.25">
      <c r="A3749" t="str">
        <f t="shared" si="80"/>
        <v/>
      </c>
    </row>
    <row r="3750" spans="1:1" x14ac:dyDescent="0.25">
      <c r="A3750" t="str">
        <f t="shared" si="80"/>
        <v/>
      </c>
    </row>
    <row r="3751" spans="1:1" x14ac:dyDescent="0.25">
      <c r="A3751" t="str">
        <f t="shared" si="80"/>
        <v/>
      </c>
    </row>
    <row r="3752" spans="1:1" x14ac:dyDescent="0.25">
      <c r="A3752" t="str">
        <f t="shared" si="80"/>
        <v/>
      </c>
    </row>
    <row r="3753" spans="1:1" x14ac:dyDescent="0.25">
      <c r="A3753" t="str">
        <f t="shared" si="80"/>
        <v/>
      </c>
    </row>
    <row r="3754" spans="1:1" x14ac:dyDescent="0.25">
      <c r="A3754" t="str">
        <f t="shared" si="80"/>
        <v/>
      </c>
    </row>
    <row r="3755" spans="1:1" x14ac:dyDescent="0.25">
      <c r="A3755" t="str">
        <f t="shared" si="80"/>
        <v/>
      </c>
    </row>
    <row r="3756" spans="1:1" x14ac:dyDescent="0.25">
      <c r="A3756" t="str">
        <f t="shared" si="80"/>
        <v/>
      </c>
    </row>
    <row r="3757" spans="1:1" x14ac:dyDescent="0.25">
      <c r="A3757" t="str">
        <f t="shared" si="80"/>
        <v/>
      </c>
    </row>
    <row r="3758" spans="1:1" x14ac:dyDescent="0.25">
      <c r="A3758" t="str">
        <f t="shared" si="80"/>
        <v/>
      </c>
    </row>
    <row r="3759" spans="1:1" x14ac:dyDescent="0.25">
      <c r="A3759" t="str">
        <f t="shared" si="80"/>
        <v/>
      </c>
    </row>
    <row r="3760" spans="1:1" x14ac:dyDescent="0.25">
      <c r="A3760" t="str">
        <f t="shared" si="80"/>
        <v/>
      </c>
    </row>
    <row r="3761" spans="1:1" x14ac:dyDescent="0.25">
      <c r="A3761" t="str">
        <f t="shared" si="80"/>
        <v/>
      </c>
    </row>
    <row r="3762" spans="1:1" x14ac:dyDescent="0.25">
      <c r="A3762" t="str">
        <f t="shared" si="80"/>
        <v/>
      </c>
    </row>
    <row r="3763" spans="1:1" x14ac:dyDescent="0.25">
      <c r="A3763" t="str">
        <f t="shared" si="80"/>
        <v/>
      </c>
    </row>
    <row r="3764" spans="1:1" x14ac:dyDescent="0.25">
      <c r="A3764" t="str">
        <f t="shared" si="80"/>
        <v/>
      </c>
    </row>
    <row r="3765" spans="1:1" x14ac:dyDescent="0.25">
      <c r="A3765" t="str">
        <f t="shared" si="80"/>
        <v/>
      </c>
    </row>
    <row r="3766" spans="1:1" x14ac:dyDescent="0.25">
      <c r="A3766" t="str">
        <f t="shared" si="80"/>
        <v/>
      </c>
    </row>
    <row r="3767" spans="1:1" x14ac:dyDescent="0.25">
      <c r="A3767" t="str">
        <f t="shared" si="80"/>
        <v/>
      </c>
    </row>
    <row r="3768" spans="1:1" x14ac:dyDescent="0.25">
      <c r="A3768" t="str">
        <f t="shared" si="80"/>
        <v/>
      </c>
    </row>
    <row r="3769" spans="1:1" x14ac:dyDescent="0.25">
      <c r="A3769" t="str">
        <f t="shared" si="80"/>
        <v/>
      </c>
    </row>
    <row r="3770" spans="1:1" x14ac:dyDescent="0.25">
      <c r="A3770" t="str">
        <f t="shared" si="80"/>
        <v/>
      </c>
    </row>
    <row r="3771" spans="1:1" x14ac:dyDescent="0.25">
      <c r="A3771" t="str">
        <f t="shared" si="80"/>
        <v/>
      </c>
    </row>
    <row r="3772" spans="1:1" x14ac:dyDescent="0.25">
      <c r="A3772" t="str">
        <f t="shared" si="80"/>
        <v/>
      </c>
    </row>
    <row r="3773" spans="1:1" x14ac:dyDescent="0.25">
      <c r="A3773" t="str">
        <f t="shared" si="80"/>
        <v/>
      </c>
    </row>
    <row r="3774" spans="1:1" x14ac:dyDescent="0.25">
      <c r="A3774" t="str">
        <f t="shared" si="80"/>
        <v/>
      </c>
    </row>
    <row r="3775" spans="1:1" x14ac:dyDescent="0.25">
      <c r="A3775" t="str">
        <f t="shared" si="80"/>
        <v/>
      </c>
    </row>
    <row r="3776" spans="1:1" x14ac:dyDescent="0.25">
      <c r="A3776" t="str">
        <f t="shared" si="80"/>
        <v/>
      </c>
    </row>
    <row r="3777" spans="1:1" x14ac:dyDescent="0.25">
      <c r="A3777" t="str">
        <f t="shared" ref="A3777:A3840" si="81">E3777&amp;C3777&amp;D3777</f>
        <v/>
      </c>
    </row>
    <row r="3778" spans="1:1" x14ac:dyDescent="0.25">
      <c r="A3778" t="str">
        <f t="shared" si="81"/>
        <v/>
      </c>
    </row>
    <row r="3779" spans="1:1" x14ac:dyDescent="0.25">
      <c r="A3779" t="str">
        <f t="shared" si="81"/>
        <v/>
      </c>
    </row>
    <row r="3780" spans="1:1" x14ac:dyDescent="0.25">
      <c r="A3780" t="str">
        <f t="shared" si="81"/>
        <v/>
      </c>
    </row>
    <row r="3781" spans="1:1" x14ac:dyDescent="0.25">
      <c r="A3781" t="str">
        <f t="shared" si="81"/>
        <v/>
      </c>
    </row>
    <row r="3782" spans="1:1" x14ac:dyDescent="0.25">
      <c r="A3782" t="str">
        <f t="shared" si="81"/>
        <v/>
      </c>
    </row>
    <row r="3783" spans="1:1" x14ac:dyDescent="0.25">
      <c r="A3783" t="str">
        <f t="shared" si="81"/>
        <v/>
      </c>
    </row>
    <row r="3784" spans="1:1" x14ac:dyDescent="0.25">
      <c r="A3784" t="str">
        <f t="shared" si="81"/>
        <v/>
      </c>
    </row>
    <row r="3785" spans="1:1" x14ac:dyDescent="0.25">
      <c r="A3785" t="str">
        <f t="shared" si="81"/>
        <v/>
      </c>
    </row>
    <row r="3786" spans="1:1" x14ac:dyDescent="0.25">
      <c r="A3786" t="str">
        <f t="shared" si="81"/>
        <v/>
      </c>
    </row>
    <row r="3787" spans="1:1" x14ac:dyDescent="0.25">
      <c r="A3787" t="str">
        <f t="shared" si="81"/>
        <v/>
      </c>
    </row>
    <row r="3788" spans="1:1" x14ac:dyDescent="0.25">
      <c r="A3788" t="str">
        <f t="shared" si="81"/>
        <v/>
      </c>
    </row>
    <row r="3789" spans="1:1" x14ac:dyDescent="0.25">
      <c r="A3789" t="str">
        <f t="shared" si="81"/>
        <v/>
      </c>
    </row>
    <row r="3790" spans="1:1" x14ac:dyDescent="0.25">
      <c r="A3790" t="str">
        <f t="shared" si="81"/>
        <v/>
      </c>
    </row>
    <row r="3791" spans="1:1" x14ac:dyDescent="0.25">
      <c r="A3791" t="str">
        <f t="shared" si="81"/>
        <v/>
      </c>
    </row>
    <row r="3792" spans="1:1" x14ac:dyDescent="0.25">
      <c r="A3792" t="str">
        <f t="shared" si="81"/>
        <v/>
      </c>
    </row>
    <row r="3793" spans="1:1" x14ac:dyDescent="0.25">
      <c r="A3793" t="str">
        <f t="shared" si="81"/>
        <v/>
      </c>
    </row>
    <row r="3794" spans="1:1" x14ac:dyDescent="0.25">
      <c r="A3794" t="str">
        <f t="shared" si="81"/>
        <v/>
      </c>
    </row>
    <row r="3795" spans="1:1" x14ac:dyDescent="0.25">
      <c r="A3795" t="str">
        <f t="shared" si="81"/>
        <v/>
      </c>
    </row>
    <row r="3796" spans="1:1" x14ac:dyDescent="0.25">
      <c r="A3796" t="str">
        <f t="shared" si="81"/>
        <v/>
      </c>
    </row>
    <row r="3797" spans="1:1" x14ac:dyDescent="0.25">
      <c r="A3797" t="str">
        <f t="shared" si="81"/>
        <v/>
      </c>
    </row>
    <row r="3798" spans="1:1" x14ac:dyDescent="0.25">
      <c r="A3798" t="str">
        <f t="shared" si="81"/>
        <v/>
      </c>
    </row>
    <row r="3799" spans="1:1" x14ac:dyDescent="0.25">
      <c r="A3799" t="str">
        <f t="shared" si="81"/>
        <v/>
      </c>
    </row>
    <row r="3800" spans="1:1" x14ac:dyDescent="0.25">
      <c r="A3800" t="str">
        <f t="shared" si="81"/>
        <v/>
      </c>
    </row>
    <row r="3801" spans="1:1" x14ac:dyDescent="0.25">
      <c r="A3801" t="str">
        <f t="shared" si="81"/>
        <v/>
      </c>
    </row>
    <row r="3802" spans="1:1" x14ac:dyDescent="0.25">
      <c r="A3802" t="str">
        <f t="shared" si="81"/>
        <v/>
      </c>
    </row>
    <row r="3803" spans="1:1" x14ac:dyDescent="0.25">
      <c r="A3803" t="str">
        <f t="shared" si="81"/>
        <v/>
      </c>
    </row>
    <row r="3804" spans="1:1" x14ac:dyDescent="0.25">
      <c r="A3804" t="str">
        <f t="shared" si="81"/>
        <v/>
      </c>
    </row>
    <row r="3805" spans="1:1" x14ac:dyDescent="0.25">
      <c r="A3805" t="str">
        <f t="shared" si="81"/>
        <v/>
      </c>
    </row>
    <row r="3806" spans="1:1" x14ac:dyDescent="0.25">
      <c r="A3806" t="str">
        <f t="shared" si="81"/>
        <v/>
      </c>
    </row>
    <row r="3807" spans="1:1" x14ac:dyDescent="0.25">
      <c r="A3807" t="str">
        <f t="shared" si="81"/>
        <v/>
      </c>
    </row>
    <row r="3808" spans="1:1" x14ac:dyDescent="0.25">
      <c r="A3808" t="str">
        <f t="shared" si="81"/>
        <v/>
      </c>
    </row>
    <row r="3809" spans="1:1" x14ac:dyDescent="0.25">
      <c r="A3809" t="str">
        <f t="shared" si="81"/>
        <v/>
      </c>
    </row>
    <row r="3810" spans="1:1" x14ac:dyDescent="0.25">
      <c r="A3810" t="str">
        <f t="shared" si="81"/>
        <v/>
      </c>
    </row>
    <row r="3811" spans="1:1" x14ac:dyDescent="0.25">
      <c r="A3811" t="str">
        <f t="shared" si="81"/>
        <v/>
      </c>
    </row>
    <row r="3812" spans="1:1" x14ac:dyDescent="0.25">
      <c r="A3812" t="str">
        <f t="shared" si="81"/>
        <v/>
      </c>
    </row>
    <row r="3813" spans="1:1" x14ac:dyDescent="0.25">
      <c r="A3813" t="str">
        <f t="shared" si="81"/>
        <v/>
      </c>
    </row>
    <row r="3814" spans="1:1" x14ac:dyDescent="0.25">
      <c r="A3814" t="str">
        <f t="shared" si="81"/>
        <v/>
      </c>
    </row>
    <row r="3815" spans="1:1" x14ac:dyDescent="0.25">
      <c r="A3815" t="str">
        <f t="shared" si="81"/>
        <v/>
      </c>
    </row>
    <row r="3816" spans="1:1" x14ac:dyDescent="0.25">
      <c r="A3816" t="str">
        <f t="shared" si="81"/>
        <v/>
      </c>
    </row>
    <row r="3817" spans="1:1" x14ac:dyDescent="0.25">
      <c r="A3817" t="str">
        <f t="shared" si="81"/>
        <v/>
      </c>
    </row>
    <row r="3818" spans="1:1" x14ac:dyDescent="0.25">
      <c r="A3818" t="str">
        <f t="shared" si="81"/>
        <v/>
      </c>
    </row>
    <row r="3819" spans="1:1" x14ac:dyDescent="0.25">
      <c r="A3819" t="str">
        <f t="shared" si="81"/>
        <v/>
      </c>
    </row>
    <row r="3820" spans="1:1" x14ac:dyDescent="0.25">
      <c r="A3820" t="str">
        <f t="shared" si="81"/>
        <v/>
      </c>
    </row>
    <row r="3821" spans="1:1" x14ac:dyDescent="0.25">
      <c r="A3821" t="str">
        <f t="shared" si="81"/>
        <v/>
      </c>
    </row>
    <row r="3822" spans="1:1" x14ac:dyDescent="0.25">
      <c r="A3822" t="str">
        <f t="shared" si="81"/>
        <v/>
      </c>
    </row>
    <row r="3823" spans="1:1" x14ac:dyDescent="0.25">
      <c r="A3823" t="str">
        <f t="shared" si="81"/>
        <v/>
      </c>
    </row>
    <row r="3824" spans="1:1" x14ac:dyDescent="0.25">
      <c r="A3824" t="str">
        <f t="shared" si="81"/>
        <v/>
      </c>
    </row>
    <row r="3825" spans="1:1" x14ac:dyDescent="0.25">
      <c r="A3825" t="str">
        <f t="shared" si="81"/>
        <v/>
      </c>
    </row>
    <row r="3826" spans="1:1" x14ac:dyDescent="0.25">
      <c r="A3826" t="str">
        <f t="shared" si="81"/>
        <v/>
      </c>
    </row>
    <row r="3827" spans="1:1" x14ac:dyDescent="0.25">
      <c r="A3827" t="str">
        <f t="shared" si="81"/>
        <v/>
      </c>
    </row>
    <row r="3828" spans="1:1" x14ac:dyDescent="0.25">
      <c r="A3828" t="str">
        <f t="shared" si="81"/>
        <v/>
      </c>
    </row>
    <row r="3829" spans="1:1" x14ac:dyDescent="0.25">
      <c r="A3829" t="str">
        <f t="shared" si="81"/>
        <v/>
      </c>
    </row>
    <row r="3830" spans="1:1" x14ac:dyDescent="0.25">
      <c r="A3830" t="str">
        <f t="shared" si="81"/>
        <v/>
      </c>
    </row>
    <row r="3831" spans="1:1" x14ac:dyDescent="0.25">
      <c r="A3831" t="str">
        <f t="shared" si="81"/>
        <v/>
      </c>
    </row>
    <row r="3832" spans="1:1" x14ac:dyDescent="0.25">
      <c r="A3832" t="str">
        <f t="shared" si="81"/>
        <v/>
      </c>
    </row>
    <row r="3833" spans="1:1" x14ac:dyDescent="0.25">
      <c r="A3833" t="str">
        <f t="shared" si="81"/>
        <v/>
      </c>
    </row>
    <row r="3834" spans="1:1" x14ac:dyDescent="0.25">
      <c r="A3834" t="str">
        <f t="shared" si="81"/>
        <v/>
      </c>
    </row>
    <row r="3835" spans="1:1" x14ac:dyDescent="0.25">
      <c r="A3835" t="str">
        <f t="shared" si="81"/>
        <v/>
      </c>
    </row>
    <row r="3836" spans="1:1" x14ac:dyDescent="0.25">
      <c r="A3836" t="str">
        <f t="shared" si="81"/>
        <v/>
      </c>
    </row>
    <row r="3837" spans="1:1" x14ac:dyDescent="0.25">
      <c r="A3837" t="str">
        <f t="shared" si="81"/>
        <v/>
      </c>
    </row>
    <row r="3838" spans="1:1" x14ac:dyDescent="0.25">
      <c r="A3838" t="str">
        <f t="shared" si="81"/>
        <v/>
      </c>
    </row>
    <row r="3839" spans="1:1" x14ac:dyDescent="0.25">
      <c r="A3839" t="str">
        <f t="shared" si="81"/>
        <v/>
      </c>
    </row>
    <row r="3840" spans="1:1" x14ac:dyDescent="0.25">
      <c r="A3840" t="str">
        <f t="shared" si="81"/>
        <v/>
      </c>
    </row>
    <row r="3841" spans="1:1" x14ac:dyDescent="0.25">
      <c r="A3841" t="str">
        <f t="shared" ref="A3841:A3904" si="82">E3841&amp;C3841&amp;D3841</f>
        <v/>
      </c>
    </row>
    <row r="3842" spans="1:1" x14ac:dyDescent="0.25">
      <c r="A3842" t="str">
        <f t="shared" si="82"/>
        <v/>
      </c>
    </row>
    <row r="3843" spans="1:1" x14ac:dyDescent="0.25">
      <c r="A3843" t="str">
        <f t="shared" si="82"/>
        <v/>
      </c>
    </row>
    <row r="3844" spans="1:1" x14ac:dyDescent="0.25">
      <c r="A3844" t="str">
        <f t="shared" si="82"/>
        <v/>
      </c>
    </row>
    <row r="3845" spans="1:1" x14ac:dyDescent="0.25">
      <c r="A3845" t="str">
        <f t="shared" si="82"/>
        <v/>
      </c>
    </row>
    <row r="3846" spans="1:1" x14ac:dyDescent="0.25">
      <c r="A3846" t="str">
        <f t="shared" si="82"/>
        <v/>
      </c>
    </row>
    <row r="3847" spans="1:1" x14ac:dyDescent="0.25">
      <c r="A3847" t="str">
        <f t="shared" si="82"/>
        <v/>
      </c>
    </row>
    <row r="3848" spans="1:1" x14ac:dyDescent="0.25">
      <c r="A3848" t="str">
        <f t="shared" si="82"/>
        <v/>
      </c>
    </row>
    <row r="3849" spans="1:1" x14ac:dyDescent="0.25">
      <c r="A3849" t="str">
        <f t="shared" si="82"/>
        <v/>
      </c>
    </row>
    <row r="3850" spans="1:1" x14ac:dyDescent="0.25">
      <c r="A3850" t="str">
        <f t="shared" si="82"/>
        <v/>
      </c>
    </row>
    <row r="3851" spans="1:1" x14ac:dyDescent="0.25">
      <c r="A3851" t="str">
        <f t="shared" si="82"/>
        <v/>
      </c>
    </row>
    <row r="3852" spans="1:1" x14ac:dyDescent="0.25">
      <c r="A3852" t="str">
        <f t="shared" si="82"/>
        <v/>
      </c>
    </row>
    <row r="3853" spans="1:1" x14ac:dyDescent="0.25">
      <c r="A3853" t="str">
        <f t="shared" si="82"/>
        <v/>
      </c>
    </row>
    <row r="3854" spans="1:1" x14ac:dyDescent="0.25">
      <c r="A3854" t="str">
        <f t="shared" si="82"/>
        <v/>
      </c>
    </row>
    <row r="3855" spans="1:1" x14ac:dyDescent="0.25">
      <c r="A3855" t="str">
        <f t="shared" si="82"/>
        <v/>
      </c>
    </row>
    <row r="3856" spans="1:1" x14ac:dyDescent="0.25">
      <c r="A3856" t="str">
        <f t="shared" si="82"/>
        <v/>
      </c>
    </row>
    <row r="3857" spans="1:1" x14ac:dyDescent="0.25">
      <c r="A3857" t="str">
        <f t="shared" si="82"/>
        <v/>
      </c>
    </row>
    <row r="3858" spans="1:1" x14ac:dyDescent="0.25">
      <c r="A3858" t="str">
        <f t="shared" si="82"/>
        <v/>
      </c>
    </row>
    <row r="3859" spans="1:1" x14ac:dyDescent="0.25">
      <c r="A3859" t="str">
        <f t="shared" si="82"/>
        <v/>
      </c>
    </row>
    <row r="3860" spans="1:1" x14ac:dyDescent="0.25">
      <c r="A3860" t="str">
        <f t="shared" si="82"/>
        <v/>
      </c>
    </row>
    <row r="3861" spans="1:1" x14ac:dyDescent="0.25">
      <c r="A3861" t="str">
        <f t="shared" si="82"/>
        <v/>
      </c>
    </row>
    <row r="3862" spans="1:1" x14ac:dyDescent="0.25">
      <c r="A3862" t="str">
        <f t="shared" si="82"/>
        <v/>
      </c>
    </row>
    <row r="3863" spans="1:1" x14ac:dyDescent="0.25">
      <c r="A3863" t="str">
        <f t="shared" si="82"/>
        <v/>
      </c>
    </row>
    <row r="3864" spans="1:1" x14ac:dyDescent="0.25">
      <c r="A3864" t="str">
        <f t="shared" si="82"/>
        <v/>
      </c>
    </row>
    <row r="3865" spans="1:1" x14ac:dyDescent="0.25">
      <c r="A3865" t="str">
        <f t="shared" si="82"/>
        <v/>
      </c>
    </row>
    <row r="3866" spans="1:1" x14ac:dyDescent="0.25">
      <c r="A3866" t="str">
        <f t="shared" si="82"/>
        <v/>
      </c>
    </row>
    <row r="3867" spans="1:1" x14ac:dyDescent="0.25">
      <c r="A3867" t="str">
        <f t="shared" si="82"/>
        <v/>
      </c>
    </row>
    <row r="3868" spans="1:1" x14ac:dyDescent="0.25">
      <c r="A3868" t="str">
        <f t="shared" si="82"/>
        <v/>
      </c>
    </row>
    <row r="3869" spans="1:1" x14ac:dyDescent="0.25">
      <c r="A3869" t="str">
        <f t="shared" si="82"/>
        <v/>
      </c>
    </row>
    <row r="3870" spans="1:1" x14ac:dyDescent="0.25">
      <c r="A3870" t="str">
        <f t="shared" si="82"/>
        <v/>
      </c>
    </row>
    <row r="3871" spans="1:1" x14ac:dyDescent="0.25">
      <c r="A3871" t="str">
        <f t="shared" si="82"/>
        <v/>
      </c>
    </row>
    <row r="3872" spans="1:1" x14ac:dyDescent="0.25">
      <c r="A3872" t="str">
        <f t="shared" si="82"/>
        <v/>
      </c>
    </row>
    <row r="3873" spans="1:1" x14ac:dyDescent="0.25">
      <c r="A3873" t="str">
        <f t="shared" si="82"/>
        <v/>
      </c>
    </row>
    <row r="3874" spans="1:1" x14ac:dyDescent="0.25">
      <c r="A3874" t="str">
        <f t="shared" si="82"/>
        <v/>
      </c>
    </row>
    <row r="3875" spans="1:1" x14ac:dyDescent="0.25">
      <c r="A3875" t="str">
        <f t="shared" si="82"/>
        <v/>
      </c>
    </row>
    <row r="3876" spans="1:1" x14ac:dyDescent="0.25">
      <c r="A3876" t="str">
        <f t="shared" si="82"/>
        <v/>
      </c>
    </row>
    <row r="3877" spans="1:1" x14ac:dyDescent="0.25">
      <c r="A3877" t="str">
        <f t="shared" si="82"/>
        <v/>
      </c>
    </row>
    <row r="3878" spans="1:1" x14ac:dyDescent="0.25">
      <c r="A3878" t="str">
        <f t="shared" si="82"/>
        <v/>
      </c>
    </row>
    <row r="3879" spans="1:1" x14ac:dyDescent="0.25">
      <c r="A3879" t="str">
        <f t="shared" si="82"/>
        <v/>
      </c>
    </row>
    <row r="3880" spans="1:1" x14ac:dyDescent="0.25">
      <c r="A3880" t="str">
        <f t="shared" si="82"/>
        <v/>
      </c>
    </row>
    <row r="3881" spans="1:1" x14ac:dyDescent="0.25">
      <c r="A3881" t="str">
        <f t="shared" si="82"/>
        <v/>
      </c>
    </row>
    <row r="3882" spans="1:1" x14ac:dyDescent="0.25">
      <c r="A3882" t="str">
        <f t="shared" si="82"/>
        <v/>
      </c>
    </row>
    <row r="3883" spans="1:1" x14ac:dyDescent="0.25">
      <c r="A3883" t="str">
        <f t="shared" si="82"/>
        <v/>
      </c>
    </row>
    <row r="3884" spans="1:1" x14ac:dyDescent="0.25">
      <c r="A3884" t="str">
        <f t="shared" si="82"/>
        <v/>
      </c>
    </row>
    <row r="3885" spans="1:1" x14ac:dyDescent="0.25">
      <c r="A3885" t="str">
        <f t="shared" si="82"/>
        <v/>
      </c>
    </row>
    <row r="3886" spans="1:1" x14ac:dyDescent="0.25">
      <c r="A3886" t="str">
        <f t="shared" si="82"/>
        <v/>
      </c>
    </row>
    <row r="3887" spans="1:1" x14ac:dyDescent="0.25">
      <c r="A3887" t="str">
        <f t="shared" si="82"/>
        <v/>
      </c>
    </row>
    <row r="3888" spans="1:1" x14ac:dyDescent="0.25">
      <c r="A3888" t="str">
        <f t="shared" si="82"/>
        <v/>
      </c>
    </row>
    <row r="3889" spans="1:1" x14ac:dyDescent="0.25">
      <c r="A3889" t="str">
        <f t="shared" si="82"/>
        <v/>
      </c>
    </row>
    <row r="3890" spans="1:1" x14ac:dyDescent="0.25">
      <c r="A3890" t="str">
        <f t="shared" si="82"/>
        <v/>
      </c>
    </row>
    <row r="3891" spans="1:1" x14ac:dyDescent="0.25">
      <c r="A3891" t="str">
        <f t="shared" si="82"/>
        <v/>
      </c>
    </row>
    <row r="3892" spans="1:1" x14ac:dyDescent="0.25">
      <c r="A3892" t="str">
        <f t="shared" si="82"/>
        <v/>
      </c>
    </row>
    <row r="3893" spans="1:1" x14ac:dyDescent="0.25">
      <c r="A3893" t="str">
        <f t="shared" si="82"/>
        <v/>
      </c>
    </row>
    <row r="3894" spans="1:1" x14ac:dyDescent="0.25">
      <c r="A3894" t="str">
        <f t="shared" si="82"/>
        <v/>
      </c>
    </row>
    <row r="3895" spans="1:1" x14ac:dyDescent="0.25">
      <c r="A3895" t="str">
        <f t="shared" si="82"/>
        <v/>
      </c>
    </row>
    <row r="3896" spans="1:1" x14ac:dyDescent="0.25">
      <c r="A3896" t="str">
        <f t="shared" si="82"/>
        <v/>
      </c>
    </row>
    <row r="3897" spans="1:1" x14ac:dyDescent="0.25">
      <c r="A3897" t="str">
        <f t="shared" si="82"/>
        <v/>
      </c>
    </row>
    <row r="3898" spans="1:1" x14ac:dyDescent="0.25">
      <c r="A3898" t="str">
        <f t="shared" si="82"/>
        <v/>
      </c>
    </row>
    <row r="3899" spans="1:1" x14ac:dyDescent="0.25">
      <c r="A3899" t="str">
        <f t="shared" si="82"/>
        <v/>
      </c>
    </row>
    <row r="3900" spans="1:1" x14ac:dyDescent="0.25">
      <c r="A3900" t="str">
        <f t="shared" si="82"/>
        <v/>
      </c>
    </row>
    <row r="3901" spans="1:1" x14ac:dyDescent="0.25">
      <c r="A3901" t="str">
        <f t="shared" si="82"/>
        <v/>
      </c>
    </row>
    <row r="3902" spans="1:1" x14ac:dyDescent="0.25">
      <c r="A3902" t="str">
        <f t="shared" si="82"/>
        <v/>
      </c>
    </row>
    <row r="3903" spans="1:1" x14ac:dyDescent="0.25">
      <c r="A3903" t="str">
        <f t="shared" si="82"/>
        <v/>
      </c>
    </row>
    <row r="3904" spans="1:1" x14ac:dyDescent="0.25">
      <c r="A3904" t="str">
        <f t="shared" si="82"/>
        <v/>
      </c>
    </row>
    <row r="3905" spans="1:1" x14ac:dyDescent="0.25">
      <c r="A3905" t="str">
        <f t="shared" ref="A3905:A3968" si="83">E3905&amp;C3905&amp;D3905</f>
        <v/>
      </c>
    </row>
    <row r="3906" spans="1:1" x14ac:dyDescent="0.25">
      <c r="A3906" t="str">
        <f t="shared" si="83"/>
        <v/>
      </c>
    </row>
    <row r="3907" spans="1:1" x14ac:dyDescent="0.25">
      <c r="A3907" t="str">
        <f t="shared" si="83"/>
        <v/>
      </c>
    </row>
    <row r="3908" spans="1:1" x14ac:dyDescent="0.25">
      <c r="A3908" t="str">
        <f t="shared" si="83"/>
        <v/>
      </c>
    </row>
    <row r="3909" spans="1:1" x14ac:dyDescent="0.25">
      <c r="A3909" t="str">
        <f t="shared" si="83"/>
        <v/>
      </c>
    </row>
    <row r="3910" spans="1:1" x14ac:dyDescent="0.25">
      <c r="A3910" t="str">
        <f t="shared" si="83"/>
        <v/>
      </c>
    </row>
    <row r="3911" spans="1:1" x14ac:dyDescent="0.25">
      <c r="A3911" t="str">
        <f t="shared" si="83"/>
        <v/>
      </c>
    </row>
    <row r="3912" spans="1:1" x14ac:dyDescent="0.25">
      <c r="A3912" t="str">
        <f t="shared" si="83"/>
        <v/>
      </c>
    </row>
    <row r="3913" spans="1:1" x14ac:dyDescent="0.25">
      <c r="A3913" t="str">
        <f t="shared" si="83"/>
        <v/>
      </c>
    </row>
    <row r="3914" spans="1:1" x14ac:dyDescent="0.25">
      <c r="A3914" t="str">
        <f t="shared" si="83"/>
        <v/>
      </c>
    </row>
    <row r="3915" spans="1:1" x14ac:dyDescent="0.25">
      <c r="A3915" t="str">
        <f t="shared" si="83"/>
        <v/>
      </c>
    </row>
    <row r="3916" spans="1:1" x14ac:dyDescent="0.25">
      <c r="A3916" t="str">
        <f t="shared" si="83"/>
        <v/>
      </c>
    </row>
    <row r="3917" spans="1:1" x14ac:dyDescent="0.25">
      <c r="A3917" t="str">
        <f t="shared" si="83"/>
        <v/>
      </c>
    </row>
    <row r="3918" spans="1:1" x14ac:dyDescent="0.25">
      <c r="A3918" t="str">
        <f t="shared" si="83"/>
        <v/>
      </c>
    </row>
    <row r="3919" spans="1:1" x14ac:dyDescent="0.25">
      <c r="A3919" t="str">
        <f t="shared" si="83"/>
        <v/>
      </c>
    </row>
    <row r="3920" spans="1:1" x14ac:dyDescent="0.25">
      <c r="A3920" t="str">
        <f t="shared" si="83"/>
        <v/>
      </c>
    </row>
    <row r="3921" spans="1:1" x14ac:dyDescent="0.25">
      <c r="A3921" t="str">
        <f t="shared" si="83"/>
        <v/>
      </c>
    </row>
    <row r="3922" spans="1:1" x14ac:dyDescent="0.25">
      <c r="A3922" t="str">
        <f t="shared" si="83"/>
        <v/>
      </c>
    </row>
    <row r="3923" spans="1:1" x14ac:dyDescent="0.25">
      <c r="A3923" t="str">
        <f t="shared" si="83"/>
        <v/>
      </c>
    </row>
    <row r="3924" spans="1:1" x14ac:dyDescent="0.25">
      <c r="A3924" t="str">
        <f t="shared" si="83"/>
        <v/>
      </c>
    </row>
    <row r="3925" spans="1:1" x14ac:dyDescent="0.25">
      <c r="A3925" t="str">
        <f t="shared" si="83"/>
        <v/>
      </c>
    </row>
    <row r="3926" spans="1:1" x14ac:dyDescent="0.25">
      <c r="A3926" t="str">
        <f t="shared" si="83"/>
        <v/>
      </c>
    </row>
    <row r="3927" spans="1:1" x14ac:dyDescent="0.25">
      <c r="A3927" t="str">
        <f t="shared" si="83"/>
        <v/>
      </c>
    </row>
    <row r="3928" spans="1:1" x14ac:dyDescent="0.25">
      <c r="A3928" t="str">
        <f t="shared" si="83"/>
        <v/>
      </c>
    </row>
    <row r="3929" spans="1:1" x14ac:dyDescent="0.25">
      <c r="A3929" t="str">
        <f t="shared" si="83"/>
        <v/>
      </c>
    </row>
    <row r="3930" spans="1:1" x14ac:dyDescent="0.25">
      <c r="A3930" t="str">
        <f t="shared" si="83"/>
        <v/>
      </c>
    </row>
    <row r="3931" spans="1:1" x14ac:dyDescent="0.25">
      <c r="A3931" t="str">
        <f t="shared" si="83"/>
        <v/>
      </c>
    </row>
    <row r="3932" spans="1:1" x14ac:dyDescent="0.25">
      <c r="A3932" t="str">
        <f t="shared" si="83"/>
        <v/>
      </c>
    </row>
    <row r="3933" spans="1:1" x14ac:dyDescent="0.25">
      <c r="A3933" t="str">
        <f t="shared" si="83"/>
        <v/>
      </c>
    </row>
    <row r="3934" spans="1:1" x14ac:dyDescent="0.25">
      <c r="A3934" t="str">
        <f t="shared" si="83"/>
        <v/>
      </c>
    </row>
    <row r="3935" spans="1:1" x14ac:dyDescent="0.25">
      <c r="A3935" t="str">
        <f t="shared" si="83"/>
        <v/>
      </c>
    </row>
    <row r="3936" spans="1:1" x14ac:dyDescent="0.25">
      <c r="A3936" t="str">
        <f t="shared" si="83"/>
        <v/>
      </c>
    </row>
    <row r="3937" spans="1:1" x14ac:dyDescent="0.25">
      <c r="A3937" t="str">
        <f t="shared" si="83"/>
        <v/>
      </c>
    </row>
    <row r="3938" spans="1:1" x14ac:dyDescent="0.25">
      <c r="A3938" t="str">
        <f t="shared" si="83"/>
        <v/>
      </c>
    </row>
    <row r="3939" spans="1:1" x14ac:dyDescent="0.25">
      <c r="A3939" t="str">
        <f t="shared" si="83"/>
        <v/>
      </c>
    </row>
    <row r="3940" spans="1:1" x14ac:dyDescent="0.25">
      <c r="A3940" t="str">
        <f t="shared" si="83"/>
        <v/>
      </c>
    </row>
    <row r="3941" spans="1:1" x14ac:dyDescent="0.25">
      <c r="A3941" t="str">
        <f t="shared" si="83"/>
        <v/>
      </c>
    </row>
    <row r="3942" spans="1:1" x14ac:dyDescent="0.25">
      <c r="A3942" t="str">
        <f t="shared" si="83"/>
        <v/>
      </c>
    </row>
    <row r="3943" spans="1:1" x14ac:dyDescent="0.25">
      <c r="A3943" t="str">
        <f t="shared" si="83"/>
        <v/>
      </c>
    </row>
    <row r="3944" spans="1:1" x14ac:dyDescent="0.25">
      <c r="A3944" t="str">
        <f t="shared" si="83"/>
        <v/>
      </c>
    </row>
    <row r="3945" spans="1:1" x14ac:dyDescent="0.25">
      <c r="A3945" t="str">
        <f t="shared" si="83"/>
        <v/>
      </c>
    </row>
    <row r="3946" spans="1:1" x14ac:dyDescent="0.25">
      <c r="A3946" t="str">
        <f t="shared" si="83"/>
        <v/>
      </c>
    </row>
    <row r="3947" spans="1:1" x14ac:dyDescent="0.25">
      <c r="A3947" t="str">
        <f t="shared" si="83"/>
        <v/>
      </c>
    </row>
    <row r="3948" spans="1:1" x14ac:dyDescent="0.25">
      <c r="A3948" t="str">
        <f t="shared" si="83"/>
        <v/>
      </c>
    </row>
    <row r="3949" spans="1:1" x14ac:dyDescent="0.25">
      <c r="A3949" t="str">
        <f t="shared" si="83"/>
        <v/>
      </c>
    </row>
    <row r="3950" spans="1:1" x14ac:dyDescent="0.25">
      <c r="A3950" t="str">
        <f t="shared" si="83"/>
        <v/>
      </c>
    </row>
    <row r="3951" spans="1:1" x14ac:dyDescent="0.25">
      <c r="A3951" t="str">
        <f t="shared" si="83"/>
        <v/>
      </c>
    </row>
    <row r="3952" spans="1:1" x14ac:dyDescent="0.25">
      <c r="A3952" t="str">
        <f t="shared" si="83"/>
        <v/>
      </c>
    </row>
    <row r="3953" spans="1:1" x14ac:dyDescent="0.25">
      <c r="A3953" t="str">
        <f t="shared" si="83"/>
        <v/>
      </c>
    </row>
    <row r="3954" spans="1:1" x14ac:dyDescent="0.25">
      <c r="A3954" t="str">
        <f t="shared" si="83"/>
        <v/>
      </c>
    </row>
    <row r="3955" spans="1:1" x14ac:dyDescent="0.25">
      <c r="A3955" t="str">
        <f t="shared" si="83"/>
        <v/>
      </c>
    </row>
    <row r="3956" spans="1:1" x14ac:dyDescent="0.25">
      <c r="A3956" t="str">
        <f t="shared" si="83"/>
        <v/>
      </c>
    </row>
    <row r="3957" spans="1:1" x14ac:dyDescent="0.25">
      <c r="A3957" t="str">
        <f t="shared" si="83"/>
        <v/>
      </c>
    </row>
    <row r="3958" spans="1:1" x14ac:dyDescent="0.25">
      <c r="A3958" t="str">
        <f t="shared" si="83"/>
        <v/>
      </c>
    </row>
    <row r="3959" spans="1:1" x14ac:dyDescent="0.25">
      <c r="A3959" t="str">
        <f t="shared" si="83"/>
        <v/>
      </c>
    </row>
    <row r="3960" spans="1:1" x14ac:dyDescent="0.25">
      <c r="A3960" t="str">
        <f t="shared" si="83"/>
        <v/>
      </c>
    </row>
    <row r="3961" spans="1:1" x14ac:dyDescent="0.25">
      <c r="A3961" t="str">
        <f t="shared" si="83"/>
        <v/>
      </c>
    </row>
    <row r="3962" spans="1:1" x14ac:dyDescent="0.25">
      <c r="A3962" t="str">
        <f t="shared" si="83"/>
        <v/>
      </c>
    </row>
    <row r="3963" spans="1:1" x14ac:dyDescent="0.25">
      <c r="A3963" t="str">
        <f t="shared" si="83"/>
        <v/>
      </c>
    </row>
    <row r="3964" spans="1:1" x14ac:dyDescent="0.25">
      <c r="A3964" t="str">
        <f t="shared" si="83"/>
        <v/>
      </c>
    </row>
    <row r="3965" spans="1:1" x14ac:dyDescent="0.25">
      <c r="A3965" t="str">
        <f t="shared" si="83"/>
        <v/>
      </c>
    </row>
    <row r="3966" spans="1:1" x14ac:dyDescent="0.25">
      <c r="A3966" t="str">
        <f t="shared" si="83"/>
        <v/>
      </c>
    </row>
    <row r="3967" spans="1:1" x14ac:dyDescent="0.25">
      <c r="A3967" t="str">
        <f t="shared" si="83"/>
        <v/>
      </c>
    </row>
    <row r="3968" spans="1:1" x14ac:dyDescent="0.25">
      <c r="A3968" t="str">
        <f t="shared" si="83"/>
        <v/>
      </c>
    </row>
    <row r="3969" spans="1:1" x14ac:dyDescent="0.25">
      <c r="A3969" t="str">
        <f t="shared" ref="A3969:A4032" si="84">E3969&amp;C3969&amp;D3969</f>
        <v/>
      </c>
    </row>
    <row r="3970" spans="1:1" x14ac:dyDescent="0.25">
      <c r="A3970" t="str">
        <f t="shared" si="84"/>
        <v/>
      </c>
    </row>
    <row r="3971" spans="1:1" x14ac:dyDescent="0.25">
      <c r="A3971" t="str">
        <f t="shared" si="84"/>
        <v/>
      </c>
    </row>
    <row r="3972" spans="1:1" x14ac:dyDescent="0.25">
      <c r="A3972" t="str">
        <f t="shared" si="84"/>
        <v/>
      </c>
    </row>
    <row r="3973" spans="1:1" x14ac:dyDescent="0.25">
      <c r="A3973" t="str">
        <f t="shared" si="84"/>
        <v/>
      </c>
    </row>
    <row r="3974" spans="1:1" x14ac:dyDescent="0.25">
      <c r="A3974" t="str">
        <f t="shared" si="84"/>
        <v/>
      </c>
    </row>
    <row r="3975" spans="1:1" x14ac:dyDescent="0.25">
      <c r="A3975" t="str">
        <f t="shared" si="84"/>
        <v/>
      </c>
    </row>
    <row r="3976" spans="1:1" x14ac:dyDescent="0.25">
      <c r="A3976" t="str">
        <f t="shared" si="84"/>
        <v/>
      </c>
    </row>
    <row r="3977" spans="1:1" x14ac:dyDescent="0.25">
      <c r="A3977" t="str">
        <f t="shared" si="84"/>
        <v/>
      </c>
    </row>
    <row r="3978" spans="1:1" x14ac:dyDescent="0.25">
      <c r="A3978" t="str">
        <f t="shared" si="84"/>
        <v/>
      </c>
    </row>
    <row r="3979" spans="1:1" x14ac:dyDescent="0.25">
      <c r="A3979" t="str">
        <f t="shared" si="84"/>
        <v/>
      </c>
    </row>
    <row r="3980" spans="1:1" x14ac:dyDescent="0.25">
      <c r="A3980" t="str">
        <f t="shared" si="84"/>
        <v/>
      </c>
    </row>
    <row r="3981" spans="1:1" x14ac:dyDescent="0.25">
      <c r="A3981" t="str">
        <f t="shared" si="84"/>
        <v/>
      </c>
    </row>
    <row r="3982" spans="1:1" x14ac:dyDescent="0.25">
      <c r="A3982" t="str">
        <f t="shared" si="84"/>
        <v/>
      </c>
    </row>
    <row r="3983" spans="1:1" x14ac:dyDescent="0.25">
      <c r="A3983" t="str">
        <f t="shared" si="84"/>
        <v/>
      </c>
    </row>
    <row r="3984" spans="1:1" x14ac:dyDescent="0.25">
      <c r="A3984" t="str">
        <f t="shared" si="84"/>
        <v/>
      </c>
    </row>
    <row r="3985" spans="1:1" x14ac:dyDescent="0.25">
      <c r="A3985" t="str">
        <f t="shared" si="84"/>
        <v/>
      </c>
    </row>
    <row r="3986" spans="1:1" x14ac:dyDescent="0.25">
      <c r="A3986" t="str">
        <f t="shared" si="84"/>
        <v/>
      </c>
    </row>
    <row r="3987" spans="1:1" x14ac:dyDescent="0.25">
      <c r="A3987" t="str">
        <f t="shared" si="84"/>
        <v/>
      </c>
    </row>
    <row r="3988" spans="1:1" x14ac:dyDescent="0.25">
      <c r="A3988" t="str">
        <f t="shared" si="84"/>
        <v/>
      </c>
    </row>
    <row r="3989" spans="1:1" x14ac:dyDescent="0.25">
      <c r="A3989" t="str">
        <f t="shared" si="84"/>
        <v/>
      </c>
    </row>
    <row r="3990" spans="1:1" x14ac:dyDescent="0.25">
      <c r="A3990" t="str">
        <f t="shared" si="84"/>
        <v/>
      </c>
    </row>
    <row r="3991" spans="1:1" x14ac:dyDescent="0.25">
      <c r="A3991" t="str">
        <f t="shared" si="84"/>
        <v/>
      </c>
    </row>
    <row r="3992" spans="1:1" x14ac:dyDescent="0.25">
      <c r="A3992" t="str">
        <f t="shared" si="84"/>
        <v/>
      </c>
    </row>
    <row r="3993" spans="1:1" x14ac:dyDescent="0.25">
      <c r="A3993" t="str">
        <f t="shared" si="84"/>
        <v/>
      </c>
    </row>
    <row r="3994" spans="1:1" x14ac:dyDescent="0.25">
      <c r="A3994" t="str">
        <f t="shared" si="84"/>
        <v/>
      </c>
    </row>
    <row r="3995" spans="1:1" x14ac:dyDescent="0.25">
      <c r="A3995" t="str">
        <f t="shared" si="84"/>
        <v/>
      </c>
    </row>
    <row r="3996" spans="1:1" x14ac:dyDescent="0.25">
      <c r="A3996" t="str">
        <f t="shared" si="84"/>
        <v/>
      </c>
    </row>
    <row r="3997" spans="1:1" x14ac:dyDescent="0.25">
      <c r="A3997" t="str">
        <f t="shared" si="84"/>
        <v/>
      </c>
    </row>
    <row r="3998" spans="1:1" x14ac:dyDescent="0.25">
      <c r="A3998" t="str">
        <f t="shared" si="84"/>
        <v/>
      </c>
    </row>
    <row r="3999" spans="1:1" x14ac:dyDescent="0.25">
      <c r="A3999" t="str">
        <f t="shared" si="84"/>
        <v/>
      </c>
    </row>
    <row r="4000" spans="1:1" x14ac:dyDescent="0.25">
      <c r="A4000" t="str">
        <f t="shared" si="84"/>
        <v/>
      </c>
    </row>
    <row r="4001" spans="1:1" x14ac:dyDescent="0.25">
      <c r="A4001" t="str">
        <f t="shared" si="84"/>
        <v/>
      </c>
    </row>
    <row r="4002" spans="1:1" x14ac:dyDescent="0.25">
      <c r="A4002" t="str">
        <f t="shared" si="84"/>
        <v/>
      </c>
    </row>
    <row r="4003" spans="1:1" x14ac:dyDescent="0.25">
      <c r="A4003" t="str">
        <f t="shared" si="84"/>
        <v/>
      </c>
    </row>
    <row r="4004" spans="1:1" x14ac:dyDescent="0.25">
      <c r="A4004" t="str">
        <f t="shared" si="84"/>
        <v/>
      </c>
    </row>
    <row r="4005" spans="1:1" x14ac:dyDescent="0.25">
      <c r="A4005" t="str">
        <f t="shared" si="84"/>
        <v/>
      </c>
    </row>
    <row r="4006" spans="1:1" x14ac:dyDescent="0.25">
      <c r="A4006" t="str">
        <f t="shared" si="84"/>
        <v/>
      </c>
    </row>
    <row r="4007" spans="1:1" x14ac:dyDescent="0.25">
      <c r="A4007" t="str">
        <f t="shared" si="84"/>
        <v/>
      </c>
    </row>
    <row r="4008" spans="1:1" x14ac:dyDescent="0.25">
      <c r="A4008" t="str">
        <f t="shared" si="84"/>
        <v/>
      </c>
    </row>
    <row r="4009" spans="1:1" x14ac:dyDescent="0.25">
      <c r="A4009" t="str">
        <f t="shared" si="84"/>
        <v/>
      </c>
    </row>
    <row r="4010" spans="1:1" x14ac:dyDescent="0.25">
      <c r="A4010" t="str">
        <f t="shared" si="84"/>
        <v/>
      </c>
    </row>
    <row r="4011" spans="1:1" x14ac:dyDescent="0.25">
      <c r="A4011" t="str">
        <f t="shared" si="84"/>
        <v/>
      </c>
    </row>
    <row r="4012" spans="1:1" x14ac:dyDescent="0.25">
      <c r="A4012" t="str">
        <f t="shared" si="84"/>
        <v/>
      </c>
    </row>
    <row r="4013" spans="1:1" x14ac:dyDescent="0.25">
      <c r="A4013" t="str">
        <f t="shared" si="84"/>
        <v/>
      </c>
    </row>
    <row r="4014" spans="1:1" x14ac:dyDescent="0.25">
      <c r="A4014" t="str">
        <f t="shared" si="84"/>
        <v/>
      </c>
    </row>
    <row r="4015" spans="1:1" x14ac:dyDescent="0.25">
      <c r="A4015" t="str">
        <f t="shared" si="84"/>
        <v/>
      </c>
    </row>
    <row r="4016" spans="1:1" x14ac:dyDescent="0.25">
      <c r="A4016" t="str">
        <f t="shared" si="84"/>
        <v/>
      </c>
    </row>
    <row r="4017" spans="1:1" x14ac:dyDescent="0.25">
      <c r="A4017" t="str">
        <f t="shared" si="84"/>
        <v/>
      </c>
    </row>
    <row r="4018" spans="1:1" x14ac:dyDescent="0.25">
      <c r="A4018" t="str">
        <f t="shared" si="84"/>
        <v/>
      </c>
    </row>
    <row r="4019" spans="1:1" x14ac:dyDescent="0.25">
      <c r="A4019" t="str">
        <f t="shared" si="84"/>
        <v/>
      </c>
    </row>
    <row r="4020" spans="1:1" x14ac:dyDescent="0.25">
      <c r="A4020" t="str">
        <f t="shared" si="84"/>
        <v/>
      </c>
    </row>
    <row r="4021" spans="1:1" x14ac:dyDescent="0.25">
      <c r="A4021" t="str">
        <f t="shared" si="84"/>
        <v/>
      </c>
    </row>
    <row r="4022" spans="1:1" x14ac:dyDescent="0.25">
      <c r="A4022" t="str">
        <f t="shared" si="84"/>
        <v/>
      </c>
    </row>
    <row r="4023" spans="1:1" x14ac:dyDescent="0.25">
      <c r="A4023" t="str">
        <f t="shared" si="84"/>
        <v/>
      </c>
    </row>
    <row r="4024" spans="1:1" x14ac:dyDescent="0.25">
      <c r="A4024" t="str">
        <f t="shared" si="84"/>
        <v/>
      </c>
    </row>
    <row r="4025" spans="1:1" x14ac:dyDescent="0.25">
      <c r="A4025" t="str">
        <f t="shared" si="84"/>
        <v/>
      </c>
    </row>
    <row r="4026" spans="1:1" x14ac:dyDescent="0.25">
      <c r="A4026" t="str">
        <f t="shared" si="84"/>
        <v/>
      </c>
    </row>
    <row r="4027" spans="1:1" x14ac:dyDescent="0.25">
      <c r="A4027" t="str">
        <f t="shared" si="84"/>
        <v/>
      </c>
    </row>
    <row r="4028" spans="1:1" x14ac:dyDescent="0.25">
      <c r="A4028" t="str">
        <f t="shared" si="84"/>
        <v/>
      </c>
    </row>
    <row r="4029" spans="1:1" x14ac:dyDescent="0.25">
      <c r="A4029" t="str">
        <f t="shared" si="84"/>
        <v/>
      </c>
    </row>
    <row r="4030" spans="1:1" x14ac:dyDescent="0.25">
      <c r="A4030" t="str">
        <f t="shared" si="84"/>
        <v/>
      </c>
    </row>
    <row r="4031" spans="1:1" x14ac:dyDescent="0.25">
      <c r="A4031" t="str">
        <f t="shared" si="84"/>
        <v/>
      </c>
    </row>
    <row r="4032" spans="1:1" x14ac:dyDescent="0.25">
      <c r="A4032" t="str">
        <f t="shared" si="84"/>
        <v/>
      </c>
    </row>
    <row r="4033" spans="1:1" x14ac:dyDescent="0.25">
      <c r="A4033" t="str">
        <f t="shared" ref="A4033:A4096" si="85">E4033&amp;C4033&amp;D4033</f>
        <v/>
      </c>
    </row>
    <row r="4034" spans="1:1" x14ac:dyDescent="0.25">
      <c r="A4034" t="str">
        <f t="shared" si="85"/>
        <v/>
      </c>
    </row>
    <row r="4035" spans="1:1" x14ac:dyDescent="0.25">
      <c r="A4035" t="str">
        <f t="shared" si="85"/>
        <v/>
      </c>
    </row>
    <row r="4036" spans="1:1" x14ac:dyDescent="0.25">
      <c r="A4036" t="str">
        <f t="shared" si="85"/>
        <v/>
      </c>
    </row>
    <row r="4037" spans="1:1" x14ac:dyDescent="0.25">
      <c r="A4037" t="str">
        <f t="shared" si="85"/>
        <v/>
      </c>
    </row>
    <row r="4038" spans="1:1" x14ac:dyDescent="0.25">
      <c r="A4038" t="str">
        <f t="shared" si="85"/>
        <v/>
      </c>
    </row>
    <row r="4039" spans="1:1" x14ac:dyDescent="0.25">
      <c r="A4039" t="str">
        <f t="shared" si="85"/>
        <v/>
      </c>
    </row>
    <row r="4040" spans="1:1" x14ac:dyDescent="0.25">
      <c r="A4040" t="str">
        <f t="shared" si="85"/>
        <v/>
      </c>
    </row>
    <row r="4041" spans="1:1" x14ac:dyDescent="0.25">
      <c r="A4041" t="str">
        <f t="shared" si="85"/>
        <v/>
      </c>
    </row>
    <row r="4042" spans="1:1" x14ac:dyDescent="0.25">
      <c r="A4042" t="str">
        <f t="shared" si="85"/>
        <v/>
      </c>
    </row>
    <row r="4043" spans="1:1" x14ac:dyDescent="0.25">
      <c r="A4043" t="str">
        <f t="shared" si="85"/>
        <v/>
      </c>
    </row>
    <row r="4044" spans="1:1" x14ac:dyDescent="0.25">
      <c r="A4044" t="str">
        <f t="shared" si="85"/>
        <v/>
      </c>
    </row>
    <row r="4045" spans="1:1" x14ac:dyDescent="0.25">
      <c r="A4045" t="str">
        <f t="shared" si="85"/>
        <v/>
      </c>
    </row>
    <row r="4046" spans="1:1" x14ac:dyDescent="0.25">
      <c r="A4046" t="str">
        <f t="shared" si="85"/>
        <v/>
      </c>
    </row>
    <row r="4047" spans="1:1" x14ac:dyDescent="0.25">
      <c r="A4047" t="str">
        <f t="shared" si="85"/>
        <v/>
      </c>
    </row>
    <row r="4048" spans="1:1" x14ac:dyDescent="0.25">
      <c r="A4048" t="str">
        <f t="shared" si="85"/>
        <v/>
      </c>
    </row>
    <row r="4049" spans="1:1" x14ac:dyDescent="0.25">
      <c r="A4049" t="str">
        <f t="shared" si="85"/>
        <v/>
      </c>
    </row>
    <row r="4050" spans="1:1" x14ac:dyDescent="0.25">
      <c r="A4050" t="str">
        <f t="shared" si="85"/>
        <v/>
      </c>
    </row>
    <row r="4051" spans="1:1" x14ac:dyDescent="0.25">
      <c r="A4051" t="str">
        <f t="shared" si="85"/>
        <v/>
      </c>
    </row>
    <row r="4052" spans="1:1" x14ac:dyDescent="0.25">
      <c r="A4052" t="str">
        <f t="shared" si="85"/>
        <v/>
      </c>
    </row>
    <row r="4053" spans="1:1" x14ac:dyDescent="0.25">
      <c r="A4053" t="str">
        <f t="shared" si="85"/>
        <v/>
      </c>
    </row>
    <row r="4054" spans="1:1" x14ac:dyDescent="0.25">
      <c r="A4054" t="str">
        <f t="shared" si="85"/>
        <v/>
      </c>
    </row>
    <row r="4055" spans="1:1" x14ac:dyDescent="0.25">
      <c r="A4055" t="str">
        <f t="shared" si="85"/>
        <v/>
      </c>
    </row>
    <row r="4056" spans="1:1" x14ac:dyDescent="0.25">
      <c r="A4056" t="str">
        <f t="shared" si="85"/>
        <v/>
      </c>
    </row>
    <row r="4057" spans="1:1" x14ac:dyDescent="0.25">
      <c r="A4057" t="str">
        <f t="shared" si="85"/>
        <v/>
      </c>
    </row>
    <row r="4058" spans="1:1" x14ac:dyDescent="0.25">
      <c r="A4058" t="str">
        <f t="shared" si="85"/>
        <v/>
      </c>
    </row>
    <row r="4059" spans="1:1" x14ac:dyDescent="0.25">
      <c r="A4059" t="str">
        <f t="shared" si="85"/>
        <v/>
      </c>
    </row>
    <row r="4060" spans="1:1" x14ac:dyDescent="0.25">
      <c r="A4060" t="str">
        <f t="shared" si="85"/>
        <v/>
      </c>
    </row>
    <row r="4061" spans="1:1" x14ac:dyDescent="0.25">
      <c r="A4061" t="str">
        <f t="shared" si="85"/>
        <v/>
      </c>
    </row>
    <row r="4062" spans="1:1" x14ac:dyDescent="0.25">
      <c r="A4062" t="str">
        <f t="shared" si="85"/>
        <v/>
      </c>
    </row>
    <row r="4063" spans="1:1" x14ac:dyDescent="0.25">
      <c r="A4063" t="str">
        <f t="shared" si="85"/>
        <v/>
      </c>
    </row>
    <row r="4064" spans="1:1" x14ac:dyDescent="0.25">
      <c r="A4064" t="str">
        <f t="shared" si="85"/>
        <v/>
      </c>
    </row>
    <row r="4065" spans="1:1" x14ac:dyDescent="0.25">
      <c r="A4065" t="str">
        <f t="shared" si="85"/>
        <v/>
      </c>
    </row>
    <row r="4066" spans="1:1" x14ac:dyDescent="0.25">
      <c r="A4066" t="str">
        <f t="shared" si="85"/>
        <v/>
      </c>
    </row>
    <row r="4067" spans="1:1" x14ac:dyDescent="0.25">
      <c r="A4067" t="str">
        <f t="shared" si="85"/>
        <v/>
      </c>
    </row>
    <row r="4068" spans="1:1" x14ac:dyDescent="0.25">
      <c r="A4068" t="str">
        <f t="shared" si="85"/>
        <v/>
      </c>
    </row>
    <row r="4069" spans="1:1" x14ac:dyDescent="0.25">
      <c r="A4069" t="str">
        <f t="shared" si="85"/>
        <v/>
      </c>
    </row>
    <row r="4070" spans="1:1" x14ac:dyDescent="0.25">
      <c r="A4070" t="str">
        <f t="shared" si="85"/>
        <v/>
      </c>
    </row>
    <row r="4071" spans="1:1" x14ac:dyDescent="0.25">
      <c r="A4071" t="str">
        <f t="shared" si="85"/>
        <v/>
      </c>
    </row>
    <row r="4072" spans="1:1" x14ac:dyDescent="0.25">
      <c r="A4072" t="str">
        <f t="shared" si="85"/>
        <v/>
      </c>
    </row>
    <row r="4073" spans="1:1" x14ac:dyDescent="0.25">
      <c r="A4073" t="str">
        <f t="shared" si="85"/>
        <v/>
      </c>
    </row>
    <row r="4074" spans="1:1" x14ac:dyDescent="0.25">
      <c r="A4074" t="str">
        <f t="shared" si="85"/>
        <v/>
      </c>
    </row>
    <row r="4075" spans="1:1" x14ac:dyDescent="0.25">
      <c r="A4075" t="str">
        <f t="shared" si="85"/>
        <v/>
      </c>
    </row>
    <row r="4076" spans="1:1" x14ac:dyDescent="0.25">
      <c r="A4076" t="str">
        <f t="shared" si="85"/>
        <v/>
      </c>
    </row>
    <row r="4077" spans="1:1" x14ac:dyDescent="0.25">
      <c r="A4077" t="str">
        <f t="shared" si="85"/>
        <v/>
      </c>
    </row>
    <row r="4078" spans="1:1" x14ac:dyDescent="0.25">
      <c r="A4078" t="str">
        <f t="shared" si="85"/>
        <v/>
      </c>
    </row>
    <row r="4079" spans="1:1" x14ac:dyDescent="0.25">
      <c r="A4079" t="str">
        <f t="shared" si="85"/>
        <v/>
      </c>
    </row>
    <row r="4080" spans="1:1" x14ac:dyDescent="0.25">
      <c r="A4080" t="str">
        <f t="shared" si="85"/>
        <v/>
      </c>
    </row>
    <row r="4081" spans="1:1" x14ac:dyDescent="0.25">
      <c r="A4081" t="str">
        <f t="shared" si="85"/>
        <v/>
      </c>
    </row>
    <row r="4082" spans="1:1" x14ac:dyDescent="0.25">
      <c r="A4082" t="str">
        <f t="shared" si="85"/>
        <v/>
      </c>
    </row>
    <row r="4083" spans="1:1" x14ac:dyDescent="0.25">
      <c r="A4083" t="str">
        <f t="shared" si="85"/>
        <v/>
      </c>
    </row>
    <row r="4084" spans="1:1" x14ac:dyDescent="0.25">
      <c r="A4084" t="str">
        <f t="shared" si="85"/>
        <v/>
      </c>
    </row>
    <row r="4085" spans="1:1" x14ac:dyDescent="0.25">
      <c r="A4085" t="str">
        <f t="shared" si="85"/>
        <v/>
      </c>
    </row>
    <row r="4086" spans="1:1" x14ac:dyDescent="0.25">
      <c r="A4086" t="str">
        <f t="shared" si="85"/>
        <v/>
      </c>
    </row>
    <row r="4087" spans="1:1" x14ac:dyDescent="0.25">
      <c r="A4087" t="str">
        <f t="shared" si="85"/>
        <v/>
      </c>
    </row>
    <row r="4088" spans="1:1" x14ac:dyDescent="0.25">
      <c r="A4088" t="str">
        <f t="shared" si="85"/>
        <v/>
      </c>
    </row>
    <row r="4089" spans="1:1" x14ac:dyDescent="0.25">
      <c r="A4089" t="str">
        <f t="shared" si="85"/>
        <v/>
      </c>
    </row>
    <row r="4090" spans="1:1" x14ac:dyDescent="0.25">
      <c r="A4090" t="str">
        <f t="shared" si="85"/>
        <v/>
      </c>
    </row>
    <row r="4091" spans="1:1" x14ac:dyDescent="0.25">
      <c r="A4091" t="str">
        <f t="shared" si="85"/>
        <v/>
      </c>
    </row>
    <row r="4092" spans="1:1" x14ac:dyDescent="0.25">
      <c r="A4092" t="str">
        <f t="shared" si="85"/>
        <v/>
      </c>
    </row>
    <row r="4093" spans="1:1" x14ac:dyDescent="0.25">
      <c r="A4093" t="str">
        <f t="shared" si="85"/>
        <v/>
      </c>
    </row>
    <row r="4094" spans="1:1" x14ac:dyDescent="0.25">
      <c r="A4094" t="str">
        <f t="shared" si="85"/>
        <v/>
      </c>
    </row>
    <row r="4095" spans="1:1" x14ac:dyDescent="0.25">
      <c r="A4095" t="str">
        <f t="shared" si="85"/>
        <v/>
      </c>
    </row>
    <row r="4096" spans="1:1" x14ac:dyDescent="0.25">
      <c r="A4096" t="str">
        <f t="shared" si="85"/>
        <v/>
      </c>
    </row>
    <row r="4097" spans="1:1" x14ac:dyDescent="0.25">
      <c r="A4097" t="str">
        <f t="shared" ref="A4097:A4160" si="86">E4097&amp;C4097&amp;D4097</f>
        <v/>
      </c>
    </row>
    <row r="4098" spans="1:1" x14ac:dyDescent="0.25">
      <c r="A4098" t="str">
        <f t="shared" si="86"/>
        <v/>
      </c>
    </row>
    <row r="4099" spans="1:1" x14ac:dyDescent="0.25">
      <c r="A4099" t="str">
        <f t="shared" si="86"/>
        <v/>
      </c>
    </row>
    <row r="4100" spans="1:1" x14ac:dyDescent="0.25">
      <c r="A4100" t="str">
        <f t="shared" si="86"/>
        <v/>
      </c>
    </row>
    <row r="4101" spans="1:1" x14ac:dyDescent="0.25">
      <c r="A4101" t="str">
        <f t="shared" si="86"/>
        <v/>
      </c>
    </row>
    <row r="4102" spans="1:1" x14ac:dyDescent="0.25">
      <c r="A4102" t="str">
        <f t="shared" si="86"/>
        <v/>
      </c>
    </row>
    <row r="4103" spans="1:1" x14ac:dyDescent="0.25">
      <c r="A4103" t="str">
        <f t="shared" si="86"/>
        <v/>
      </c>
    </row>
    <row r="4104" spans="1:1" x14ac:dyDescent="0.25">
      <c r="A4104" t="str">
        <f t="shared" si="86"/>
        <v/>
      </c>
    </row>
    <row r="4105" spans="1:1" x14ac:dyDescent="0.25">
      <c r="A4105" t="str">
        <f t="shared" si="86"/>
        <v/>
      </c>
    </row>
    <row r="4106" spans="1:1" x14ac:dyDescent="0.25">
      <c r="A4106" t="str">
        <f t="shared" si="86"/>
        <v/>
      </c>
    </row>
    <row r="4107" spans="1:1" x14ac:dyDescent="0.25">
      <c r="A4107" t="str">
        <f t="shared" si="86"/>
        <v/>
      </c>
    </row>
    <row r="4108" spans="1:1" x14ac:dyDescent="0.25">
      <c r="A4108" t="str">
        <f t="shared" si="86"/>
        <v/>
      </c>
    </row>
    <row r="4109" spans="1:1" x14ac:dyDescent="0.25">
      <c r="A4109" t="str">
        <f t="shared" si="86"/>
        <v/>
      </c>
    </row>
    <row r="4110" spans="1:1" x14ac:dyDescent="0.25">
      <c r="A4110" t="str">
        <f t="shared" si="86"/>
        <v/>
      </c>
    </row>
    <row r="4111" spans="1:1" x14ac:dyDescent="0.25">
      <c r="A4111" t="str">
        <f t="shared" si="86"/>
        <v/>
      </c>
    </row>
    <row r="4112" spans="1:1" x14ac:dyDescent="0.25">
      <c r="A4112" t="str">
        <f t="shared" si="86"/>
        <v/>
      </c>
    </row>
    <row r="4113" spans="1:1" x14ac:dyDescent="0.25">
      <c r="A4113" t="str">
        <f t="shared" si="86"/>
        <v/>
      </c>
    </row>
    <row r="4114" spans="1:1" x14ac:dyDescent="0.25">
      <c r="A4114" t="str">
        <f t="shared" si="86"/>
        <v/>
      </c>
    </row>
    <row r="4115" spans="1:1" x14ac:dyDescent="0.25">
      <c r="A4115" t="str">
        <f t="shared" si="86"/>
        <v/>
      </c>
    </row>
    <row r="4116" spans="1:1" x14ac:dyDescent="0.25">
      <c r="A4116" t="str">
        <f t="shared" si="86"/>
        <v/>
      </c>
    </row>
    <row r="4117" spans="1:1" x14ac:dyDescent="0.25">
      <c r="A4117" t="str">
        <f t="shared" si="86"/>
        <v/>
      </c>
    </row>
    <row r="4118" spans="1:1" x14ac:dyDescent="0.25">
      <c r="A4118" t="str">
        <f t="shared" si="86"/>
        <v/>
      </c>
    </row>
    <row r="4119" spans="1:1" x14ac:dyDescent="0.25">
      <c r="A4119" t="str">
        <f t="shared" si="86"/>
        <v/>
      </c>
    </row>
    <row r="4120" spans="1:1" x14ac:dyDescent="0.25">
      <c r="A4120" t="str">
        <f t="shared" si="86"/>
        <v/>
      </c>
    </row>
    <row r="4121" spans="1:1" x14ac:dyDescent="0.25">
      <c r="A4121" t="str">
        <f t="shared" si="86"/>
        <v/>
      </c>
    </row>
    <row r="4122" spans="1:1" x14ac:dyDescent="0.25">
      <c r="A4122" t="str">
        <f t="shared" si="86"/>
        <v/>
      </c>
    </row>
    <row r="4123" spans="1:1" x14ac:dyDescent="0.25">
      <c r="A4123" t="str">
        <f t="shared" si="86"/>
        <v/>
      </c>
    </row>
    <row r="4124" spans="1:1" x14ac:dyDescent="0.25">
      <c r="A4124" t="str">
        <f t="shared" si="86"/>
        <v/>
      </c>
    </row>
    <row r="4125" spans="1:1" x14ac:dyDescent="0.25">
      <c r="A4125" t="str">
        <f t="shared" si="86"/>
        <v/>
      </c>
    </row>
    <row r="4126" spans="1:1" x14ac:dyDescent="0.25">
      <c r="A4126" t="str">
        <f t="shared" si="86"/>
        <v/>
      </c>
    </row>
    <row r="4127" spans="1:1" x14ac:dyDescent="0.25">
      <c r="A4127" t="str">
        <f t="shared" si="86"/>
        <v/>
      </c>
    </row>
    <row r="4128" spans="1:1" x14ac:dyDescent="0.25">
      <c r="A4128" t="str">
        <f t="shared" si="86"/>
        <v/>
      </c>
    </row>
    <row r="4129" spans="1:1" x14ac:dyDescent="0.25">
      <c r="A4129" t="str">
        <f t="shared" si="86"/>
        <v/>
      </c>
    </row>
    <row r="4130" spans="1:1" x14ac:dyDescent="0.25">
      <c r="A4130" t="str">
        <f t="shared" si="86"/>
        <v/>
      </c>
    </row>
    <row r="4131" spans="1:1" x14ac:dyDescent="0.25">
      <c r="A4131" t="str">
        <f t="shared" si="86"/>
        <v/>
      </c>
    </row>
    <row r="4132" spans="1:1" x14ac:dyDescent="0.25">
      <c r="A4132" t="str">
        <f t="shared" si="86"/>
        <v/>
      </c>
    </row>
    <row r="4133" spans="1:1" x14ac:dyDescent="0.25">
      <c r="A4133" t="str">
        <f t="shared" si="86"/>
        <v/>
      </c>
    </row>
    <row r="4134" spans="1:1" x14ac:dyDescent="0.25">
      <c r="A4134" t="str">
        <f t="shared" si="86"/>
        <v/>
      </c>
    </row>
    <row r="4135" spans="1:1" x14ac:dyDescent="0.25">
      <c r="A4135" t="str">
        <f t="shared" si="86"/>
        <v/>
      </c>
    </row>
    <row r="4136" spans="1:1" x14ac:dyDescent="0.25">
      <c r="A4136" t="str">
        <f t="shared" si="86"/>
        <v/>
      </c>
    </row>
    <row r="4137" spans="1:1" x14ac:dyDescent="0.25">
      <c r="A4137" t="str">
        <f t="shared" si="86"/>
        <v/>
      </c>
    </row>
    <row r="4138" spans="1:1" x14ac:dyDescent="0.25">
      <c r="A4138" t="str">
        <f t="shared" si="86"/>
        <v/>
      </c>
    </row>
    <row r="4139" spans="1:1" x14ac:dyDescent="0.25">
      <c r="A4139" t="str">
        <f t="shared" si="86"/>
        <v/>
      </c>
    </row>
    <row r="4140" spans="1:1" x14ac:dyDescent="0.25">
      <c r="A4140" t="str">
        <f t="shared" si="86"/>
        <v/>
      </c>
    </row>
    <row r="4141" spans="1:1" x14ac:dyDescent="0.25">
      <c r="A4141" t="str">
        <f t="shared" si="86"/>
        <v/>
      </c>
    </row>
    <row r="4142" spans="1:1" x14ac:dyDescent="0.25">
      <c r="A4142" t="str">
        <f t="shared" si="86"/>
        <v/>
      </c>
    </row>
    <row r="4143" spans="1:1" x14ac:dyDescent="0.25">
      <c r="A4143" t="str">
        <f t="shared" si="86"/>
        <v/>
      </c>
    </row>
    <row r="4144" spans="1:1" x14ac:dyDescent="0.25">
      <c r="A4144" t="str">
        <f t="shared" si="86"/>
        <v/>
      </c>
    </row>
    <row r="4145" spans="1:1" x14ac:dyDescent="0.25">
      <c r="A4145" t="str">
        <f t="shared" si="86"/>
        <v/>
      </c>
    </row>
    <row r="4146" spans="1:1" x14ac:dyDescent="0.25">
      <c r="A4146" t="str">
        <f t="shared" si="86"/>
        <v/>
      </c>
    </row>
    <row r="4147" spans="1:1" x14ac:dyDescent="0.25">
      <c r="A4147" t="str">
        <f t="shared" si="86"/>
        <v/>
      </c>
    </row>
    <row r="4148" spans="1:1" x14ac:dyDescent="0.25">
      <c r="A4148" t="str">
        <f t="shared" si="86"/>
        <v/>
      </c>
    </row>
    <row r="4149" spans="1:1" x14ac:dyDescent="0.25">
      <c r="A4149" t="str">
        <f t="shared" si="86"/>
        <v/>
      </c>
    </row>
    <row r="4150" spans="1:1" x14ac:dyDescent="0.25">
      <c r="A4150" t="str">
        <f t="shared" si="86"/>
        <v/>
      </c>
    </row>
    <row r="4151" spans="1:1" x14ac:dyDescent="0.25">
      <c r="A4151" t="str">
        <f t="shared" si="86"/>
        <v/>
      </c>
    </row>
    <row r="4152" spans="1:1" x14ac:dyDescent="0.25">
      <c r="A4152" t="str">
        <f t="shared" si="86"/>
        <v/>
      </c>
    </row>
    <row r="4153" spans="1:1" x14ac:dyDescent="0.25">
      <c r="A4153" t="str">
        <f t="shared" si="86"/>
        <v/>
      </c>
    </row>
    <row r="4154" spans="1:1" x14ac:dyDescent="0.25">
      <c r="A4154" t="str">
        <f t="shared" si="86"/>
        <v/>
      </c>
    </row>
    <row r="4155" spans="1:1" x14ac:dyDescent="0.25">
      <c r="A4155" t="str">
        <f t="shared" si="86"/>
        <v/>
      </c>
    </row>
    <row r="4156" spans="1:1" x14ac:dyDescent="0.25">
      <c r="A4156" t="str">
        <f t="shared" si="86"/>
        <v/>
      </c>
    </row>
    <row r="4157" spans="1:1" x14ac:dyDescent="0.25">
      <c r="A4157" t="str">
        <f t="shared" si="86"/>
        <v/>
      </c>
    </row>
    <row r="4158" spans="1:1" x14ac:dyDescent="0.25">
      <c r="A4158" t="str">
        <f t="shared" si="86"/>
        <v/>
      </c>
    </row>
    <row r="4159" spans="1:1" x14ac:dyDescent="0.25">
      <c r="A4159" t="str">
        <f t="shared" si="86"/>
        <v/>
      </c>
    </row>
    <row r="4160" spans="1:1" x14ac:dyDescent="0.25">
      <c r="A4160" t="str">
        <f t="shared" si="86"/>
        <v/>
      </c>
    </row>
    <row r="4161" spans="1:1" x14ac:dyDescent="0.25">
      <c r="A4161" t="str">
        <f t="shared" ref="A4161:A4224" si="87">E4161&amp;C4161&amp;D4161</f>
        <v/>
      </c>
    </row>
    <row r="4162" spans="1:1" x14ac:dyDescent="0.25">
      <c r="A4162" t="str">
        <f t="shared" si="87"/>
        <v/>
      </c>
    </row>
    <row r="4163" spans="1:1" x14ac:dyDescent="0.25">
      <c r="A4163" t="str">
        <f t="shared" si="87"/>
        <v/>
      </c>
    </row>
    <row r="4164" spans="1:1" x14ac:dyDescent="0.25">
      <c r="A4164" t="str">
        <f t="shared" si="87"/>
        <v/>
      </c>
    </row>
    <row r="4165" spans="1:1" x14ac:dyDescent="0.25">
      <c r="A4165" t="str">
        <f t="shared" si="87"/>
        <v/>
      </c>
    </row>
    <row r="4166" spans="1:1" x14ac:dyDescent="0.25">
      <c r="A4166" t="str">
        <f t="shared" si="87"/>
        <v/>
      </c>
    </row>
    <row r="4167" spans="1:1" x14ac:dyDescent="0.25">
      <c r="A4167" t="str">
        <f t="shared" si="87"/>
        <v/>
      </c>
    </row>
    <row r="4168" spans="1:1" x14ac:dyDescent="0.25">
      <c r="A4168" t="str">
        <f t="shared" si="87"/>
        <v/>
      </c>
    </row>
    <row r="4169" spans="1:1" x14ac:dyDescent="0.25">
      <c r="A4169" t="str">
        <f t="shared" si="87"/>
        <v/>
      </c>
    </row>
    <row r="4170" spans="1:1" x14ac:dyDescent="0.25">
      <c r="A4170" t="str">
        <f t="shared" si="87"/>
        <v/>
      </c>
    </row>
    <row r="4171" spans="1:1" x14ac:dyDescent="0.25">
      <c r="A4171" t="str">
        <f t="shared" si="87"/>
        <v/>
      </c>
    </row>
    <row r="4172" spans="1:1" x14ac:dyDescent="0.25">
      <c r="A4172" t="str">
        <f t="shared" si="87"/>
        <v/>
      </c>
    </row>
    <row r="4173" spans="1:1" x14ac:dyDescent="0.25">
      <c r="A4173" t="str">
        <f t="shared" si="87"/>
        <v/>
      </c>
    </row>
    <row r="4174" spans="1:1" x14ac:dyDescent="0.25">
      <c r="A4174" t="str">
        <f t="shared" si="87"/>
        <v/>
      </c>
    </row>
    <row r="4175" spans="1:1" x14ac:dyDescent="0.25">
      <c r="A4175" t="str">
        <f t="shared" si="87"/>
        <v/>
      </c>
    </row>
    <row r="4176" spans="1:1" x14ac:dyDescent="0.25">
      <c r="A4176" t="str">
        <f t="shared" si="87"/>
        <v/>
      </c>
    </row>
    <row r="4177" spans="1:1" x14ac:dyDescent="0.25">
      <c r="A4177" t="str">
        <f t="shared" si="87"/>
        <v/>
      </c>
    </row>
    <row r="4178" spans="1:1" x14ac:dyDescent="0.25">
      <c r="A4178" t="str">
        <f t="shared" si="87"/>
        <v/>
      </c>
    </row>
    <row r="4179" spans="1:1" x14ac:dyDescent="0.25">
      <c r="A4179" t="str">
        <f t="shared" si="87"/>
        <v/>
      </c>
    </row>
    <row r="4180" spans="1:1" x14ac:dyDescent="0.25">
      <c r="A4180" t="str">
        <f t="shared" si="87"/>
        <v/>
      </c>
    </row>
    <row r="4181" spans="1:1" x14ac:dyDescent="0.25">
      <c r="A4181" t="str">
        <f t="shared" si="87"/>
        <v/>
      </c>
    </row>
    <row r="4182" spans="1:1" x14ac:dyDescent="0.25">
      <c r="A4182" t="str">
        <f t="shared" si="87"/>
        <v/>
      </c>
    </row>
    <row r="4183" spans="1:1" x14ac:dyDescent="0.25">
      <c r="A4183" t="str">
        <f t="shared" si="87"/>
        <v/>
      </c>
    </row>
    <row r="4184" spans="1:1" x14ac:dyDescent="0.25">
      <c r="A4184" t="str">
        <f t="shared" si="87"/>
        <v/>
      </c>
    </row>
    <row r="4185" spans="1:1" x14ac:dyDescent="0.25">
      <c r="A4185" t="str">
        <f t="shared" si="87"/>
        <v/>
      </c>
    </row>
    <row r="4186" spans="1:1" x14ac:dyDescent="0.25">
      <c r="A4186" t="str">
        <f t="shared" si="87"/>
        <v/>
      </c>
    </row>
    <row r="4187" spans="1:1" x14ac:dyDescent="0.25">
      <c r="A4187" t="str">
        <f t="shared" si="87"/>
        <v/>
      </c>
    </row>
    <row r="4188" spans="1:1" x14ac:dyDescent="0.25">
      <c r="A4188" t="str">
        <f t="shared" si="87"/>
        <v/>
      </c>
    </row>
    <row r="4189" spans="1:1" x14ac:dyDescent="0.25">
      <c r="A4189" t="str">
        <f t="shared" si="87"/>
        <v/>
      </c>
    </row>
    <row r="4190" spans="1:1" x14ac:dyDescent="0.25">
      <c r="A4190" t="str">
        <f t="shared" si="87"/>
        <v/>
      </c>
    </row>
    <row r="4191" spans="1:1" x14ac:dyDescent="0.25">
      <c r="A4191" t="str">
        <f t="shared" si="87"/>
        <v/>
      </c>
    </row>
    <row r="4192" spans="1:1" x14ac:dyDescent="0.25">
      <c r="A4192" t="str">
        <f t="shared" si="87"/>
        <v/>
      </c>
    </row>
    <row r="4193" spans="1:1" x14ac:dyDescent="0.25">
      <c r="A4193" t="str">
        <f t="shared" si="87"/>
        <v/>
      </c>
    </row>
    <row r="4194" spans="1:1" x14ac:dyDescent="0.25">
      <c r="A4194" t="str">
        <f t="shared" si="87"/>
        <v/>
      </c>
    </row>
    <row r="4195" spans="1:1" x14ac:dyDescent="0.25">
      <c r="A4195" t="str">
        <f t="shared" si="87"/>
        <v/>
      </c>
    </row>
    <row r="4196" spans="1:1" x14ac:dyDescent="0.25">
      <c r="A4196" t="str">
        <f t="shared" si="87"/>
        <v/>
      </c>
    </row>
    <row r="4197" spans="1:1" x14ac:dyDescent="0.25">
      <c r="A4197" t="str">
        <f t="shared" si="87"/>
        <v/>
      </c>
    </row>
    <row r="4198" spans="1:1" x14ac:dyDescent="0.25">
      <c r="A4198" t="str">
        <f t="shared" si="87"/>
        <v/>
      </c>
    </row>
    <row r="4199" spans="1:1" x14ac:dyDescent="0.25">
      <c r="A4199" t="str">
        <f t="shared" si="87"/>
        <v/>
      </c>
    </row>
    <row r="4200" spans="1:1" x14ac:dyDescent="0.25">
      <c r="A4200" t="str">
        <f t="shared" si="87"/>
        <v/>
      </c>
    </row>
    <row r="4201" spans="1:1" x14ac:dyDescent="0.25">
      <c r="A4201" t="str">
        <f t="shared" si="87"/>
        <v/>
      </c>
    </row>
    <row r="4202" spans="1:1" x14ac:dyDescent="0.25">
      <c r="A4202" t="str">
        <f t="shared" si="87"/>
        <v/>
      </c>
    </row>
    <row r="4203" spans="1:1" x14ac:dyDescent="0.25">
      <c r="A4203" t="str">
        <f t="shared" si="87"/>
        <v/>
      </c>
    </row>
    <row r="4204" spans="1:1" x14ac:dyDescent="0.25">
      <c r="A4204" t="str">
        <f t="shared" si="87"/>
        <v/>
      </c>
    </row>
    <row r="4205" spans="1:1" x14ac:dyDescent="0.25">
      <c r="A4205" t="str">
        <f t="shared" si="87"/>
        <v/>
      </c>
    </row>
    <row r="4206" spans="1:1" x14ac:dyDescent="0.25">
      <c r="A4206" t="str">
        <f t="shared" si="87"/>
        <v/>
      </c>
    </row>
    <row r="4207" spans="1:1" x14ac:dyDescent="0.25">
      <c r="A4207" t="str">
        <f t="shared" si="87"/>
        <v/>
      </c>
    </row>
    <row r="4208" spans="1:1" x14ac:dyDescent="0.25">
      <c r="A4208" t="str">
        <f t="shared" si="87"/>
        <v/>
      </c>
    </row>
    <row r="4209" spans="1:1" x14ac:dyDescent="0.25">
      <c r="A4209" t="str">
        <f t="shared" si="87"/>
        <v/>
      </c>
    </row>
    <row r="4210" spans="1:1" x14ac:dyDescent="0.25">
      <c r="A4210" t="str">
        <f t="shared" si="87"/>
        <v/>
      </c>
    </row>
    <row r="4211" spans="1:1" x14ac:dyDescent="0.25">
      <c r="A4211" t="str">
        <f t="shared" si="87"/>
        <v/>
      </c>
    </row>
    <row r="4212" spans="1:1" x14ac:dyDescent="0.25">
      <c r="A4212" t="str">
        <f t="shared" si="87"/>
        <v/>
      </c>
    </row>
    <row r="4213" spans="1:1" x14ac:dyDescent="0.25">
      <c r="A4213" t="str">
        <f t="shared" si="87"/>
        <v/>
      </c>
    </row>
    <row r="4214" spans="1:1" x14ac:dyDescent="0.25">
      <c r="A4214" t="str">
        <f t="shared" si="87"/>
        <v/>
      </c>
    </row>
    <row r="4215" spans="1:1" x14ac:dyDescent="0.25">
      <c r="A4215" t="str">
        <f t="shared" si="87"/>
        <v/>
      </c>
    </row>
    <row r="4216" spans="1:1" x14ac:dyDescent="0.25">
      <c r="A4216" t="str">
        <f t="shared" si="87"/>
        <v/>
      </c>
    </row>
    <row r="4217" spans="1:1" x14ac:dyDescent="0.25">
      <c r="A4217" t="str">
        <f t="shared" si="87"/>
        <v/>
      </c>
    </row>
    <row r="4218" spans="1:1" x14ac:dyDescent="0.25">
      <c r="A4218" t="str">
        <f t="shared" si="87"/>
        <v/>
      </c>
    </row>
    <row r="4219" spans="1:1" x14ac:dyDescent="0.25">
      <c r="A4219" t="str">
        <f t="shared" si="87"/>
        <v/>
      </c>
    </row>
    <row r="4220" spans="1:1" x14ac:dyDescent="0.25">
      <c r="A4220" t="str">
        <f t="shared" si="87"/>
        <v/>
      </c>
    </row>
    <row r="4221" spans="1:1" x14ac:dyDescent="0.25">
      <c r="A4221" t="str">
        <f t="shared" si="87"/>
        <v/>
      </c>
    </row>
    <row r="4222" spans="1:1" x14ac:dyDescent="0.25">
      <c r="A4222" t="str">
        <f t="shared" si="87"/>
        <v/>
      </c>
    </row>
    <row r="4223" spans="1:1" x14ac:dyDescent="0.25">
      <c r="A4223" t="str">
        <f t="shared" si="87"/>
        <v/>
      </c>
    </row>
    <row r="4224" spans="1:1" x14ac:dyDescent="0.25">
      <c r="A4224" t="str">
        <f t="shared" si="87"/>
        <v/>
      </c>
    </row>
    <row r="4225" spans="1:1" x14ac:dyDescent="0.25">
      <c r="A4225" t="str">
        <f t="shared" ref="A4225:A4288" si="88">E4225&amp;C4225&amp;D4225</f>
        <v/>
      </c>
    </row>
    <row r="4226" spans="1:1" x14ac:dyDescent="0.25">
      <c r="A4226" t="str">
        <f t="shared" si="88"/>
        <v/>
      </c>
    </row>
    <row r="4227" spans="1:1" x14ac:dyDescent="0.25">
      <c r="A4227" t="str">
        <f t="shared" si="88"/>
        <v/>
      </c>
    </row>
    <row r="4228" spans="1:1" x14ac:dyDescent="0.25">
      <c r="A4228" t="str">
        <f t="shared" si="88"/>
        <v/>
      </c>
    </row>
    <row r="4229" spans="1:1" x14ac:dyDescent="0.25">
      <c r="A4229" t="str">
        <f t="shared" si="88"/>
        <v/>
      </c>
    </row>
    <row r="4230" spans="1:1" x14ac:dyDescent="0.25">
      <c r="A4230" t="str">
        <f t="shared" si="88"/>
        <v/>
      </c>
    </row>
    <row r="4231" spans="1:1" x14ac:dyDescent="0.25">
      <c r="A4231" t="str">
        <f t="shared" si="88"/>
        <v/>
      </c>
    </row>
    <row r="4232" spans="1:1" x14ac:dyDescent="0.25">
      <c r="A4232" t="str">
        <f t="shared" si="88"/>
        <v/>
      </c>
    </row>
    <row r="4233" spans="1:1" x14ac:dyDescent="0.25">
      <c r="A4233" t="str">
        <f t="shared" si="88"/>
        <v/>
      </c>
    </row>
    <row r="4234" spans="1:1" x14ac:dyDescent="0.25">
      <c r="A4234" t="str">
        <f t="shared" si="88"/>
        <v/>
      </c>
    </row>
    <row r="4235" spans="1:1" x14ac:dyDescent="0.25">
      <c r="A4235" t="str">
        <f t="shared" si="88"/>
        <v/>
      </c>
    </row>
    <row r="4236" spans="1:1" x14ac:dyDescent="0.25">
      <c r="A4236" t="str">
        <f t="shared" si="88"/>
        <v/>
      </c>
    </row>
    <row r="4237" spans="1:1" x14ac:dyDescent="0.25">
      <c r="A4237" t="str">
        <f t="shared" si="88"/>
        <v/>
      </c>
    </row>
    <row r="4238" spans="1:1" x14ac:dyDescent="0.25">
      <c r="A4238" t="str">
        <f t="shared" si="88"/>
        <v/>
      </c>
    </row>
    <row r="4239" spans="1:1" x14ac:dyDescent="0.25">
      <c r="A4239" t="str">
        <f t="shared" si="88"/>
        <v/>
      </c>
    </row>
    <row r="4240" spans="1:1" x14ac:dyDescent="0.25">
      <c r="A4240" t="str">
        <f t="shared" si="88"/>
        <v/>
      </c>
    </row>
    <row r="4241" spans="1:1" x14ac:dyDescent="0.25">
      <c r="A4241" t="str">
        <f t="shared" si="88"/>
        <v/>
      </c>
    </row>
    <row r="4242" spans="1:1" x14ac:dyDescent="0.25">
      <c r="A4242" t="str">
        <f t="shared" si="88"/>
        <v/>
      </c>
    </row>
    <row r="4243" spans="1:1" x14ac:dyDescent="0.25">
      <c r="A4243" t="str">
        <f t="shared" si="88"/>
        <v/>
      </c>
    </row>
    <row r="4244" spans="1:1" x14ac:dyDescent="0.25">
      <c r="A4244" t="str">
        <f t="shared" si="88"/>
        <v/>
      </c>
    </row>
    <row r="4245" spans="1:1" x14ac:dyDescent="0.25">
      <c r="A4245" t="str">
        <f t="shared" si="88"/>
        <v/>
      </c>
    </row>
    <row r="4246" spans="1:1" x14ac:dyDescent="0.25">
      <c r="A4246" t="str">
        <f t="shared" si="88"/>
        <v/>
      </c>
    </row>
    <row r="4247" spans="1:1" x14ac:dyDescent="0.25">
      <c r="A4247" t="str">
        <f t="shared" si="88"/>
        <v/>
      </c>
    </row>
    <row r="4248" spans="1:1" x14ac:dyDescent="0.25">
      <c r="A4248" t="str">
        <f t="shared" si="88"/>
        <v/>
      </c>
    </row>
    <row r="4249" spans="1:1" x14ac:dyDescent="0.25">
      <c r="A4249" t="str">
        <f t="shared" si="88"/>
        <v/>
      </c>
    </row>
    <row r="4250" spans="1:1" x14ac:dyDescent="0.25">
      <c r="A4250" t="str">
        <f t="shared" si="88"/>
        <v/>
      </c>
    </row>
    <row r="4251" spans="1:1" x14ac:dyDescent="0.25">
      <c r="A4251" t="str">
        <f t="shared" si="88"/>
        <v/>
      </c>
    </row>
    <row r="4252" spans="1:1" x14ac:dyDescent="0.25">
      <c r="A4252" t="str">
        <f t="shared" si="88"/>
        <v/>
      </c>
    </row>
    <row r="4253" spans="1:1" x14ac:dyDescent="0.25">
      <c r="A4253" t="str">
        <f t="shared" si="88"/>
        <v/>
      </c>
    </row>
    <row r="4254" spans="1:1" x14ac:dyDescent="0.25">
      <c r="A4254" t="str">
        <f t="shared" si="88"/>
        <v/>
      </c>
    </row>
    <row r="4255" spans="1:1" x14ac:dyDescent="0.25">
      <c r="A4255" t="str">
        <f t="shared" si="88"/>
        <v/>
      </c>
    </row>
    <row r="4256" spans="1:1" x14ac:dyDescent="0.25">
      <c r="A4256" t="str">
        <f t="shared" si="88"/>
        <v/>
      </c>
    </row>
    <row r="4257" spans="1:1" x14ac:dyDescent="0.25">
      <c r="A4257" t="str">
        <f t="shared" si="88"/>
        <v/>
      </c>
    </row>
    <row r="4258" spans="1:1" x14ac:dyDescent="0.25">
      <c r="A4258" t="str">
        <f t="shared" si="88"/>
        <v/>
      </c>
    </row>
    <row r="4259" spans="1:1" x14ac:dyDescent="0.25">
      <c r="A4259" t="str">
        <f t="shared" si="88"/>
        <v/>
      </c>
    </row>
    <row r="4260" spans="1:1" x14ac:dyDescent="0.25">
      <c r="A4260" t="str">
        <f t="shared" si="88"/>
        <v/>
      </c>
    </row>
    <row r="4261" spans="1:1" x14ac:dyDescent="0.25">
      <c r="A4261" t="str">
        <f t="shared" si="88"/>
        <v/>
      </c>
    </row>
    <row r="4262" spans="1:1" x14ac:dyDescent="0.25">
      <c r="A4262" t="str">
        <f t="shared" si="88"/>
        <v/>
      </c>
    </row>
    <row r="4263" spans="1:1" x14ac:dyDescent="0.25">
      <c r="A4263" t="str">
        <f t="shared" si="88"/>
        <v/>
      </c>
    </row>
    <row r="4264" spans="1:1" x14ac:dyDescent="0.25">
      <c r="A4264" t="str">
        <f t="shared" si="88"/>
        <v/>
      </c>
    </row>
    <row r="4265" spans="1:1" x14ac:dyDescent="0.25">
      <c r="A4265" t="str">
        <f t="shared" si="88"/>
        <v/>
      </c>
    </row>
    <row r="4266" spans="1:1" x14ac:dyDescent="0.25">
      <c r="A4266" t="str">
        <f t="shared" si="88"/>
        <v/>
      </c>
    </row>
    <row r="4267" spans="1:1" x14ac:dyDescent="0.25">
      <c r="A4267" t="str">
        <f t="shared" si="88"/>
        <v/>
      </c>
    </row>
    <row r="4268" spans="1:1" x14ac:dyDescent="0.25">
      <c r="A4268" t="str">
        <f t="shared" si="88"/>
        <v/>
      </c>
    </row>
    <row r="4269" spans="1:1" x14ac:dyDescent="0.25">
      <c r="A4269" t="str">
        <f t="shared" si="88"/>
        <v/>
      </c>
    </row>
    <row r="4270" spans="1:1" x14ac:dyDescent="0.25">
      <c r="A4270" t="str">
        <f t="shared" si="88"/>
        <v/>
      </c>
    </row>
    <row r="4271" spans="1:1" x14ac:dyDescent="0.25">
      <c r="A4271" t="str">
        <f t="shared" si="88"/>
        <v/>
      </c>
    </row>
    <row r="4272" spans="1:1" x14ac:dyDescent="0.25">
      <c r="A4272" t="str">
        <f t="shared" si="88"/>
        <v/>
      </c>
    </row>
    <row r="4273" spans="1:1" x14ac:dyDescent="0.25">
      <c r="A4273" t="str">
        <f t="shared" si="88"/>
        <v/>
      </c>
    </row>
    <row r="4274" spans="1:1" x14ac:dyDescent="0.25">
      <c r="A4274" t="str">
        <f t="shared" si="88"/>
        <v/>
      </c>
    </row>
    <row r="4275" spans="1:1" x14ac:dyDescent="0.25">
      <c r="A4275" t="str">
        <f t="shared" si="88"/>
        <v/>
      </c>
    </row>
    <row r="4276" spans="1:1" x14ac:dyDescent="0.25">
      <c r="A4276" t="str">
        <f t="shared" si="88"/>
        <v/>
      </c>
    </row>
    <row r="4277" spans="1:1" x14ac:dyDescent="0.25">
      <c r="A4277" t="str">
        <f t="shared" si="88"/>
        <v/>
      </c>
    </row>
    <row r="4278" spans="1:1" x14ac:dyDescent="0.25">
      <c r="A4278" t="str">
        <f t="shared" si="88"/>
        <v/>
      </c>
    </row>
    <row r="4279" spans="1:1" x14ac:dyDescent="0.25">
      <c r="A4279" t="str">
        <f t="shared" si="88"/>
        <v/>
      </c>
    </row>
    <row r="4280" spans="1:1" x14ac:dyDescent="0.25">
      <c r="A4280" t="str">
        <f t="shared" si="88"/>
        <v/>
      </c>
    </row>
    <row r="4281" spans="1:1" x14ac:dyDescent="0.25">
      <c r="A4281" t="str">
        <f t="shared" si="88"/>
        <v/>
      </c>
    </row>
    <row r="4282" spans="1:1" x14ac:dyDescent="0.25">
      <c r="A4282" t="str">
        <f t="shared" si="88"/>
        <v/>
      </c>
    </row>
    <row r="4283" spans="1:1" x14ac:dyDescent="0.25">
      <c r="A4283" t="str">
        <f t="shared" si="88"/>
        <v/>
      </c>
    </row>
    <row r="4284" spans="1:1" x14ac:dyDescent="0.25">
      <c r="A4284" t="str">
        <f t="shared" si="88"/>
        <v/>
      </c>
    </row>
    <row r="4285" spans="1:1" x14ac:dyDescent="0.25">
      <c r="A4285" t="str">
        <f t="shared" si="88"/>
        <v/>
      </c>
    </row>
    <row r="4286" spans="1:1" x14ac:dyDescent="0.25">
      <c r="A4286" t="str">
        <f t="shared" si="88"/>
        <v/>
      </c>
    </row>
    <row r="4287" spans="1:1" x14ac:dyDescent="0.25">
      <c r="A4287" t="str">
        <f t="shared" si="88"/>
        <v/>
      </c>
    </row>
    <row r="4288" spans="1:1" x14ac:dyDescent="0.25">
      <c r="A4288" t="str">
        <f t="shared" si="88"/>
        <v/>
      </c>
    </row>
    <row r="4289" spans="1:1" x14ac:dyDescent="0.25">
      <c r="A4289" t="str">
        <f t="shared" ref="A4289:A4352" si="89">E4289&amp;C4289&amp;D4289</f>
        <v/>
      </c>
    </row>
    <row r="4290" spans="1:1" x14ac:dyDescent="0.25">
      <c r="A4290" t="str">
        <f t="shared" si="89"/>
        <v/>
      </c>
    </row>
    <row r="4291" spans="1:1" x14ac:dyDescent="0.25">
      <c r="A4291" t="str">
        <f t="shared" si="89"/>
        <v/>
      </c>
    </row>
    <row r="4292" spans="1:1" x14ac:dyDescent="0.25">
      <c r="A4292" t="str">
        <f t="shared" si="89"/>
        <v/>
      </c>
    </row>
    <row r="4293" spans="1:1" x14ac:dyDescent="0.25">
      <c r="A4293" t="str">
        <f t="shared" si="89"/>
        <v/>
      </c>
    </row>
    <row r="4294" spans="1:1" x14ac:dyDescent="0.25">
      <c r="A4294" t="str">
        <f t="shared" si="89"/>
        <v/>
      </c>
    </row>
    <row r="4295" spans="1:1" x14ac:dyDescent="0.25">
      <c r="A4295" t="str">
        <f t="shared" si="89"/>
        <v/>
      </c>
    </row>
    <row r="4296" spans="1:1" x14ac:dyDescent="0.25">
      <c r="A4296" t="str">
        <f t="shared" si="89"/>
        <v/>
      </c>
    </row>
    <row r="4297" spans="1:1" x14ac:dyDescent="0.25">
      <c r="A4297" t="str">
        <f t="shared" si="89"/>
        <v/>
      </c>
    </row>
    <row r="4298" spans="1:1" x14ac:dyDescent="0.25">
      <c r="A4298" t="str">
        <f t="shared" si="89"/>
        <v/>
      </c>
    </row>
    <row r="4299" spans="1:1" x14ac:dyDescent="0.25">
      <c r="A4299" t="str">
        <f t="shared" si="89"/>
        <v/>
      </c>
    </row>
    <row r="4300" spans="1:1" x14ac:dyDescent="0.25">
      <c r="A4300" t="str">
        <f t="shared" si="89"/>
        <v/>
      </c>
    </row>
    <row r="4301" spans="1:1" x14ac:dyDescent="0.25">
      <c r="A4301" t="str">
        <f t="shared" si="89"/>
        <v/>
      </c>
    </row>
    <row r="4302" spans="1:1" x14ac:dyDescent="0.25">
      <c r="A4302" t="str">
        <f t="shared" si="89"/>
        <v/>
      </c>
    </row>
    <row r="4303" spans="1:1" x14ac:dyDescent="0.25">
      <c r="A4303" t="str">
        <f t="shared" si="89"/>
        <v/>
      </c>
    </row>
    <row r="4304" spans="1:1" x14ac:dyDescent="0.25">
      <c r="A4304" t="str">
        <f t="shared" si="89"/>
        <v/>
      </c>
    </row>
    <row r="4305" spans="1:1" x14ac:dyDescent="0.25">
      <c r="A4305" t="str">
        <f t="shared" si="89"/>
        <v/>
      </c>
    </row>
    <row r="4306" spans="1:1" x14ac:dyDescent="0.25">
      <c r="A4306" t="str">
        <f t="shared" si="89"/>
        <v/>
      </c>
    </row>
    <row r="4307" spans="1:1" x14ac:dyDescent="0.25">
      <c r="A4307" t="str">
        <f t="shared" si="89"/>
        <v/>
      </c>
    </row>
    <row r="4308" spans="1:1" x14ac:dyDescent="0.25">
      <c r="A4308" t="str">
        <f t="shared" si="89"/>
        <v/>
      </c>
    </row>
    <row r="4309" spans="1:1" x14ac:dyDescent="0.25">
      <c r="A4309" t="str">
        <f t="shared" si="89"/>
        <v/>
      </c>
    </row>
    <row r="4310" spans="1:1" x14ac:dyDescent="0.25">
      <c r="A4310" t="str">
        <f t="shared" si="89"/>
        <v/>
      </c>
    </row>
    <row r="4311" spans="1:1" x14ac:dyDescent="0.25">
      <c r="A4311" t="str">
        <f t="shared" si="89"/>
        <v/>
      </c>
    </row>
    <row r="4312" spans="1:1" x14ac:dyDescent="0.25">
      <c r="A4312" t="str">
        <f t="shared" si="89"/>
        <v/>
      </c>
    </row>
    <row r="4313" spans="1:1" x14ac:dyDescent="0.25">
      <c r="A4313" t="str">
        <f t="shared" si="89"/>
        <v/>
      </c>
    </row>
    <row r="4314" spans="1:1" x14ac:dyDescent="0.25">
      <c r="A4314" t="str">
        <f t="shared" si="89"/>
        <v/>
      </c>
    </row>
    <row r="4315" spans="1:1" x14ac:dyDescent="0.25">
      <c r="A4315" t="str">
        <f t="shared" si="89"/>
        <v/>
      </c>
    </row>
    <row r="4316" spans="1:1" x14ac:dyDescent="0.25">
      <c r="A4316" t="str">
        <f t="shared" si="89"/>
        <v/>
      </c>
    </row>
    <row r="4317" spans="1:1" x14ac:dyDescent="0.25">
      <c r="A4317" t="str">
        <f t="shared" si="89"/>
        <v/>
      </c>
    </row>
    <row r="4318" spans="1:1" x14ac:dyDescent="0.25">
      <c r="A4318" t="str">
        <f t="shared" si="89"/>
        <v/>
      </c>
    </row>
    <row r="4319" spans="1:1" x14ac:dyDescent="0.25">
      <c r="A4319" t="str">
        <f t="shared" si="89"/>
        <v/>
      </c>
    </row>
    <row r="4320" spans="1:1" x14ac:dyDescent="0.25">
      <c r="A4320" t="str">
        <f t="shared" si="89"/>
        <v/>
      </c>
    </row>
    <row r="4321" spans="1:1" x14ac:dyDescent="0.25">
      <c r="A4321" t="str">
        <f t="shared" si="89"/>
        <v/>
      </c>
    </row>
    <row r="4322" spans="1:1" x14ac:dyDescent="0.25">
      <c r="A4322" t="str">
        <f t="shared" si="89"/>
        <v/>
      </c>
    </row>
    <row r="4323" spans="1:1" x14ac:dyDescent="0.25">
      <c r="A4323" t="str">
        <f t="shared" si="89"/>
        <v/>
      </c>
    </row>
    <row r="4324" spans="1:1" x14ac:dyDescent="0.25">
      <c r="A4324" t="str">
        <f t="shared" si="89"/>
        <v/>
      </c>
    </row>
    <row r="4325" spans="1:1" x14ac:dyDescent="0.25">
      <c r="A4325" t="str">
        <f t="shared" si="89"/>
        <v/>
      </c>
    </row>
    <row r="4326" spans="1:1" x14ac:dyDescent="0.25">
      <c r="A4326" t="str">
        <f t="shared" si="89"/>
        <v/>
      </c>
    </row>
    <row r="4327" spans="1:1" x14ac:dyDescent="0.25">
      <c r="A4327" t="str">
        <f t="shared" si="89"/>
        <v/>
      </c>
    </row>
    <row r="4328" spans="1:1" x14ac:dyDescent="0.25">
      <c r="A4328" t="str">
        <f t="shared" si="89"/>
        <v/>
      </c>
    </row>
    <row r="4329" spans="1:1" x14ac:dyDescent="0.25">
      <c r="A4329" t="str">
        <f t="shared" si="89"/>
        <v/>
      </c>
    </row>
    <row r="4330" spans="1:1" x14ac:dyDescent="0.25">
      <c r="A4330" t="str">
        <f t="shared" si="89"/>
        <v/>
      </c>
    </row>
    <row r="4331" spans="1:1" x14ac:dyDescent="0.25">
      <c r="A4331" t="str">
        <f t="shared" si="89"/>
        <v/>
      </c>
    </row>
    <row r="4332" spans="1:1" x14ac:dyDescent="0.25">
      <c r="A4332" t="str">
        <f t="shared" si="89"/>
        <v/>
      </c>
    </row>
    <row r="4333" spans="1:1" x14ac:dyDescent="0.25">
      <c r="A4333" t="str">
        <f t="shared" si="89"/>
        <v/>
      </c>
    </row>
    <row r="4334" spans="1:1" x14ac:dyDescent="0.25">
      <c r="A4334" t="str">
        <f t="shared" si="89"/>
        <v/>
      </c>
    </row>
    <row r="4335" spans="1:1" x14ac:dyDescent="0.25">
      <c r="A4335" t="str">
        <f t="shared" si="89"/>
        <v/>
      </c>
    </row>
    <row r="4336" spans="1:1" x14ac:dyDescent="0.25">
      <c r="A4336" t="str">
        <f t="shared" si="89"/>
        <v/>
      </c>
    </row>
    <row r="4337" spans="1:1" x14ac:dyDescent="0.25">
      <c r="A4337" t="str">
        <f t="shared" si="89"/>
        <v/>
      </c>
    </row>
    <row r="4338" spans="1:1" x14ac:dyDescent="0.25">
      <c r="A4338" t="str">
        <f t="shared" si="89"/>
        <v/>
      </c>
    </row>
    <row r="4339" spans="1:1" x14ac:dyDescent="0.25">
      <c r="A4339" t="str">
        <f t="shared" si="89"/>
        <v/>
      </c>
    </row>
    <row r="4340" spans="1:1" x14ac:dyDescent="0.25">
      <c r="A4340" t="str">
        <f t="shared" si="89"/>
        <v/>
      </c>
    </row>
    <row r="4341" spans="1:1" x14ac:dyDescent="0.25">
      <c r="A4341" t="str">
        <f t="shared" si="89"/>
        <v/>
      </c>
    </row>
    <row r="4342" spans="1:1" x14ac:dyDescent="0.25">
      <c r="A4342" t="str">
        <f t="shared" si="89"/>
        <v/>
      </c>
    </row>
    <row r="4343" spans="1:1" x14ac:dyDescent="0.25">
      <c r="A4343" t="str">
        <f t="shared" si="89"/>
        <v/>
      </c>
    </row>
    <row r="4344" spans="1:1" x14ac:dyDescent="0.25">
      <c r="A4344" t="str">
        <f t="shared" si="89"/>
        <v/>
      </c>
    </row>
    <row r="4345" spans="1:1" x14ac:dyDescent="0.25">
      <c r="A4345" t="str">
        <f t="shared" si="89"/>
        <v/>
      </c>
    </row>
    <row r="4346" spans="1:1" x14ac:dyDescent="0.25">
      <c r="A4346" t="str">
        <f t="shared" si="89"/>
        <v/>
      </c>
    </row>
    <row r="4347" spans="1:1" x14ac:dyDescent="0.25">
      <c r="A4347" t="str">
        <f t="shared" si="89"/>
        <v/>
      </c>
    </row>
    <row r="4348" spans="1:1" x14ac:dyDescent="0.25">
      <c r="A4348" t="str">
        <f t="shared" si="89"/>
        <v/>
      </c>
    </row>
    <row r="4349" spans="1:1" x14ac:dyDescent="0.25">
      <c r="A4349" t="str">
        <f t="shared" si="89"/>
        <v/>
      </c>
    </row>
    <row r="4350" spans="1:1" x14ac:dyDescent="0.25">
      <c r="A4350" t="str">
        <f t="shared" si="89"/>
        <v/>
      </c>
    </row>
    <row r="4351" spans="1:1" x14ac:dyDescent="0.25">
      <c r="A4351" t="str">
        <f t="shared" si="89"/>
        <v/>
      </c>
    </row>
    <row r="4352" spans="1:1" x14ac:dyDescent="0.25">
      <c r="A4352" t="str">
        <f t="shared" si="89"/>
        <v/>
      </c>
    </row>
    <row r="4353" spans="1:1" x14ac:dyDescent="0.25">
      <c r="A4353" t="str">
        <f t="shared" ref="A4353:A4416" si="90">E4353&amp;C4353&amp;D4353</f>
        <v/>
      </c>
    </row>
    <row r="4354" spans="1:1" x14ac:dyDescent="0.25">
      <c r="A4354" t="str">
        <f t="shared" si="90"/>
        <v/>
      </c>
    </row>
    <row r="4355" spans="1:1" x14ac:dyDescent="0.25">
      <c r="A4355" t="str">
        <f t="shared" si="90"/>
        <v/>
      </c>
    </row>
    <row r="4356" spans="1:1" x14ac:dyDescent="0.25">
      <c r="A4356" t="str">
        <f t="shared" si="90"/>
        <v/>
      </c>
    </row>
    <row r="4357" spans="1:1" x14ac:dyDescent="0.25">
      <c r="A4357" t="str">
        <f t="shared" si="90"/>
        <v/>
      </c>
    </row>
    <row r="4358" spans="1:1" x14ac:dyDescent="0.25">
      <c r="A4358" t="str">
        <f t="shared" si="90"/>
        <v/>
      </c>
    </row>
    <row r="4359" spans="1:1" x14ac:dyDescent="0.25">
      <c r="A4359" t="str">
        <f t="shared" si="90"/>
        <v/>
      </c>
    </row>
    <row r="4360" spans="1:1" x14ac:dyDescent="0.25">
      <c r="A4360" t="str">
        <f t="shared" si="90"/>
        <v/>
      </c>
    </row>
    <row r="4361" spans="1:1" x14ac:dyDescent="0.25">
      <c r="A4361" t="str">
        <f t="shared" si="90"/>
        <v/>
      </c>
    </row>
    <row r="4362" spans="1:1" x14ac:dyDescent="0.25">
      <c r="A4362" t="str">
        <f t="shared" si="90"/>
        <v/>
      </c>
    </row>
    <row r="4363" spans="1:1" x14ac:dyDescent="0.25">
      <c r="A4363" t="str">
        <f t="shared" si="90"/>
        <v/>
      </c>
    </row>
    <row r="4364" spans="1:1" x14ac:dyDescent="0.25">
      <c r="A4364" t="str">
        <f t="shared" si="90"/>
        <v/>
      </c>
    </row>
    <row r="4365" spans="1:1" x14ac:dyDescent="0.25">
      <c r="A4365" t="str">
        <f t="shared" si="90"/>
        <v/>
      </c>
    </row>
    <row r="4366" spans="1:1" x14ac:dyDescent="0.25">
      <c r="A4366" t="str">
        <f t="shared" si="90"/>
        <v/>
      </c>
    </row>
    <row r="4367" spans="1:1" x14ac:dyDescent="0.25">
      <c r="A4367" t="str">
        <f t="shared" si="90"/>
        <v/>
      </c>
    </row>
    <row r="4368" spans="1:1" x14ac:dyDescent="0.25">
      <c r="A4368" t="str">
        <f t="shared" si="90"/>
        <v/>
      </c>
    </row>
    <row r="4369" spans="1:1" x14ac:dyDescent="0.25">
      <c r="A4369" t="str">
        <f t="shared" si="90"/>
        <v/>
      </c>
    </row>
    <row r="4370" spans="1:1" x14ac:dyDescent="0.25">
      <c r="A4370" t="str">
        <f t="shared" si="90"/>
        <v/>
      </c>
    </row>
    <row r="4371" spans="1:1" x14ac:dyDescent="0.25">
      <c r="A4371" t="str">
        <f t="shared" si="90"/>
        <v/>
      </c>
    </row>
    <row r="4372" spans="1:1" x14ac:dyDescent="0.25">
      <c r="A4372" t="str">
        <f t="shared" si="90"/>
        <v/>
      </c>
    </row>
    <row r="4373" spans="1:1" x14ac:dyDescent="0.25">
      <c r="A4373" t="str">
        <f t="shared" si="90"/>
        <v/>
      </c>
    </row>
    <row r="4374" spans="1:1" x14ac:dyDescent="0.25">
      <c r="A4374" t="str">
        <f t="shared" si="90"/>
        <v/>
      </c>
    </row>
    <row r="4375" spans="1:1" x14ac:dyDescent="0.25">
      <c r="A4375" t="str">
        <f t="shared" si="90"/>
        <v/>
      </c>
    </row>
    <row r="4376" spans="1:1" x14ac:dyDescent="0.25">
      <c r="A4376" t="str">
        <f t="shared" si="90"/>
        <v/>
      </c>
    </row>
    <row r="4377" spans="1:1" x14ac:dyDescent="0.25">
      <c r="A4377" t="str">
        <f t="shared" si="90"/>
        <v/>
      </c>
    </row>
    <row r="4378" spans="1:1" x14ac:dyDescent="0.25">
      <c r="A4378" t="str">
        <f t="shared" si="90"/>
        <v/>
      </c>
    </row>
    <row r="4379" spans="1:1" x14ac:dyDescent="0.25">
      <c r="A4379" t="str">
        <f t="shared" si="90"/>
        <v/>
      </c>
    </row>
    <row r="4380" spans="1:1" x14ac:dyDescent="0.25">
      <c r="A4380" t="str">
        <f t="shared" si="90"/>
        <v/>
      </c>
    </row>
    <row r="4381" spans="1:1" x14ac:dyDescent="0.25">
      <c r="A4381" t="str">
        <f t="shared" si="90"/>
        <v/>
      </c>
    </row>
    <row r="4382" spans="1:1" x14ac:dyDescent="0.25">
      <c r="A4382" t="str">
        <f t="shared" si="90"/>
        <v/>
      </c>
    </row>
    <row r="4383" spans="1:1" x14ac:dyDescent="0.25">
      <c r="A4383" t="str">
        <f t="shared" si="90"/>
        <v/>
      </c>
    </row>
    <row r="4384" spans="1:1" x14ac:dyDescent="0.25">
      <c r="A4384" t="str">
        <f t="shared" si="90"/>
        <v/>
      </c>
    </row>
    <row r="4385" spans="1:1" x14ac:dyDescent="0.25">
      <c r="A4385" t="str">
        <f t="shared" si="90"/>
        <v/>
      </c>
    </row>
    <row r="4386" spans="1:1" x14ac:dyDescent="0.25">
      <c r="A4386" t="str">
        <f t="shared" si="90"/>
        <v/>
      </c>
    </row>
    <row r="4387" spans="1:1" x14ac:dyDescent="0.25">
      <c r="A4387" t="str">
        <f t="shared" si="90"/>
        <v/>
      </c>
    </row>
    <row r="4388" spans="1:1" x14ac:dyDescent="0.25">
      <c r="A4388" t="str">
        <f t="shared" si="90"/>
        <v/>
      </c>
    </row>
    <row r="4389" spans="1:1" x14ac:dyDescent="0.25">
      <c r="A4389" t="str">
        <f t="shared" si="90"/>
        <v/>
      </c>
    </row>
    <row r="4390" spans="1:1" x14ac:dyDescent="0.25">
      <c r="A4390" t="str">
        <f t="shared" si="90"/>
        <v/>
      </c>
    </row>
    <row r="4391" spans="1:1" x14ac:dyDescent="0.25">
      <c r="A4391" t="str">
        <f t="shared" si="90"/>
        <v/>
      </c>
    </row>
    <row r="4392" spans="1:1" x14ac:dyDescent="0.25">
      <c r="A4392" t="str">
        <f t="shared" si="90"/>
        <v/>
      </c>
    </row>
    <row r="4393" spans="1:1" x14ac:dyDescent="0.25">
      <c r="A4393" t="str">
        <f t="shared" si="90"/>
        <v/>
      </c>
    </row>
    <row r="4394" spans="1:1" x14ac:dyDescent="0.25">
      <c r="A4394" t="str">
        <f t="shared" si="90"/>
        <v/>
      </c>
    </row>
    <row r="4395" spans="1:1" x14ac:dyDescent="0.25">
      <c r="A4395" t="str">
        <f t="shared" si="90"/>
        <v/>
      </c>
    </row>
    <row r="4396" spans="1:1" x14ac:dyDescent="0.25">
      <c r="A4396" t="str">
        <f t="shared" si="90"/>
        <v/>
      </c>
    </row>
    <row r="4397" spans="1:1" x14ac:dyDescent="0.25">
      <c r="A4397" t="str">
        <f t="shared" si="90"/>
        <v/>
      </c>
    </row>
    <row r="4398" spans="1:1" x14ac:dyDescent="0.25">
      <c r="A4398" t="str">
        <f t="shared" si="90"/>
        <v/>
      </c>
    </row>
    <row r="4399" spans="1:1" x14ac:dyDescent="0.25">
      <c r="A4399" t="str">
        <f t="shared" si="90"/>
        <v/>
      </c>
    </row>
    <row r="4400" spans="1:1" x14ac:dyDescent="0.25">
      <c r="A4400" t="str">
        <f t="shared" si="90"/>
        <v/>
      </c>
    </row>
    <row r="4401" spans="1:1" x14ac:dyDescent="0.25">
      <c r="A4401" t="str">
        <f t="shared" si="90"/>
        <v/>
      </c>
    </row>
    <row r="4402" spans="1:1" x14ac:dyDescent="0.25">
      <c r="A4402" t="str">
        <f t="shared" si="90"/>
        <v/>
      </c>
    </row>
    <row r="4403" spans="1:1" x14ac:dyDescent="0.25">
      <c r="A4403" t="str">
        <f t="shared" si="90"/>
        <v/>
      </c>
    </row>
    <row r="4404" spans="1:1" x14ac:dyDescent="0.25">
      <c r="A4404" t="str">
        <f t="shared" si="90"/>
        <v/>
      </c>
    </row>
    <row r="4405" spans="1:1" x14ac:dyDescent="0.25">
      <c r="A4405" t="str">
        <f t="shared" si="90"/>
        <v/>
      </c>
    </row>
    <row r="4406" spans="1:1" x14ac:dyDescent="0.25">
      <c r="A4406" t="str">
        <f t="shared" si="90"/>
        <v/>
      </c>
    </row>
    <row r="4407" spans="1:1" x14ac:dyDescent="0.25">
      <c r="A4407" t="str">
        <f t="shared" si="90"/>
        <v/>
      </c>
    </row>
    <row r="4408" spans="1:1" x14ac:dyDescent="0.25">
      <c r="A4408" t="str">
        <f t="shared" si="90"/>
        <v/>
      </c>
    </row>
    <row r="4409" spans="1:1" x14ac:dyDescent="0.25">
      <c r="A4409" t="str">
        <f t="shared" si="90"/>
        <v/>
      </c>
    </row>
    <row r="4410" spans="1:1" x14ac:dyDescent="0.25">
      <c r="A4410" t="str">
        <f t="shared" si="90"/>
        <v/>
      </c>
    </row>
    <row r="4411" spans="1:1" x14ac:dyDescent="0.25">
      <c r="A4411" t="str">
        <f t="shared" si="90"/>
        <v/>
      </c>
    </row>
    <row r="4412" spans="1:1" x14ac:dyDescent="0.25">
      <c r="A4412" t="str">
        <f t="shared" si="90"/>
        <v/>
      </c>
    </row>
    <row r="4413" spans="1:1" x14ac:dyDescent="0.25">
      <c r="A4413" t="str">
        <f t="shared" si="90"/>
        <v/>
      </c>
    </row>
    <row r="4414" spans="1:1" x14ac:dyDescent="0.25">
      <c r="A4414" t="str">
        <f t="shared" si="90"/>
        <v/>
      </c>
    </row>
    <row r="4415" spans="1:1" x14ac:dyDescent="0.25">
      <c r="A4415" t="str">
        <f t="shared" si="90"/>
        <v/>
      </c>
    </row>
    <row r="4416" spans="1:1" x14ac:dyDescent="0.25">
      <c r="A4416" t="str">
        <f t="shared" si="90"/>
        <v/>
      </c>
    </row>
    <row r="4417" spans="1:1" x14ac:dyDescent="0.25">
      <c r="A4417" t="str">
        <f t="shared" ref="A4417:A4480" si="91">E4417&amp;C4417&amp;D4417</f>
        <v/>
      </c>
    </row>
    <row r="4418" spans="1:1" x14ac:dyDescent="0.25">
      <c r="A4418" t="str">
        <f t="shared" si="91"/>
        <v/>
      </c>
    </row>
    <row r="4419" spans="1:1" x14ac:dyDescent="0.25">
      <c r="A4419" t="str">
        <f t="shared" si="91"/>
        <v/>
      </c>
    </row>
    <row r="4420" spans="1:1" x14ac:dyDescent="0.25">
      <c r="A4420" t="str">
        <f t="shared" si="91"/>
        <v/>
      </c>
    </row>
    <row r="4421" spans="1:1" x14ac:dyDescent="0.25">
      <c r="A4421" t="str">
        <f t="shared" si="91"/>
        <v/>
      </c>
    </row>
    <row r="4422" spans="1:1" x14ac:dyDescent="0.25">
      <c r="A4422" t="str">
        <f t="shared" si="91"/>
        <v/>
      </c>
    </row>
    <row r="4423" spans="1:1" x14ac:dyDescent="0.25">
      <c r="A4423" t="str">
        <f t="shared" si="91"/>
        <v/>
      </c>
    </row>
    <row r="4424" spans="1:1" x14ac:dyDescent="0.25">
      <c r="A4424" t="str">
        <f t="shared" si="91"/>
        <v/>
      </c>
    </row>
    <row r="4425" spans="1:1" x14ac:dyDescent="0.25">
      <c r="A4425" t="str">
        <f t="shared" si="91"/>
        <v/>
      </c>
    </row>
    <row r="4426" spans="1:1" x14ac:dyDescent="0.25">
      <c r="A4426" t="str">
        <f t="shared" si="91"/>
        <v/>
      </c>
    </row>
    <row r="4427" spans="1:1" x14ac:dyDescent="0.25">
      <c r="A4427" t="str">
        <f t="shared" si="91"/>
        <v/>
      </c>
    </row>
    <row r="4428" spans="1:1" x14ac:dyDescent="0.25">
      <c r="A4428" t="str">
        <f t="shared" si="91"/>
        <v/>
      </c>
    </row>
    <row r="4429" spans="1:1" x14ac:dyDescent="0.25">
      <c r="A4429" t="str">
        <f t="shared" si="91"/>
        <v/>
      </c>
    </row>
    <row r="4430" spans="1:1" x14ac:dyDescent="0.25">
      <c r="A4430" t="str">
        <f t="shared" si="91"/>
        <v/>
      </c>
    </row>
    <row r="4431" spans="1:1" x14ac:dyDescent="0.25">
      <c r="A4431" t="str">
        <f t="shared" si="91"/>
        <v/>
      </c>
    </row>
    <row r="4432" spans="1:1" x14ac:dyDescent="0.25">
      <c r="A4432" t="str">
        <f t="shared" si="91"/>
        <v/>
      </c>
    </row>
    <row r="4433" spans="1:1" x14ac:dyDescent="0.25">
      <c r="A4433" t="str">
        <f t="shared" si="91"/>
        <v/>
      </c>
    </row>
    <row r="4434" spans="1:1" x14ac:dyDescent="0.25">
      <c r="A4434" t="str">
        <f t="shared" si="91"/>
        <v/>
      </c>
    </row>
    <row r="4435" spans="1:1" x14ac:dyDescent="0.25">
      <c r="A4435" t="str">
        <f t="shared" si="91"/>
        <v/>
      </c>
    </row>
    <row r="4436" spans="1:1" x14ac:dyDescent="0.25">
      <c r="A4436" t="str">
        <f t="shared" si="91"/>
        <v/>
      </c>
    </row>
    <row r="4437" spans="1:1" x14ac:dyDescent="0.25">
      <c r="A4437" t="str">
        <f t="shared" si="91"/>
        <v/>
      </c>
    </row>
    <row r="4438" spans="1:1" x14ac:dyDescent="0.25">
      <c r="A4438" t="str">
        <f t="shared" si="91"/>
        <v/>
      </c>
    </row>
    <row r="4439" spans="1:1" x14ac:dyDescent="0.25">
      <c r="A4439" t="str">
        <f t="shared" si="91"/>
        <v/>
      </c>
    </row>
    <row r="4440" spans="1:1" x14ac:dyDescent="0.25">
      <c r="A4440" t="str">
        <f t="shared" si="91"/>
        <v/>
      </c>
    </row>
    <row r="4441" spans="1:1" x14ac:dyDescent="0.25">
      <c r="A4441" t="str">
        <f t="shared" si="91"/>
        <v/>
      </c>
    </row>
    <row r="4442" spans="1:1" x14ac:dyDescent="0.25">
      <c r="A4442" t="str">
        <f t="shared" si="91"/>
        <v/>
      </c>
    </row>
    <row r="4443" spans="1:1" x14ac:dyDescent="0.25">
      <c r="A4443" t="str">
        <f t="shared" si="91"/>
        <v/>
      </c>
    </row>
    <row r="4444" spans="1:1" x14ac:dyDescent="0.25">
      <c r="A4444" t="str">
        <f t="shared" si="91"/>
        <v/>
      </c>
    </row>
    <row r="4445" spans="1:1" x14ac:dyDescent="0.25">
      <c r="A4445" t="str">
        <f t="shared" si="91"/>
        <v/>
      </c>
    </row>
    <row r="4446" spans="1:1" x14ac:dyDescent="0.25">
      <c r="A4446" t="str">
        <f t="shared" si="91"/>
        <v/>
      </c>
    </row>
    <row r="4447" spans="1:1" x14ac:dyDescent="0.25">
      <c r="A4447" t="str">
        <f t="shared" si="91"/>
        <v/>
      </c>
    </row>
    <row r="4448" spans="1:1" x14ac:dyDescent="0.25">
      <c r="A4448" t="str">
        <f t="shared" si="91"/>
        <v/>
      </c>
    </row>
    <row r="4449" spans="1:1" x14ac:dyDescent="0.25">
      <c r="A4449" t="str">
        <f t="shared" si="91"/>
        <v/>
      </c>
    </row>
    <row r="4450" spans="1:1" x14ac:dyDescent="0.25">
      <c r="A4450" t="str">
        <f t="shared" si="91"/>
        <v/>
      </c>
    </row>
    <row r="4451" spans="1:1" x14ac:dyDescent="0.25">
      <c r="A4451" t="str">
        <f t="shared" si="91"/>
        <v/>
      </c>
    </row>
    <row r="4452" spans="1:1" x14ac:dyDescent="0.25">
      <c r="A4452" t="str">
        <f t="shared" si="91"/>
        <v/>
      </c>
    </row>
    <row r="4453" spans="1:1" x14ac:dyDescent="0.25">
      <c r="A4453" t="str">
        <f t="shared" si="91"/>
        <v/>
      </c>
    </row>
    <row r="4454" spans="1:1" x14ac:dyDescent="0.25">
      <c r="A4454" t="str">
        <f t="shared" si="91"/>
        <v/>
      </c>
    </row>
    <row r="4455" spans="1:1" x14ac:dyDescent="0.25">
      <c r="A4455" t="str">
        <f t="shared" si="91"/>
        <v/>
      </c>
    </row>
    <row r="4456" spans="1:1" x14ac:dyDescent="0.25">
      <c r="A4456" t="str">
        <f t="shared" si="91"/>
        <v/>
      </c>
    </row>
    <row r="4457" spans="1:1" x14ac:dyDescent="0.25">
      <c r="A4457" t="str">
        <f t="shared" si="91"/>
        <v/>
      </c>
    </row>
    <row r="4458" spans="1:1" x14ac:dyDescent="0.25">
      <c r="A4458" t="str">
        <f t="shared" si="91"/>
        <v/>
      </c>
    </row>
    <row r="4459" spans="1:1" x14ac:dyDescent="0.25">
      <c r="A4459" t="str">
        <f t="shared" si="91"/>
        <v/>
      </c>
    </row>
    <row r="4460" spans="1:1" x14ac:dyDescent="0.25">
      <c r="A4460" t="str">
        <f t="shared" si="91"/>
        <v/>
      </c>
    </row>
    <row r="4461" spans="1:1" x14ac:dyDescent="0.25">
      <c r="A4461" t="str">
        <f t="shared" si="91"/>
        <v/>
      </c>
    </row>
    <row r="4462" spans="1:1" x14ac:dyDescent="0.25">
      <c r="A4462" t="str">
        <f t="shared" si="91"/>
        <v/>
      </c>
    </row>
    <row r="4463" spans="1:1" x14ac:dyDescent="0.25">
      <c r="A4463" t="str">
        <f t="shared" si="91"/>
        <v/>
      </c>
    </row>
    <row r="4464" spans="1:1" x14ac:dyDescent="0.25">
      <c r="A4464" t="str">
        <f t="shared" si="91"/>
        <v/>
      </c>
    </row>
    <row r="4465" spans="1:1" x14ac:dyDescent="0.25">
      <c r="A4465" t="str">
        <f t="shared" si="91"/>
        <v/>
      </c>
    </row>
    <row r="4466" spans="1:1" x14ac:dyDescent="0.25">
      <c r="A4466" t="str">
        <f t="shared" si="91"/>
        <v/>
      </c>
    </row>
    <row r="4467" spans="1:1" x14ac:dyDescent="0.25">
      <c r="A4467" t="str">
        <f t="shared" si="91"/>
        <v/>
      </c>
    </row>
    <row r="4468" spans="1:1" x14ac:dyDescent="0.25">
      <c r="A4468" t="str">
        <f t="shared" si="91"/>
        <v/>
      </c>
    </row>
    <row r="4469" spans="1:1" x14ac:dyDescent="0.25">
      <c r="A4469" t="str">
        <f t="shared" si="91"/>
        <v/>
      </c>
    </row>
    <row r="4470" spans="1:1" x14ac:dyDescent="0.25">
      <c r="A4470" t="str">
        <f t="shared" si="91"/>
        <v/>
      </c>
    </row>
    <row r="4471" spans="1:1" x14ac:dyDescent="0.25">
      <c r="A4471" t="str">
        <f t="shared" si="91"/>
        <v/>
      </c>
    </row>
    <row r="4472" spans="1:1" x14ac:dyDescent="0.25">
      <c r="A4472" t="str">
        <f t="shared" si="91"/>
        <v/>
      </c>
    </row>
    <row r="4473" spans="1:1" x14ac:dyDescent="0.25">
      <c r="A4473" t="str">
        <f t="shared" si="91"/>
        <v/>
      </c>
    </row>
    <row r="4474" spans="1:1" x14ac:dyDescent="0.25">
      <c r="A4474" t="str">
        <f t="shared" si="91"/>
        <v/>
      </c>
    </row>
    <row r="4475" spans="1:1" x14ac:dyDescent="0.25">
      <c r="A4475" t="str">
        <f t="shared" si="91"/>
        <v/>
      </c>
    </row>
    <row r="4476" spans="1:1" x14ac:dyDescent="0.25">
      <c r="A4476" t="str">
        <f t="shared" si="91"/>
        <v/>
      </c>
    </row>
    <row r="4477" spans="1:1" x14ac:dyDescent="0.25">
      <c r="A4477" t="str">
        <f t="shared" si="91"/>
        <v/>
      </c>
    </row>
    <row r="4478" spans="1:1" x14ac:dyDescent="0.25">
      <c r="A4478" t="str">
        <f t="shared" si="91"/>
        <v/>
      </c>
    </row>
    <row r="4479" spans="1:1" x14ac:dyDescent="0.25">
      <c r="A4479" t="str">
        <f t="shared" si="91"/>
        <v/>
      </c>
    </row>
    <row r="4480" spans="1:1" x14ac:dyDescent="0.25">
      <c r="A4480" t="str">
        <f t="shared" si="91"/>
        <v/>
      </c>
    </row>
    <row r="4481" spans="1:1" x14ac:dyDescent="0.25">
      <c r="A4481" t="str">
        <f t="shared" ref="A4481:A4544" si="92">E4481&amp;C4481&amp;D4481</f>
        <v/>
      </c>
    </row>
    <row r="4482" spans="1:1" x14ac:dyDescent="0.25">
      <c r="A4482" t="str">
        <f t="shared" si="92"/>
        <v/>
      </c>
    </row>
    <row r="4483" spans="1:1" x14ac:dyDescent="0.25">
      <c r="A4483" t="str">
        <f t="shared" si="92"/>
        <v/>
      </c>
    </row>
    <row r="4484" spans="1:1" x14ac:dyDescent="0.25">
      <c r="A4484" t="str">
        <f t="shared" si="92"/>
        <v/>
      </c>
    </row>
    <row r="4485" spans="1:1" x14ac:dyDescent="0.25">
      <c r="A4485" t="str">
        <f t="shared" si="92"/>
        <v/>
      </c>
    </row>
    <row r="4486" spans="1:1" x14ac:dyDescent="0.25">
      <c r="A4486" t="str">
        <f t="shared" si="92"/>
        <v/>
      </c>
    </row>
    <row r="4487" spans="1:1" x14ac:dyDescent="0.25">
      <c r="A4487" t="str">
        <f t="shared" si="92"/>
        <v/>
      </c>
    </row>
    <row r="4488" spans="1:1" x14ac:dyDescent="0.25">
      <c r="A4488" t="str">
        <f t="shared" si="92"/>
        <v/>
      </c>
    </row>
    <row r="4489" spans="1:1" x14ac:dyDescent="0.25">
      <c r="A4489" t="str">
        <f t="shared" si="92"/>
        <v/>
      </c>
    </row>
    <row r="4490" spans="1:1" x14ac:dyDescent="0.25">
      <c r="A4490" t="str">
        <f t="shared" si="92"/>
        <v/>
      </c>
    </row>
    <row r="4491" spans="1:1" x14ac:dyDescent="0.25">
      <c r="A4491" t="str">
        <f t="shared" si="92"/>
        <v/>
      </c>
    </row>
    <row r="4492" spans="1:1" x14ac:dyDescent="0.25">
      <c r="A4492" t="str">
        <f t="shared" si="92"/>
        <v/>
      </c>
    </row>
    <row r="4493" spans="1:1" x14ac:dyDescent="0.25">
      <c r="A4493" t="str">
        <f t="shared" si="92"/>
        <v/>
      </c>
    </row>
    <row r="4494" spans="1:1" x14ac:dyDescent="0.25">
      <c r="A4494" t="str">
        <f t="shared" si="92"/>
        <v/>
      </c>
    </row>
    <row r="4495" spans="1:1" x14ac:dyDescent="0.25">
      <c r="A4495" t="str">
        <f t="shared" si="92"/>
        <v/>
      </c>
    </row>
    <row r="4496" spans="1:1" x14ac:dyDescent="0.25">
      <c r="A4496" t="str">
        <f t="shared" si="92"/>
        <v/>
      </c>
    </row>
    <row r="4497" spans="1:1" x14ac:dyDescent="0.25">
      <c r="A4497" t="str">
        <f t="shared" si="92"/>
        <v/>
      </c>
    </row>
    <row r="4498" spans="1:1" x14ac:dyDescent="0.25">
      <c r="A4498" t="str">
        <f t="shared" si="92"/>
        <v/>
      </c>
    </row>
    <row r="4499" spans="1:1" x14ac:dyDescent="0.25">
      <c r="A4499" t="str">
        <f t="shared" si="92"/>
        <v/>
      </c>
    </row>
    <row r="4500" spans="1:1" x14ac:dyDescent="0.25">
      <c r="A4500" t="str">
        <f t="shared" si="92"/>
        <v/>
      </c>
    </row>
    <row r="4501" spans="1:1" x14ac:dyDescent="0.25">
      <c r="A4501" t="str">
        <f t="shared" si="92"/>
        <v/>
      </c>
    </row>
    <row r="4502" spans="1:1" x14ac:dyDescent="0.25">
      <c r="A4502" t="str">
        <f t="shared" si="92"/>
        <v/>
      </c>
    </row>
    <row r="4503" spans="1:1" x14ac:dyDescent="0.25">
      <c r="A4503" t="str">
        <f t="shared" si="92"/>
        <v/>
      </c>
    </row>
    <row r="4504" spans="1:1" x14ac:dyDescent="0.25">
      <c r="A4504" t="str">
        <f t="shared" si="92"/>
        <v/>
      </c>
    </row>
    <row r="4505" spans="1:1" x14ac:dyDescent="0.25">
      <c r="A4505" t="str">
        <f t="shared" si="92"/>
        <v/>
      </c>
    </row>
    <row r="4506" spans="1:1" x14ac:dyDescent="0.25">
      <c r="A4506" t="str">
        <f t="shared" si="92"/>
        <v/>
      </c>
    </row>
    <row r="4507" spans="1:1" x14ac:dyDescent="0.25">
      <c r="A4507" t="str">
        <f t="shared" si="92"/>
        <v/>
      </c>
    </row>
    <row r="4508" spans="1:1" x14ac:dyDescent="0.25">
      <c r="A4508" t="str">
        <f t="shared" si="92"/>
        <v/>
      </c>
    </row>
    <row r="4509" spans="1:1" x14ac:dyDescent="0.25">
      <c r="A4509" t="str">
        <f t="shared" si="92"/>
        <v/>
      </c>
    </row>
    <row r="4510" spans="1:1" x14ac:dyDescent="0.25">
      <c r="A4510" t="str">
        <f t="shared" si="92"/>
        <v/>
      </c>
    </row>
    <row r="4511" spans="1:1" x14ac:dyDescent="0.25">
      <c r="A4511" t="str">
        <f t="shared" si="92"/>
        <v/>
      </c>
    </row>
    <row r="4512" spans="1:1" x14ac:dyDescent="0.25">
      <c r="A4512" t="str">
        <f t="shared" si="92"/>
        <v/>
      </c>
    </row>
    <row r="4513" spans="1:1" x14ac:dyDescent="0.25">
      <c r="A4513" t="str">
        <f t="shared" si="92"/>
        <v/>
      </c>
    </row>
    <row r="4514" spans="1:1" x14ac:dyDescent="0.25">
      <c r="A4514" t="str">
        <f t="shared" si="92"/>
        <v/>
      </c>
    </row>
    <row r="4515" spans="1:1" x14ac:dyDescent="0.25">
      <c r="A4515" t="str">
        <f t="shared" si="92"/>
        <v/>
      </c>
    </row>
    <row r="4516" spans="1:1" x14ac:dyDescent="0.25">
      <c r="A4516" t="str">
        <f t="shared" si="92"/>
        <v/>
      </c>
    </row>
    <row r="4517" spans="1:1" x14ac:dyDescent="0.25">
      <c r="A4517" t="str">
        <f t="shared" si="92"/>
        <v/>
      </c>
    </row>
    <row r="4518" spans="1:1" x14ac:dyDescent="0.25">
      <c r="A4518" t="str">
        <f t="shared" si="92"/>
        <v/>
      </c>
    </row>
    <row r="4519" spans="1:1" x14ac:dyDescent="0.25">
      <c r="A4519" t="str">
        <f t="shared" si="92"/>
        <v/>
      </c>
    </row>
    <row r="4520" spans="1:1" x14ac:dyDescent="0.25">
      <c r="A4520" t="str">
        <f t="shared" si="92"/>
        <v/>
      </c>
    </row>
    <row r="4521" spans="1:1" x14ac:dyDescent="0.25">
      <c r="A4521" t="str">
        <f t="shared" si="92"/>
        <v/>
      </c>
    </row>
    <row r="4522" spans="1:1" x14ac:dyDescent="0.25">
      <c r="A4522" t="str">
        <f t="shared" si="92"/>
        <v/>
      </c>
    </row>
    <row r="4523" spans="1:1" x14ac:dyDescent="0.25">
      <c r="A4523" t="str">
        <f t="shared" si="92"/>
        <v/>
      </c>
    </row>
    <row r="4524" spans="1:1" x14ac:dyDescent="0.25">
      <c r="A4524" t="str">
        <f t="shared" si="92"/>
        <v/>
      </c>
    </row>
    <row r="4525" spans="1:1" x14ac:dyDescent="0.25">
      <c r="A4525" t="str">
        <f t="shared" si="92"/>
        <v/>
      </c>
    </row>
    <row r="4526" spans="1:1" x14ac:dyDescent="0.25">
      <c r="A4526" t="str">
        <f t="shared" si="92"/>
        <v/>
      </c>
    </row>
    <row r="4527" spans="1:1" x14ac:dyDescent="0.25">
      <c r="A4527" t="str">
        <f t="shared" si="92"/>
        <v/>
      </c>
    </row>
    <row r="4528" spans="1:1" x14ac:dyDescent="0.25">
      <c r="A4528" t="str">
        <f t="shared" si="92"/>
        <v/>
      </c>
    </row>
    <row r="4529" spans="1:1" x14ac:dyDescent="0.25">
      <c r="A4529" t="str">
        <f t="shared" si="92"/>
        <v/>
      </c>
    </row>
    <row r="4530" spans="1:1" x14ac:dyDescent="0.25">
      <c r="A4530" t="str">
        <f t="shared" si="92"/>
        <v/>
      </c>
    </row>
    <row r="4531" spans="1:1" x14ac:dyDescent="0.25">
      <c r="A4531" t="str">
        <f t="shared" si="92"/>
        <v/>
      </c>
    </row>
    <row r="4532" spans="1:1" x14ac:dyDescent="0.25">
      <c r="A4532" t="str">
        <f t="shared" si="92"/>
        <v/>
      </c>
    </row>
    <row r="4533" spans="1:1" x14ac:dyDescent="0.25">
      <c r="A4533" t="str">
        <f t="shared" si="92"/>
        <v/>
      </c>
    </row>
    <row r="4534" spans="1:1" x14ac:dyDescent="0.25">
      <c r="A4534" t="str">
        <f t="shared" si="92"/>
        <v/>
      </c>
    </row>
    <row r="4535" spans="1:1" x14ac:dyDescent="0.25">
      <c r="A4535" t="str">
        <f t="shared" si="92"/>
        <v/>
      </c>
    </row>
    <row r="4536" spans="1:1" x14ac:dyDescent="0.25">
      <c r="A4536" t="str">
        <f t="shared" si="92"/>
        <v/>
      </c>
    </row>
    <row r="4537" spans="1:1" x14ac:dyDescent="0.25">
      <c r="A4537" t="str">
        <f t="shared" si="92"/>
        <v/>
      </c>
    </row>
    <row r="4538" spans="1:1" x14ac:dyDescent="0.25">
      <c r="A4538" t="str">
        <f t="shared" si="92"/>
        <v/>
      </c>
    </row>
    <row r="4539" spans="1:1" x14ac:dyDescent="0.25">
      <c r="A4539" t="str">
        <f t="shared" si="92"/>
        <v/>
      </c>
    </row>
    <row r="4540" spans="1:1" x14ac:dyDescent="0.25">
      <c r="A4540" t="str">
        <f t="shared" si="92"/>
        <v/>
      </c>
    </row>
    <row r="4541" spans="1:1" x14ac:dyDescent="0.25">
      <c r="A4541" t="str">
        <f t="shared" si="92"/>
        <v/>
      </c>
    </row>
    <row r="4542" spans="1:1" x14ac:dyDescent="0.25">
      <c r="A4542" t="str">
        <f t="shared" si="92"/>
        <v/>
      </c>
    </row>
    <row r="4543" spans="1:1" x14ac:dyDescent="0.25">
      <c r="A4543" t="str">
        <f t="shared" si="92"/>
        <v/>
      </c>
    </row>
    <row r="4544" spans="1:1" x14ac:dyDescent="0.25">
      <c r="A4544" t="str">
        <f t="shared" si="92"/>
        <v/>
      </c>
    </row>
    <row r="4545" spans="1:1" x14ac:dyDescent="0.25">
      <c r="A4545" t="str">
        <f t="shared" ref="A4545:A4608" si="93">E4545&amp;C4545&amp;D4545</f>
        <v/>
      </c>
    </row>
    <row r="4546" spans="1:1" x14ac:dyDescent="0.25">
      <c r="A4546" t="str">
        <f t="shared" si="93"/>
        <v/>
      </c>
    </row>
    <row r="4547" spans="1:1" x14ac:dyDescent="0.25">
      <c r="A4547" t="str">
        <f t="shared" si="93"/>
        <v/>
      </c>
    </row>
    <row r="4548" spans="1:1" x14ac:dyDescent="0.25">
      <c r="A4548" t="str">
        <f t="shared" si="93"/>
        <v/>
      </c>
    </row>
    <row r="4549" spans="1:1" x14ac:dyDescent="0.25">
      <c r="A4549" t="str">
        <f t="shared" si="93"/>
        <v/>
      </c>
    </row>
    <row r="4550" spans="1:1" x14ac:dyDescent="0.25">
      <c r="A4550" t="str">
        <f t="shared" si="93"/>
        <v/>
      </c>
    </row>
    <row r="4551" spans="1:1" x14ac:dyDescent="0.25">
      <c r="A4551" t="str">
        <f t="shared" si="93"/>
        <v/>
      </c>
    </row>
    <row r="4552" spans="1:1" x14ac:dyDescent="0.25">
      <c r="A4552" t="str">
        <f t="shared" si="93"/>
        <v/>
      </c>
    </row>
    <row r="4553" spans="1:1" x14ac:dyDescent="0.25">
      <c r="A4553" t="str">
        <f t="shared" si="93"/>
        <v/>
      </c>
    </row>
    <row r="4554" spans="1:1" x14ac:dyDescent="0.25">
      <c r="A4554" t="str">
        <f t="shared" si="93"/>
        <v/>
      </c>
    </row>
    <row r="4555" spans="1:1" x14ac:dyDescent="0.25">
      <c r="A4555" t="str">
        <f t="shared" si="93"/>
        <v/>
      </c>
    </row>
    <row r="4556" spans="1:1" x14ac:dyDescent="0.25">
      <c r="A4556" t="str">
        <f t="shared" si="93"/>
        <v/>
      </c>
    </row>
    <row r="4557" spans="1:1" x14ac:dyDescent="0.25">
      <c r="A4557" t="str">
        <f t="shared" si="93"/>
        <v/>
      </c>
    </row>
    <row r="4558" spans="1:1" x14ac:dyDescent="0.25">
      <c r="A4558" t="str">
        <f t="shared" si="93"/>
        <v/>
      </c>
    </row>
    <row r="4559" spans="1:1" x14ac:dyDescent="0.25">
      <c r="A4559" t="str">
        <f t="shared" si="93"/>
        <v/>
      </c>
    </row>
    <row r="4560" spans="1:1" x14ac:dyDescent="0.25">
      <c r="A4560" t="str">
        <f t="shared" si="93"/>
        <v/>
      </c>
    </row>
    <row r="4561" spans="1:1" x14ac:dyDescent="0.25">
      <c r="A4561" t="str">
        <f t="shared" si="93"/>
        <v/>
      </c>
    </row>
    <row r="4562" spans="1:1" x14ac:dyDescent="0.25">
      <c r="A4562" t="str">
        <f t="shared" si="93"/>
        <v/>
      </c>
    </row>
    <row r="4563" spans="1:1" x14ac:dyDescent="0.25">
      <c r="A4563" t="str">
        <f t="shared" si="93"/>
        <v/>
      </c>
    </row>
    <row r="4564" spans="1:1" x14ac:dyDescent="0.25">
      <c r="A4564" t="str">
        <f t="shared" si="93"/>
        <v/>
      </c>
    </row>
    <row r="4565" spans="1:1" x14ac:dyDescent="0.25">
      <c r="A4565" t="str">
        <f t="shared" si="93"/>
        <v/>
      </c>
    </row>
    <row r="4566" spans="1:1" x14ac:dyDescent="0.25">
      <c r="A4566" t="str">
        <f t="shared" si="93"/>
        <v/>
      </c>
    </row>
    <row r="4567" spans="1:1" x14ac:dyDescent="0.25">
      <c r="A4567" t="str">
        <f t="shared" si="93"/>
        <v/>
      </c>
    </row>
    <row r="4568" spans="1:1" x14ac:dyDescent="0.25">
      <c r="A4568" t="str">
        <f t="shared" si="93"/>
        <v/>
      </c>
    </row>
    <row r="4569" spans="1:1" x14ac:dyDescent="0.25">
      <c r="A4569" t="str">
        <f t="shared" si="93"/>
        <v/>
      </c>
    </row>
    <row r="4570" spans="1:1" x14ac:dyDescent="0.25">
      <c r="A4570" t="str">
        <f t="shared" si="93"/>
        <v/>
      </c>
    </row>
    <row r="4571" spans="1:1" x14ac:dyDescent="0.25">
      <c r="A4571" t="str">
        <f t="shared" si="93"/>
        <v/>
      </c>
    </row>
    <row r="4572" spans="1:1" x14ac:dyDescent="0.25">
      <c r="A4572" t="str">
        <f t="shared" si="93"/>
        <v/>
      </c>
    </row>
    <row r="4573" spans="1:1" x14ac:dyDescent="0.25">
      <c r="A4573" t="str">
        <f t="shared" si="93"/>
        <v/>
      </c>
    </row>
    <row r="4574" spans="1:1" x14ac:dyDescent="0.25">
      <c r="A4574" t="str">
        <f t="shared" si="93"/>
        <v/>
      </c>
    </row>
    <row r="4575" spans="1:1" x14ac:dyDescent="0.25">
      <c r="A4575" t="str">
        <f t="shared" si="93"/>
        <v/>
      </c>
    </row>
    <row r="4576" spans="1:1" x14ac:dyDescent="0.25">
      <c r="A4576" t="str">
        <f t="shared" si="93"/>
        <v/>
      </c>
    </row>
    <row r="4577" spans="1:1" x14ac:dyDescent="0.25">
      <c r="A4577" t="str">
        <f t="shared" si="93"/>
        <v/>
      </c>
    </row>
    <row r="4578" spans="1:1" x14ac:dyDescent="0.25">
      <c r="A4578" t="str">
        <f t="shared" si="93"/>
        <v/>
      </c>
    </row>
    <row r="4579" spans="1:1" x14ac:dyDescent="0.25">
      <c r="A4579" t="str">
        <f t="shared" si="93"/>
        <v/>
      </c>
    </row>
    <row r="4580" spans="1:1" x14ac:dyDescent="0.25">
      <c r="A4580" t="str">
        <f t="shared" si="93"/>
        <v/>
      </c>
    </row>
    <row r="4581" spans="1:1" x14ac:dyDescent="0.25">
      <c r="A4581" t="str">
        <f t="shared" si="93"/>
        <v/>
      </c>
    </row>
    <row r="4582" spans="1:1" x14ac:dyDescent="0.25">
      <c r="A4582" t="str">
        <f t="shared" si="93"/>
        <v/>
      </c>
    </row>
    <row r="4583" spans="1:1" x14ac:dyDescent="0.25">
      <c r="A4583" t="str">
        <f t="shared" si="93"/>
        <v/>
      </c>
    </row>
    <row r="4584" spans="1:1" x14ac:dyDescent="0.25">
      <c r="A4584" t="str">
        <f t="shared" si="93"/>
        <v/>
      </c>
    </row>
    <row r="4585" spans="1:1" x14ac:dyDescent="0.25">
      <c r="A4585" t="str">
        <f t="shared" si="93"/>
        <v/>
      </c>
    </row>
    <row r="4586" spans="1:1" x14ac:dyDescent="0.25">
      <c r="A4586" t="str">
        <f t="shared" si="93"/>
        <v/>
      </c>
    </row>
    <row r="4587" spans="1:1" x14ac:dyDescent="0.25">
      <c r="A4587" t="str">
        <f t="shared" si="93"/>
        <v/>
      </c>
    </row>
    <row r="4588" spans="1:1" x14ac:dyDescent="0.25">
      <c r="A4588" t="str">
        <f t="shared" si="93"/>
        <v/>
      </c>
    </row>
    <row r="4589" spans="1:1" x14ac:dyDescent="0.25">
      <c r="A4589" t="str">
        <f t="shared" si="93"/>
        <v/>
      </c>
    </row>
    <row r="4590" spans="1:1" x14ac:dyDescent="0.25">
      <c r="A4590" t="str">
        <f t="shared" si="93"/>
        <v/>
      </c>
    </row>
    <row r="4591" spans="1:1" x14ac:dyDescent="0.25">
      <c r="A4591" t="str">
        <f t="shared" si="93"/>
        <v/>
      </c>
    </row>
    <row r="4592" spans="1:1" x14ac:dyDescent="0.25">
      <c r="A4592" t="str">
        <f t="shared" si="93"/>
        <v/>
      </c>
    </row>
    <row r="4593" spans="1:1" x14ac:dyDescent="0.25">
      <c r="A4593" t="str">
        <f t="shared" si="93"/>
        <v/>
      </c>
    </row>
    <row r="4594" spans="1:1" x14ac:dyDescent="0.25">
      <c r="A4594" t="str">
        <f t="shared" si="93"/>
        <v/>
      </c>
    </row>
    <row r="4595" spans="1:1" x14ac:dyDescent="0.25">
      <c r="A4595" t="str">
        <f t="shared" si="93"/>
        <v/>
      </c>
    </row>
    <row r="4596" spans="1:1" x14ac:dyDescent="0.25">
      <c r="A4596" t="str">
        <f t="shared" si="93"/>
        <v/>
      </c>
    </row>
    <row r="4597" spans="1:1" x14ac:dyDescent="0.25">
      <c r="A4597" t="str">
        <f t="shared" si="93"/>
        <v/>
      </c>
    </row>
    <row r="4598" spans="1:1" x14ac:dyDescent="0.25">
      <c r="A4598" t="str">
        <f t="shared" si="93"/>
        <v/>
      </c>
    </row>
    <row r="4599" spans="1:1" x14ac:dyDescent="0.25">
      <c r="A4599" t="str">
        <f t="shared" si="93"/>
        <v/>
      </c>
    </row>
    <row r="4600" spans="1:1" x14ac:dyDescent="0.25">
      <c r="A4600" t="str">
        <f t="shared" si="93"/>
        <v/>
      </c>
    </row>
    <row r="4601" spans="1:1" x14ac:dyDescent="0.25">
      <c r="A4601" t="str">
        <f t="shared" si="93"/>
        <v/>
      </c>
    </row>
    <row r="4602" spans="1:1" x14ac:dyDescent="0.25">
      <c r="A4602" t="str">
        <f t="shared" si="93"/>
        <v/>
      </c>
    </row>
    <row r="4603" spans="1:1" x14ac:dyDescent="0.25">
      <c r="A4603" t="str">
        <f t="shared" si="93"/>
        <v/>
      </c>
    </row>
    <row r="4604" spans="1:1" x14ac:dyDescent="0.25">
      <c r="A4604" t="str">
        <f t="shared" si="93"/>
        <v/>
      </c>
    </row>
    <row r="4605" spans="1:1" x14ac:dyDescent="0.25">
      <c r="A4605" t="str">
        <f t="shared" si="93"/>
        <v/>
      </c>
    </row>
    <row r="4606" spans="1:1" x14ac:dyDescent="0.25">
      <c r="A4606" t="str">
        <f t="shared" si="93"/>
        <v/>
      </c>
    </row>
    <row r="4607" spans="1:1" x14ac:dyDescent="0.25">
      <c r="A4607" t="str">
        <f t="shared" si="93"/>
        <v/>
      </c>
    </row>
    <row r="4608" spans="1:1" x14ac:dyDescent="0.25">
      <c r="A4608" t="str">
        <f t="shared" si="93"/>
        <v/>
      </c>
    </row>
    <row r="4609" spans="1:1" x14ac:dyDescent="0.25">
      <c r="A4609" t="str">
        <f t="shared" ref="A4609:A4672" si="94">E4609&amp;C4609&amp;D4609</f>
        <v/>
      </c>
    </row>
    <row r="4610" spans="1:1" x14ac:dyDescent="0.25">
      <c r="A4610" t="str">
        <f t="shared" si="94"/>
        <v/>
      </c>
    </row>
    <row r="4611" spans="1:1" x14ac:dyDescent="0.25">
      <c r="A4611" t="str">
        <f t="shared" si="94"/>
        <v/>
      </c>
    </row>
    <row r="4612" spans="1:1" x14ac:dyDescent="0.25">
      <c r="A4612" t="str">
        <f t="shared" si="94"/>
        <v/>
      </c>
    </row>
    <row r="4613" spans="1:1" x14ac:dyDescent="0.25">
      <c r="A4613" t="str">
        <f t="shared" si="94"/>
        <v/>
      </c>
    </row>
    <row r="4614" spans="1:1" x14ac:dyDescent="0.25">
      <c r="A4614" t="str">
        <f t="shared" si="94"/>
        <v/>
      </c>
    </row>
    <row r="4615" spans="1:1" x14ac:dyDescent="0.25">
      <c r="A4615" t="str">
        <f t="shared" si="94"/>
        <v/>
      </c>
    </row>
    <row r="4616" spans="1:1" x14ac:dyDescent="0.25">
      <c r="A4616" t="str">
        <f t="shared" si="94"/>
        <v/>
      </c>
    </row>
    <row r="4617" spans="1:1" x14ac:dyDescent="0.25">
      <c r="A4617" t="str">
        <f t="shared" si="94"/>
        <v/>
      </c>
    </row>
    <row r="4618" spans="1:1" x14ac:dyDescent="0.25">
      <c r="A4618" t="str">
        <f t="shared" si="94"/>
        <v/>
      </c>
    </row>
    <row r="4619" spans="1:1" x14ac:dyDescent="0.25">
      <c r="A4619" t="str">
        <f t="shared" si="94"/>
        <v/>
      </c>
    </row>
    <row r="4620" spans="1:1" x14ac:dyDescent="0.25">
      <c r="A4620" t="str">
        <f t="shared" si="94"/>
        <v/>
      </c>
    </row>
    <row r="4621" spans="1:1" x14ac:dyDescent="0.25">
      <c r="A4621" t="str">
        <f t="shared" si="94"/>
        <v/>
      </c>
    </row>
    <row r="4622" spans="1:1" x14ac:dyDescent="0.25">
      <c r="A4622" t="str">
        <f t="shared" si="94"/>
        <v/>
      </c>
    </row>
    <row r="4623" spans="1:1" x14ac:dyDescent="0.25">
      <c r="A4623" t="str">
        <f t="shared" si="94"/>
        <v/>
      </c>
    </row>
    <row r="4624" spans="1:1" x14ac:dyDescent="0.25">
      <c r="A4624" t="str">
        <f t="shared" si="94"/>
        <v/>
      </c>
    </row>
    <row r="4625" spans="1:1" x14ac:dyDescent="0.25">
      <c r="A4625" t="str">
        <f t="shared" si="94"/>
        <v/>
      </c>
    </row>
    <row r="4626" spans="1:1" x14ac:dyDescent="0.25">
      <c r="A4626" t="str">
        <f t="shared" si="94"/>
        <v/>
      </c>
    </row>
    <row r="4627" spans="1:1" x14ac:dyDescent="0.25">
      <c r="A4627" t="str">
        <f t="shared" si="94"/>
        <v/>
      </c>
    </row>
    <row r="4628" spans="1:1" x14ac:dyDescent="0.25">
      <c r="A4628" t="str">
        <f t="shared" si="94"/>
        <v/>
      </c>
    </row>
    <row r="4629" spans="1:1" x14ac:dyDescent="0.25">
      <c r="A4629" t="str">
        <f t="shared" si="94"/>
        <v/>
      </c>
    </row>
    <row r="4630" spans="1:1" x14ac:dyDescent="0.25">
      <c r="A4630" t="str">
        <f t="shared" si="94"/>
        <v/>
      </c>
    </row>
    <row r="4631" spans="1:1" x14ac:dyDescent="0.25">
      <c r="A4631" t="str">
        <f t="shared" si="94"/>
        <v/>
      </c>
    </row>
    <row r="4632" spans="1:1" x14ac:dyDescent="0.25">
      <c r="A4632" t="str">
        <f t="shared" si="94"/>
        <v/>
      </c>
    </row>
    <row r="4633" spans="1:1" x14ac:dyDescent="0.25">
      <c r="A4633" t="str">
        <f t="shared" si="94"/>
        <v/>
      </c>
    </row>
    <row r="4634" spans="1:1" x14ac:dyDescent="0.25">
      <c r="A4634" t="str">
        <f t="shared" si="94"/>
        <v/>
      </c>
    </row>
    <row r="4635" spans="1:1" x14ac:dyDescent="0.25">
      <c r="A4635" t="str">
        <f t="shared" si="94"/>
        <v/>
      </c>
    </row>
    <row r="4636" spans="1:1" x14ac:dyDescent="0.25">
      <c r="A4636" t="str">
        <f t="shared" si="94"/>
        <v/>
      </c>
    </row>
    <row r="4637" spans="1:1" x14ac:dyDescent="0.25">
      <c r="A4637" t="str">
        <f t="shared" si="94"/>
        <v/>
      </c>
    </row>
    <row r="4638" spans="1:1" x14ac:dyDescent="0.25">
      <c r="A4638" t="str">
        <f t="shared" si="94"/>
        <v/>
      </c>
    </row>
    <row r="4639" spans="1:1" x14ac:dyDescent="0.25">
      <c r="A4639" t="str">
        <f t="shared" si="94"/>
        <v/>
      </c>
    </row>
    <row r="4640" spans="1:1" x14ac:dyDescent="0.25">
      <c r="A4640" t="str">
        <f t="shared" si="94"/>
        <v/>
      </c>
    </row>
    <row r="4641" spans="1:1" x14ac:dyDescent="0.25">
      <c r="A4641" t="str">
        <f t="shared" si="94"/>
        <v/>
      </c>
    </row>
    <row r="4642" spans="1:1" x14ac:dyDescent="0.25">
      <c r="A4642" t="str">
        <f t="shared" si="94"/>
        <v/>
      </c>
    </row>
    <row r="4643" spans="1:1" x14ac:dyDescent="0.25">
      <c r="A4643" t="str">
        <f t="shared" si="94"/>
        <v/>
      </c>
    </row>
    <row r="4644" spans="1:1" x14ac:dyDescent="0.25">
      <c r="A4644" t="str">
        <f t="shared" si="94"/>
        <v/>
      </c>
    </row>
    <row r="4645" spans="1:1" x14ac:dyDescent="0.25">
      <c r="A4645" t="str">
        <f t="shared" si="94"/>
        <v/>
      </c>
    </row>
    <row r="4646" spans="1:1" x14ac:dyDescent="0.25">
      <c r="A4646" t="str">
        <f t="shared" si="94"/>
        <v/>
      </c>
    </row>
    <row r="4647" spans="1:1" x14ac:dyDescent="0.25">
      <c r="A4647" t="str">
        <f t="shared" si="94"/>
        <v/>
      </c>
    </row>
    <row r="4648" spans="1:1" x14ac:dyDescent="0.25">
      <c r="A4648" t="str">
        <f t="shared" si="94"/>
        <v/>
      </c>
    </row>
    <row r="4649" spans="1:1" x14ac:dyDescent="0.25">
      <c r="A4649" t="str">
        <f t="shared" si="94"/>
        <v/>
      </c>
    </row>
    <row r="4650" spans="1:1" x14ac:dyDescent="0.25">
      <c r="A4650" t="str">
        <f t="shared" si="94"/>
        <v/>
      </c>
    </row>
    <row r="4651" spans="1:1" x14ac:dyDescent="0.25">
      <c r="A4651" t="str">
        <f t="shared" si="94"/>
        <v/>
      </c>
    </row>
    <row r="4652" spans="1:1" x14ac:dyDescent="0.25">
      <c r="A4652" t="str">
        <f t="shared" si="94"/>
        <v/>
      </c>
    </row>
    <row r="4653" spans="1:1" x14ac:dyDescent="0.25">
      <c r="A4653" t="str">
        <f t="shared" si="94"/>
        <v/>
      </c>
    </row>
    <row r="4654" spans="1:1" x14ac:dyDescent="0.25">
      <c r="A4654" t="str">
        <f t="shared" si="94"/>
        <v/>
      </c>
    </row>
    <row r="4655" spans="1:1" x14ac:dyDescent="0.25">
      <c r="A4655" t="str">
        <f t="shared" si="94"/>
        <v/>
      </c>
    </row>
    <row r="4656" spans="1:1" x14ac:dyDescent="0.25">
      <c r="A4656" t="str">
        <f t="shared" si="94"/>
        <v/>
      </c>
    </row>
    <row r="4657" spans="1:1" x14ac:dyDescent="0.25">
      <c r="A4657" t="str">
        <f t="shared" si="94"/>
        <v/>
      </c>
    </row>
    <row r="4658" spans="1:1" x14ac:dyDescent="0.25">
      <c r="A4658" t="str">
        <f t="shared" si="94"/>
        <v/>
      </c>
    </row>
    <row r="4659" spans="1:1" x14ac:dyDescent="0.25">
      <c r="A4659" t="str">
        <f t="shared" si="94"/>
        <v/>
      </c>
    </row>
    <row r="4660" spans="1:1" x14ac:dyDescent="0.25">
      <c r="A4660" t="str">
        <f t="shared" si="94"/>
        <v/>
      </c>
    </row>
    <row r="4661" spans="1:1" x14ac:dyDescent="0.25">
      <c r="A4661" t="str">
        <f t="shared" si="94"/>
        <v/>
      </c>
    </row>
    <row r="4662" spans="1:1" x14ac:dyDescent="0.25">
      <c r="A4662" t="str">
        <f t="shared" si="94"/>
        <v/>
      </c>
    </row>
    <row r="4663" spans="1:1" x14ac:dyDescent="0.25">
      <c r="A4663" t="str">
        <f t="shared" si="94"/>
        <v/>
      </c>
    </row>
    <row r="4664" spans="1:1" x14ac:dyDescent="0.25">
      <c r="A4664" t="str">
        <f t="shared" si="94"/>
        <v/>
      </c>
    </row>
    <row r="4665" spans="1:1" x14ac:dyDescent="0.25">
      <c r="A4665" t="str">
        <f t="shared" si="94"/>
        <v/>
      </c>
    </row>
    <row r="4666" spans="1:1" x14ac:dyDescent="0.25">
      <c r="A4666" t="str">
        <f t="shared" si="94"/>
        <v/>
      </c>
    </row>
    <row r="4667" spans="1:1" x14ac:dyDescent="0.25">
      <c r="A4667" t="str">
        <f t="shared" si="94"/>
        <v/>
      </c>
    </row>
    <row r="4668" spans="1:1" x14ac:dyDescent="0.25">
      <c r="A4668" t="str">
        <f t="shared" si="94"/>
        <v/>
      </c>
    </row>
    <row r="4669" spans="1:1" x14ac:dyDescent="0.25">
      <c r="A4669" t="str">
        <f t="shared" si="94"/>
        <v/>
      </c>
    </row>
    <row r="4670" spans="1:1" x14ac:dyDescent="0.25">
      <c r="A4670" t="str">
        <f t="shared" si="94"/>
        <v/>
      </c>
    </row>
    <row r="4671" spans="1:1" x14ac:dyDescent="0.25">
      <c r="A4671" t="str">
        <f t="shared" si="94"/>
        <v/>
      </c>
    </row>
    <row r="4672" spans="1:1" x14ac:dyDescent="0.25">
      <c r="A4672" t="str">
        <f t="shared" si="94"/>
        <v/>
      </c>
    </row>
    <row r="4673" spans="1:1" x14ac:dyDescent="0.25">
      <c r="A4673" t="str">
        <f t="shared" ref="A4673:A4736" si="95">E4673&amp;C4673&amp;D4673</f>
        <v/>
      </c>
    </row>
    <row r="4674" spans="1:1" x14ac:dyDescent="0.25">
      <c r="A4674" t="str">
        <f t="shared" si="95"/>
        <v/>
      </c>
    </row>
    <row r="4675" spans="1:1" x14ac:dyDescent="0.25">
      <c r="A4675" t="str">
        <f t="shared" si="95"/>
        <v/>
      </c>
    </row>
    <row r="4676" spans="1:1" x14ac:dyDescent="0.25">
      <c r="A4676" t="str">
        <f t="shared" si="95"/>
        <v/>
      </c>
    </row>
    <row r="4677" spans="1:1" x14ac:dyDescent="0.25">
      <c r="A4677" t="str">
        <f t="shared" si="95"/>
        <v/>
      </c>
    </row>
    <row r="4678" spans="1:1" x14ac:dyDescent="0.25">
      <c r="A4678" t="str">
        <f t="shared" si="95"/>
        <v/>
      </c>
    </row>
    <row r="4679" spans="1:1" x14ac:dyDescent="0.25">
      <c r="A4679" t="str">
        <f t="shared" si="95"/>
        <v/>
      </c>
    </row>
    <row r="4680" spans="1:1" x14ac:dyDescent="0.25">
      <c r="A4680" t="str">
        <f t="shared" si="95"/>
        <v/>
      </c>
    </row>
    <row r="4681" spans="1:1" x14ac:dyDescent="0.25">
      <c r="A4681" t="str">
        <f t="shared" si="95"/>
        <v/>
      </c>
    </row>
    <row r="4682" spans="1:1" x14ac:dyDescent="0.25">
      <c r="A4682" t="str">
        <f t="shared" si="95"/>
        <v/>
      </c>
    </row>
    <row r="4683" spans="1:1" x14ac:dyDescent="0.25">
      <c r="A4683" t="str">
        <f t="shared" si="95"/>
        <v/>
      </c>
    </row>
    <row r="4684" spans="1:1" x14ac:dyDescent="0.25">
      <c r="A4684" t="str">
        <f t="shared" si="95"/>
        <v/>
      </c>
    </row>
    <row r="4685" spans="1:1" x14ac:dyDescent="0.25">
      <c r="A4685" t="str">
        <f t="shared" si="95"/>
        <v/>
      </c>
    </row>
    <row r="4686" spans="1:1" x14ac:dyDescent="0.25">
      <c r="A4686" t="str">
        <f t="shared" si="95"/>
        <v/>
      </c>
    </row>
    <row r="4687" spans="1:1" x14ac:dyDescent="0.25">
      <c r="A4687" t="str">
        <f t="shared" si="95"/>
        <v/>
      </c>
    </row>
    <row r="4688" spans="1:1" x14ac:dyDescent="0.25">
      <c r="A4688" t="str">
        <f t="shared" si="95"/>
        <v/>
      </c>
    </row>
    <row r="4689" spans="1:1" x14ac:dyDescent="0.25">
      <c r="A4689" t="str">
        <f t="shared" si="95"/>
        <v/>
      </c>
    </row>
    <row r="4690" spans="1:1" x14ac:dyDescent="0.25">
      <c r="A4690" t="str">
        <f t="shared" si="95"/>
        <v/>
      </c>
    </row>
    <row r="4691" spans="1:1" x14ac:dyDescent="0.25">
      <c r="A4691" t="str">
        <f t="shared" si="95"/>
        <v/>
      </c>
    </row>
    <row r="4692" spans="1:1" x14ac:dyDescent="0.25">
      <c r="A4692" t="str">
        <f t="shared" si="95"/>
        <v/>
      </c>
    </row>
    <row r="4693" spans="1:1" x14ac:dyDescent="0.25">
      <c r="A4693" t="str">
        <f t="shared" si="95"/>
        <v/>
      </c>
    </row>
    <row r="4694" spans="1:1" x14ac:dyDescent="0.25">
      <c r="A4694" t="str">
        <f t="shared" si="95"/>
        <v/>
      </c>
    </row>
    <row r="4695" spans="1:1" x14ac:dyDescent="0.25">
      <c r="A4695" t="str">
        <f t="shared" si="95"/>
        <v/>
      </c>
    </row>
    <row r="4696" spans="1:1" x14ac:dyDescent="0.25">
      <c r="A4696" t="str">
        <f t="shared" si="95"/>
        <v/>
      </c>
    </row>
    <row r="4697" spans="1:1" x14ac:dyDescent="0.25">
      <c r="A4697" t="str">
        <f t="shared" si="95"/>
        <v/>
      </c>
    </row>
    <row r="4698" spans="1:1" x14ac:dyDescent="0.25">
      <c r="A4698" t="str">
        <f t="shared" si="95"/>
        <v/>
      </c>
    </row>
    <row r="4699" spans="1:1" x14ac:dyDescent="0.25">
      <c r="A4699" t="str">
        <f t="shared" si="95"/>
        <v/>
      </c>
    </row>
    <row r="4700" spans="1:1" x14ac:dyDescent="0.25">
      <c r="A4700" t="str">
        <f t="shared" si="95"/>
        <v/>
      </c>
    </row>
    <row r="4701" spans="1:1" x14ac:dyDescent="0.25">
      <c r="A4701" t="str">
        <f t="shared" si="95"/>
        <v/>
      </c>
    </row>
    <row r="4702" spans="1:1" x14ac:dyDescent="0.25">
      <c r="A4702" t="str">
        <f t="shared" si="95"/>
        <v/>
      </c>
    </row>
    <row r="4703" spans="1:1" x14ac:dyDescent="0.25">
      <c r="A4703" t="str">
        <f t="shared" si="95"/>
        <v/>
      </c>
    </row>
    <row r="4704" spans="1:1" x14ac:dyDescent="0.25">
      <c r="A4704" t="str">
        <f t="shared" si="95"/>
        <v/>
      </c>
    </row>
    <row r="4705" spans="1:1" x14ac:dyDescent="0.25">
      <c r="A4705" t="str">
        <f t="shared" si="95"/>
        <v/>
      </c>
    </row>
    <row r="4706" spans="1:1" x14ac:dyDescent="0.25">
      <c r="A4706" t="str">
        <f t="shared" si="95"/>
        <v/>
      </c>
    </row>
    <row r="4707" spans="1:1" x14ac:dyDescent="0.25">
      <c r="A4707" t="str">
        <f t="shared" si="95"/>
        <v/>
      </c>
    </row>
    <row r="4708" spans="1:1" x14ac:dyDescent="0.25">
      <c r="A4708" t="str">
        <f t="shared" si="95"/>
        <v/>
      </c>
    </row>
    <row r="4709" spans="1:1" x14ac:dyDescent="0.25">
      <c r="A4709" t="str">
        <f t="shared" si="95"/>
        <v/>
      </c>
    </row>
    <row r="4710" spans="1:1" x14ac:dyDescent="0.25">
      <c r="A4710" t="str">
        <f t="shared" si="95"/>
        <v/>
      </c>
    </row>
    <row r="4711" spans="1:1" x14ac:dyDescent="0.25">
      <c r="A4711" t="str">
        <f t="shared" si="95"/>
        <v/>
      </c>
    </row>
    <row r="4712" spans="1:1" x14ac:dyDescent="0.25">
      <c r="A4712" t="str">
        <f t="shared" si="95"/>
        <v/>
      </c>
    </row>
    <row r="4713" spans="1:1" x14ac:dyDescent="0.25">
      <c r="A4713" t="str">
        <f t="shared" si="95"/>
        <v/>
      </c>
    </row>
    <row r="4714" spans="1:1" x14ac:dyDescent="0.25">
      <c r="A4714" t="str">
        <f t="shared" si="95"/>
        <v/>
      </c>
    </row>
    <row r="4715" spans="1:1" x14ac:dyDescent="0.25">
      <c r="A4715" t="str">
        <f t="shared" si="95"/>
        <v/>
      </c>
    </row>
    <row r="4716" spans="1:1" x14ac:dyDescent="0.25">
      <c r="A4716" t="str">
        <f t="shared" si="95"/>
        <v/>
      </c>
    </row>
    <row r="4717" spans="1:1" x14ac:dyDescent="0.25">
      <c r="A4717" t="str">
        <f t="shared" si="95"/>
        <v/>
      </c>
    </row>
    <row r="4718" spans="1:1" x14ac:dyDescent="0.25">
      <c r="A4718" t="str">
        <f t="shared" si="95"/>
        <v/>
      </c>
    </row>
    <row r="4719" spans="1:1" x14ac:dyDescent="0.25">
      <c r="A4719" t="str">
        <f t="shared" si="95"/>
        <v/>
      </c>
    </row>
    <row r="4720" spans="1:1" x14ac:dyDescent="0.25">
      <c r="A4720" t="str">
        <f t="shared" si="95"/>
        <v/>
      </c>
    </row>
    <row r="4721" spans="1:1" x14ac:dyDescent="0.25">
      <c r="A4721" t="str">
        <f t="shared" si="95"/>
        <v/>
      </c>
    </row>
    <row r="4722" spans="1:1" x14ac:dyDescent="0.25">
      <c r="A4722" t="str">
        <f t="shared" si="95"/>
        <v/>
      </c>
    </row>
    <row r="4723" spans="1:1" x14ac:dyDescent="0.25">
      <c r="A4723" t="str">
        <f t="shared" si="95"/>
        <v/>
      </c>
    </row>
    <row r="4724" spans="1:1" x14ac:dyDescent="0.25">
      <c r="A4724" t="str">
        <f t="shared" si="95"/>
        <v/>
      </c>
    </row>
    <row r="4725" spans="1:1" x14ac:dyDescent="0.25">
      <c r="A4725" t="str">
        <f t="shared" si="95"/>
        <v/>
      </c>
    </row>
    <row r="4726" spans="1:1" x14ac:dyDescent="0.25">
      <c r="A4726" t="str">
        <f t="shared" si="95"/>
        <v/>
      </c>
    </row>
    <row r="4727" spans="1:1" x14ac:dyDescent="0.25">
      <c r="A4727" t="str">
        <f t="shared" si="95"/>
        <v/>
      </c>
    </row>
    <row r="4728" spans="1:1" x14ac:dyDescent="0.25">
      <c r="A4728" t="str">
        <f t="shared" si="95"/>
        <v/>
      </c>
    </row>
    <row r="4729" spans="1:1" x14ac:dyDescent="0.25">
      <c r="A4729" t="str">
        <f t="shared" si="95"/>
        <v/>
      </c>
    </row>
    <row r="4730" spans="1:1" x14ac:dyDescent="0.25">
      <c r="A4730" t="str">
        <f t="shared" si="95"/>
        <v/>
      </c>
    </row>
    <row r="4731" spans="1:1" x14ac:dyDescent="0.25">
      <c r="A4731" t="str">
        <f t="shared" si="95"/>
        <v/>
      </c>
    </row>
    <row r="4732" spans="1:1" x14ac:dyDescent="0.25">
      <c r="A4732" t="str">
        <f t="shared" si="95"/>
        <v/>
      </c>
    </row>
    <row r="4733" spans="1:1" x14ac:dyDescent="0.25">
      <c r="A4733" t="str">
        <f t="shared" si="95"/>
        <v/>
      </c>
    </row>
    <row r="4734" spans="1:1" x14ac:dyDescent="0.25">
      <c r="A4734" t="str">
        <f t="shared" si="95"/>
        <v/>
      </c>
    </row>
    <row r="4735" spans="1:1" x14ac:dyDescent="0.25">
      <c r="A4735" t="str">
        <f t="shared" si="95"/>
        <v/>
      </c>
    </row>
    <row r="4736" spans="1:1" x14ac:dyDescent="0.25">
      <c r="A4736" t="str">
        <f t="shared" si="95"/>
        <v/>
      </c>
    </row>
    <row r="4737" spans="1:1" x14ac:dyDescent="0.25">
      <c r="A4737" t="str">
        <f t="shared" ref="A4737:A4800" si="96">E4737&amp;C4737&amp;D4737</f>
        <v/>
      </c>
    </row>
    <row r="4738" spans="1:1" x14ac:dyDescent="0.25">
      <c r="A4738" t="str">
        <f t="shared" si="96"/>
        <v/>
      </c>
    </row>
    <row r="4739" spans="1:1" x14ac:dyDescent="0.25">
      <c r="A4739" t="str">
        <f t="shared" si="96"/>
        <v/>
      </c>
    </row>
    <row r="4740" spans="1:1" x14ac:dyDescent="0.25">
      <c r="A4740" t="str">
        <f t="shared" si="96"/>
        <v/>
      </c>
    </row>
    <row r="4741" spans="1:1" x14ac:dyDescent="0.25">
      <c r="A4741" t="str">
        <f t="shared" si="96"/>
        <v/>
      </c>
    </row>
    <row r="4742" spans="1:1" x14ac:dyDescent="0.25">
      <c r="A4742" t="str">
        <f t="shared" si="96"/>
        <v/>
      </c>
    </row>
    <row r="4743" spans="1:1" x14ac:dyDescent="0.25">
      <c r="A4743" t="str">
        <f t="shared" si="96"/>
        <v/>
      </c>
    </row>
    <row r="4744" spans="1:1" x14ac:dyDescent="0.25">
      <c r="A4744" t="str">
        <f t="shared" si="96"/>
        <v/>
      </c>
    </row>
    <row r="4745" spans="1:1" x14ac:dyDescent="0.25">
      <c r="A4745" t="str">
        <f t="shared" si="96"/>
        <v/>
      </c>
    </row>
    <row r="4746" spans="1:1" x14ac:dyDescent="0.25">
      <c r="A4746" t="str">
        <f t="shared" si="96"/>
        <v/>
      </c>
    </row>
    <row r="4747" spans="1:1" x14ac:dyDescent="0.25">
      <c r="A4747" t="str">
        <f t="shared" si="96"/>
        <v/>
      </c>
    </row>
    <row r="4748" spans="1:1" x14ac:dyDescent="0.25">
      <c r="A4748" t="str">
        <f t="shared" si="96"/>
        <v/>
      </c>
    </row>
    <row r="4749" spans="1:1" x14ac:dyDescent="0.25">
      <c r="A4749" t="str">
        <f t="shared" si="96"/>
        <v/>
      </c>
    </row>
    <row r="4750" spans="1:1" x14ac:dyDescent="0.25">
      <c r="A4750" t="str">
        <f t="shared" si="96"/>
        <v/>
      </c>
    </row>
    <row r="4751" spans="1:1" x14ac:dyDescent="0.25">
      <c r="A4751" t="str">
        <f t="shared" si="96"/>
        <v/>
      </c>
    </row>
    <row r="4752" spans="1:1" x14ac:dyDescent="0.25">
      <c r="A4752" t="str">
        <f t="shared" si="96"/>
        <v/>
      </c>
    </row>
    <row r="4753" spans="1:1" x14ac:dyDescent="0.25">
      <c r="A4753" t="str">
        <f t="shared" si="96"/>
        <v/>
      </c>
    </row>
    <row r="4754" spans="1:1" x14ac:dyDescent="0.25">
      <c r="A4754" t="str">
        <f t="shared" si="96"/>
        <v/>
      </c>
    </row>
    <row r="4755" spans="1:1" x14ac:dyDescent="0.25">
      <c r="A4755" t="str">
        <f t="shared" si="96"/>
        <v/>
      </c>
    </row>
    <row r="4756" spans="1:1" x14ac:dyDescent="0.25">
      <c r="A4756" t="str">
        <f t="shared" si="96"/>
        <v/>
      </c>
    </row>
    <row r="4757" spans="1:1" x14ac:dyDescent="0.25">
      <c r="A4757" t="str">
        <f t="shared" si="96"/>
        <v/>
      </c>
    </row>
    <row r="4758" spans="1:1" x14ac:dyDescent="0.25">
      <c r="A4758" t="str">
        <f t="shared" si="96"/>
        <v/>
      </c>
    </row>
    <row r="4759" spans="1:1" x14ac:dyDescent="0.25">
      <c r="A4759" t="str">
        <f t="shared" si="96"/>
        <v/>
      </c>
    </row>
    <row r="4760" spans="1:1" x14ac:dyDescent="0.25">
      <c r="A4760" t="str">
        <f t="shared" si="96"/>
        <v/>
      </c>
    </row>
    <row r="4761" spans="1:1" x14ac:dyDescent="0.25">
      <c r="A4761" t="str">
        <f t="shared" si="96"/>
        <v/>
      </c>
    </row>
    <row r="4762" spans="1:1" x14ac:dyDescent="0.25">
      <c r="A4762" t="str">
        <f t="shared" si="96"/>
        <v/>
      </c>
    </row>
    <row r="4763" spans="1:1" x14ac:dyDescent="0.25">
      <c r="A4763" t="str">
        <f t="shared" si="96"/>
        <v/>
      </c>
    </row>
    <row r="4764" spans="1:1" x14ac:dyDescent="0.25">
      <c r="A4764" t="str">
        <f t="shared" si="96"/>
        <v/>
      </c>
    </row>
    <row r="4765" spans="1:1" x14ac:dyDescent="0.25">
      <c r="A4765" t="str">
        <f t="shared" si="96"/>
        <v/>
      </c>
    </row>
    <row r="4766" spans="1:1" x14ac:dyDescent="0.25">
      <c r="A4766" t="str">
        <f t="shared" si="96"/>
        <v/>
      </c>
    </row>
    <row r="4767" spans="1:1" x14ac:dyDescent="0.25">
      <c r="A4767" t="str">
        <f t="shared" si="96"/>
        <v/>
      </c>
    </row>
    <row r="4768" spans="1:1" x14ac:dyDescent="0.25">
      <c r="A4768" t="str">
        <f t="shared" si="96"/>
        <v/>
      </c>
    </row>
    <row r="4769" spans="1:1" x14ac:dyDescent="0.25">
      <c r="A4769" t="str">
        <f t="shared" si="96"/>
        <v/>
      </c>
    </row>
    <row r="4770" spans="1:1" x14ac:dyDescent="0.25">
      <c r="A4770" t="str">
        <f t="shared" si="96"/>
        <v/>
      </c>
    </row>
    <row r="4771" spans="1:1" x14ac:dyDescent="0.25">
      <c r="A4771" t="str">
        <f t="shared" si="96"/>
        <v/>
      </c>
    </row>
    <row r="4772" spans="1:1" x14ac:dyDescent="0.25">
      <c r="A4772" t="str">
        <f t="shared" si="96"/>
        <v/>
      </c>
    </row>
    <row r="4773" spans="1:1" x14ac:dyDescent="0.25">
      <c r="A4773" t="str">
        <f t="shared" si="96"/>
        <v/>
      </c>
    </row>
    <row r="4774" spans="1:1" x14ac:dyDescent="0.25">
      <c r="A4774" t="str">
        <f t="shared" si="96"/>
        <v/>
      </c>
    </row>
    <row r="4775" spans="1:1" x14ac:dyDescent="0.25">
      <c r="A4775" t="str">
        <f t="shared" si="96"/>
        <v/>
      </c>
    </row>
    <row r="4776" spans="1:1" x14ac:dyDescent="0.25">
      <c r="A4776" t="str">
        <f t="shared" si="96"/>
        <v/>
      </c>
    </row>
    <row r="4777" spans="1:1" x14ac:dyDescent="0.25">
      <c r="A4777" t="str">
        <f t="shared" si="96"/>
        <v/>
      </c>
    </row>
    <row r="4778" spans="1:1" x14ac:dyDescent="0.25">
      <c r="A4778" t="str">
        <f t="shared" si="96"/>
        <v/>
      </c>
    </row>
    <row r="4779" spans="1:1" x14ac:dyDescent="0.25">
      <c r="A4779" t="str">
        <f t="shared" si="96"/>
        <v/>
      </c>
    </row>
    <row r="4780" spans="1:1" x14ac:dyDescent="0.25">
      <c r="A4780" t="str">
        <f t="shared" si="96"/>
        <v/>
      </c>
    </row>
    <row r="4781" spans="1:1" x14ac:dyDescent="0.25">
      <c r="A4781" t="str">
        <f t="shared" si="96"/>
        <v/>
      </c>
    </row>
    <row r="4782" spans="1:1" x14ac:dyDescent="0.25">
      <c r="A4782" t="str">
        <f t="shared" si="96"/>
        <v/>
      </c>
    </row>
    <row r="4783" spans="1:1" x14ac:dyDescent="0.25">
      <c r="A4783" t="str">
        <f t="shared" si="96"/>
        <v/>
      </c>
    </row>
    <row r="4784" spans="1:1" x14ac:dyDescent="0.25">
      <c r="A4784" t="str">
        <f t="shared" si="96"/>
        <v/>
      </c>
    </row>
    <row r="4785" spans="1:1" x14ac:dyDescent="0.25">
      <c r="A4785" t="str">
        <f t="shared" si="96"/>
        <v/>
      </c>
    </row>
    <row r="4786" spans="1:1" x14ac:dyDescent="0.25">
      <c r="A4786" t="str">
        <f t="shared" si="96"/>
        <v/>
      </c>
    </row>
    <row r="4787" spans="1:1" x14ac:dyDescent="0.25">
      <c r="A4787" t="str">
        <f t="shared" si="96"/>
        <v/>
      </c>
    </row>
    <row r="4788" spans="1:1" x14ac:dyDescent="0.25">
      <c r="A4788" t="str">
        <f t="shared" si="96"/>
        <v/>
      </c>
    </row>
    <row r="4789" spans="1:1" x14ac:dyDescent="0.25">
      <c r="A4789" t="str">
        <f t="shared" si="96"/>
        <v/>
      </c>
    </row>
    <row r="4790" spans="1:1" x14ac:dyDescent="0.25">
      <c r="A4790" t="str">
        <f t="shared" si="96"/>
        <v/>
      </c>
    </row>
    <row r="4791" spans="1:1" x14ac:dyDescent="0.25">
      <c r="A4791" t="str">
        <f t="shared" si="96"/>
        <v/>
      </c>
    </row>
    <row r="4792" spans="1:1" x14ac:dyDescent="0.25">
      <c r="A4792" t="str">
        <f t="shared" si="96"/>
        <v/>
      </c>
    </row>
    <row r="4793" spans="1:1" x14ac:dyDescent="0.25">
      <c r="A4793" t="str">
        <f t="shared" si="96"/>
        <v/>
      </c>
    </row>
    <row r="4794" spans="1:1" x14ac:dyDescent="0.25">
      <c r="A4794" t="str">
        <f t="shared" si="96"/>
        <v/>
      </c>
    </row>
    <row r="4795" spans="1:1" x14ac:dyDescent="0.25">
      <c r="A4795" t="str">
        <f t="shared" si="96"/>
        <v/>
      </c>
    </row>
    <row r="4796" spans="1:1" x14ac:dyDescent="0.25">
      <c r="A4796" t="str">
        <f t="shared" si="96"/>
        <v/>
      </c>
    </row>
    <row r="4797" spans="1:1" x14ac:dyDescent="0.25">
      <c r="A4797" t="str">
        <f t="shared" si="96"/>
        <v/>
      </c>
    </row>
    <row r="4798" spans="1:1" x14ac:dyDescent="0.25">
      <c r="A4798" t="str">
        <f t="shared" si="96"/>
        <v/>
      </c>
    </row>
    <row r="4799" spans="1:1" x14ac:dyDescent="0.25">
      <c r="A4799" t="str">
        <f t="shared" si="96"/>
        <v/>
      </c>
    </row>
    <row r="4800" spans="1:1" x14ac:dyDescent="0.25">
      <c r="A4800" t="str">
        <f t="shared" si="96"/>
        <v/>
      </c>
    </row>
    <row r="4801" spans="1:1" x14ac:dyDescent="0.25">
      <c r="A4801" t="str">
        <f t="shared" ref="A4801:A4864" si="97">E4801&amp;C4801&amp;D4801</f>
        <v/>
      </c>
    </row>
    <row r="4802" spans="1:1" x14ac:dyDescent="0.25">
      <c r="A4802" t="str">
        <f t="shared" si="97"/>
        <v/>
      </c>
    </row>
    <row r="4803" spans="1:1" x14ac:dyDescent="0.25">
      <c r="A4803" t="str">
        <f t="shared" si="97"/>
        <v/>
      </c>
    </row>
    <row r="4804" spans="1:1" x14ac:dyDescent="0.25">
      <c r="A4804" t="str">
        <f t="shared" si="97"/>
        <v/>
      </c>
    </row>
    <row r="4805" spans="1:1" x14ac:dyDescent="0.25">
      <c r="A4805" t="str">
        <f t="shared" si="97"/>
        <v/>
      </c>
    </row>
    <row r="4806" spans="1:1" x14ac:dyDescent="0.25">
      <c r="A4806" t="str">
        <f t="shared" si="97"/>
        <v/>
      </c>
    </row>
    <row r="4807" spans="1:1" x14ac:dyDescent="0.25">
      <c r="A4807" t="str">
        <f t="shared" si="97"/>
        <v/>
      </c>
    </row>
    <row r="4808" spans="1:1" x14ac:dyDescent="0.25">
      <c r="A4808" t="str">
        <f t="shared" si="97"/>
        <v/>
      </c>
    </row>
    <row r="4809" spans="1:1" x14ac:dyDescent="0.25">
      <c r="A4809" t="str">
        <f t="shared" si="97"/>
        <v/>
      </c>
    </row>
    <row r="4810" spans="1:1" x14ac:dyDescent="0.25">
      <c r="A4810" t="str">
        <f t="shared" si="97"/>
        <v/>
      </c>
    </row>
    <row r="4811" spans="1:1" x14ac:dyDescent="0.25">
      <c r="A4811" t="str">
        <f t="shared" si="97"/>
        <v/>
      </c>
    </row>
    <row r="4812" spans="1:1" x14ac:dyDescent="0.25">
      <c r="A4812" t="str">
        <f t="shared" si="97"/>
        <v/>
      </c>
    </row>
    <row r="4813" spans="1:1" x14ac:dyDescent="0.25">
      <c r="A4813" t="str">
        <f t="shared" si="97"/>
        <v/>
      </c>
    </row>
    <row r="4814" spans="1:1" x14ac:dyDescent="0.25">
      <c r="A4814" t="str">
        <f t="shared" si="97"/>
        <v/>
      </c>
    </row>
    <row r="4815" spans="1:1" x14ac:dyDescent="0.25">
      <c r="A4815" t="str">
        <f t="shared" si="97"/>
        <v/>
      </c>
    </row>
    <row r="4816" spans="1:1" x14ac:dyDescent="0.25">
      <c r="A4816" t="str">
        <f t="shared" si="97"/>
        <v/>
      </c>
    </row>
    <row r="4817" spans="1:1" x14ac:dyDescent="0.25">
      <c r="A4817" t="str">
        <f t="shared" si="97"/>
        <v/>
      </c>
    </row>
    <row r="4818" spans="1:1" x14ac:dyDescent="0.25">
      <c r="A4818" t="str">
        <f t="shared" si="97"/>
        <v/>
      </c>
    </row>
    <row r="4819" spans="1:1" x14ac:dyDescent="0.25">
      <c r="A4819" t="str">
        <f t="shared" si="97"/>
        <v/>
      </c>
    </row>
    <row r="4820" spans="1:1" x14ac:dyDescent="0.25">
      <c r="A4820" t="str">
        <f t="shared" si="97"/>
        <v/>
      </c>
    </row>
    <row r="4821" spans="1:1" x14ac:dyDescent="0.25">
      <c r="A4821" t="str">
        <f t="shared" si="97"/>
        <v/>
      </c>
    </row>
    <row r="4822" spans="1:1" x14ac:dyDescent="0.25">
      <c r="A4822" t="str">
        <f t="shared" si="97"/>
        <v/>
      </c>
    </row>
    <row r="4823" spans="1:1" x14ac:dyDescent="0.25">
      <c r="A4823" t="str">
        <f t="shared" si="97"/>
        <v/>
      </c>
    </row>
    <row r="4824" spans="1:1" x14ac:dyDescent="0.25">
      <c r="A4824" t="str">
        <f t="shared" si="97"/>
        <v/>
      </c>
    </row>
    <row r="4825" spans="1:1" x14ac:dyDescent="0.25">
      <c r="A4825" t="str">
        <f t="shared" si="97"/>
        <v/>
      </c>
    </row>
    <row r="4826" spans="1:1" x14ac:dyDescent="0.25">
      <c r="A4826" t="str">
        <f t="shared" si="97"/>
        <v/>
      </c>
    </row>
    <row r="4827" spans="1:1" x14ac:dyDescent="0.25">
      <c r="A4827" t="str">
        <f t="shared" si="97"/>
        <v/>
      </c>
    </row>
    <row r="4828" spans="1:1" x14ac:dyDescent="0.25">
      <c r="A4828" t="str">
        <f t="shared" si="97"/>
        <v/>
      </c>
    </row>
    <row r="4829" spans="1:1" x14ac:dyDescent="0.25">
      <c r="A4829" t="str">
        <f t="shared" si="97"/>
        <v/>
      </c>
    </row>
    <row r="4830" spans="1:1" x14ac:dyDescent="0.25">
      <c r="A4830" t="str">
        <f t="shared" si="97"/>
        <v/>
      </c>
    </row>
    <row r="4831" spans="1:1" x14ac:dyDescent="0.25">
      <c r="A4831" t="str">
        <f t="shared" si="97"/>
        <v/>
      </c>
    </row>
    <row r="4832" spans="1:1" x14ac:dyDescent="0.25">
      <c r="A4832" t="str">
        <f t="shared" si="97"/>
        <v/>
      </c>
    </row>
    <row r="4833" spans="1:1" x14ac:dyDescent="0.25">
      <c r="A4833" t="str">
        <f t="shared" si="97"/>
        <v/>
      </c>
    </row>
    <row r="4834" spans="1:1" x14ac:dyDescent="0.25">
      <c r="A4834" t="str">
        <f t="shared" si="97"/>
        <v/>
      </c>
    </row>
    <row r="4835" spans="1:1" x14ac:dyDescent="0.25">
      <c r="A4835" t="str">
        <f t="shared" si="97"/>
        <v/>
      </c>
    </row>
    <row r="4836" spans="1:1" x14ac:dyDescent="0.25">
      <c r="A4836" t="str">
        <f t="shared" si="97"/>
        <v/>
      </c>
    </row>
    <row r="4837" spans="1:1" x14ac:dyDescent="0.25">
      <c r="A4837" t="str">
        <f t="shared" si="97"/>
        <v/>
      </c>
    </row>
    <row r="4838" spans="1:1" x14ac:dyDescent="0.25">
      <c r="A4838" t="str">
        <f t="shared" si="97"/>
        <v/>
      </c>
    </row>
    <row r="4839" spans="1:1" x14ac:dyDescent="0.25">
      <c r="A4839" t="str">
        <f t="shared" si="97"/>
        <v/>
      </c>
    </row>
    <row r="4840" spans="1:1" x14ac:dyDescent="0.25">
      <c r="A4840" t="str">
        <f t="shared" si="97"/>
        <v/>
      </c>
    </row>
    <row r="4841" spans="1:1" x14ac:dyDescent="0.25">
      <c r="A4841" t="str">
        <f t="shared" si="97"/>
        <v/>
      </c>
    </row>
    <row r="4842" spans="1:1" x14ac:dyDescent="0.25">
      <c r="A4842" t="str">
        <f t="shared" si="97"/>
        <v/>
      </c>
    </row>
    <row r="4843" spans="1:1" x14ac:dyDescent="0.25">
      <c r="A4843" t="str">
        <f t="shared" si="97"/>
        <v/>
      </c>
    </row>
    <row r="4844" spans="1:1" x14ac:dyDescent="0.25">
      <c r="A4844" t="str">
        <f t="shared" si="97"/>
        <v/>
      </c>
    </row>
    <row r="4845" spans="1:1" x14ac:dyDescent="0.25">
      <c r="A4845" t="str">
        <f t="shared" si="97"/>
        <v/>
      </c>
    </row>
    <row r="4846" spans="1:1" x14ac:dyDescent="0.25">
      <c r="A4846" t="str">
        <f t="shared" si="97"/>
        <v/>
      </c>
    </row>
    <row r="4847" spans="1:1" x14ac:dyDescent="0.25">
      <c r="A4847" t="str">
        <f t="shared" si="97"/>
        <v/>
      </c>
    </row>
    <row r="4848" spans="1:1" x14ac:dyDescent="0.25">
      <c r="A4848" t="str">
        <f t="shared" si="97"/>
        <v/>
      </c>
    </row>
    <row r="4849" spans="1:1" x14ac:dyDescent="0.25">
      <c r="A4849" t="str">
        <f t="shared" si="97"/>
        <v/>
      </c>
    </row>
    <row r="4850" spans="1:1" x14ac:dyDescent="0.25">
      <c r="A4850" t="str">
        <f t="shared" si="97"/>
        <v/>
      </c>
    </row>
    <row r="4851" spans="1:1" x14ac:dyDescent="0.25">
      <c r="A4851" t="str">
        <f t="shared" si="97"/>
        <v/>
      </c>
    </row>
    <row r="4852" spans="1:1" x14ac:dyDescent="0.25">
      <c r="A4852" t="str">
        <f t="shared" si="97"/>
        <v/>
      </c>
    </row>
    <row r="4853" spans="1:1" x14ac:dyDescent="0.25">
      <c r="A4853" t="str">
        <f t="shared" si="97"/>
        <v/>
      </c>
    </row>
    <row r="4854" spans="1:1" x14ac:dyDescent="0.25">
      <c r="A4854" t="str">
        <f t="shared" si="97"/>
        <v/>
      </c>
    </row>
    <row r="4855" spans="1:1" x14ac:dyDescent="0.25">
      <c r="A4855" t="str">
        <f t="shared" si="97"/>
        <v/>
      </c>
    </row>
    <row r="4856" spans="1:1" x14ac:dyDescent="0.25">
      <c r="A4856" t="str">
        <f t="shared" si="97"/>
        <v/>
      </c>
    </row>
    <row r="4857" spans="1:1" x14ac:dyDescent="0.25">
      <c r="A4857" t="str">
        <f t="shared" si="97"/>
        <v/>
      </c>
    </row>
    <row r="4858" spans="1:1" x14ac:dyDescent="0.25">
      <c r="A4858" t="str">
        <f t="shared" si="97"/>
        <v/>
      </c>
    </row>
    <row r="4859" spans="1:1" x14ac:dyDescent="0.25">
      <c r="A4859" t="str">
        <f t="shared" si="97"/>
        <v/>
      </c>
    </row>
    <row r="4860" spans="1:1" x14ac:dyDescent="0.25">
      <c r="A4860" t="str">
        <f t="shared" si="97"/>
        <v/>
      </c>
    </row>
    <row r="4861" spans="1:1" x14ac:dyDescent="0.25">
      <c r="A4861" t="str">
        <f t="shared" si="97"/>
        <v/>
      </c>
    </row>
    <row r="4862" spans="1:1" x14ac:dyDescent="0.25">
      <c r="A4862" t="str">
        <f t="shared" si="97"/>
        <v/>
      </c>
    </row>
    <row r="4863" spans="1:1" x14ac:dyDescent="0.25">
      <c r="A4863" t="str">
        <f t="shared" si="97"/>
        <v/>
      </c>
    </row>
    <row r="4864" spans="1:1" x14ac:dyDescent="0.25">
      <c r="A4864" t="str">
        <f t="shared" si="97"/>
        <v/>
      </c>
    </row>
    <row r="4865" spans="1:1" x14ac:dyDescent="0.25">
      <c r="A4865" t="str">
        <f t="shared" ref="A4865:A4928" si="98">E4865&amp;C4865&amp;D4865</f>
        <v/>
      </c>
    </row>
    <row r="4866" spans="1:1" x14ac:dyDescent="0.25">
      <c r="A4866" t="str">
        <f t="shared" si="98"/>
        <v/>
      </c>
    </row>
    <row r="4867" spans="1:1" x14ac:dyDescent="0.25">
      <c r="A4867" t="str">
        <f t="shared" si="98"/>
        <v/>
      </c>
    </row>
    <row r="4868" spans="1:1" x14ac:dyDescent="0.25">
      <c r="A4868" t="str">
        <f t="shared" si="98"/>
        <v/>
      </c>
    </row>
    <row r="4869" spans="1:1" x14ac:dyDescent="0.25">
      <c r="A4869" t="str">
        <f t="shared" si="98"/>
        <v/>
      </c>
    </row>
    <row r="4870" spans="1:1" x14ac:dyDescent="0.25">
      <c r="A4870" t="str">
        <f t="shared" si="98"/>
        <v/>
      </c>
    </row>
    <row r="4871" spans="1:1" x14ac:dyDescent="0.25">
      <c r="A4871" t="str">
        <f t="shared" si="98"/>
        <v/>
      </c>
    </row>
    <row r="4872" spans="1:1" x14ac:dyDescent="0.25">
      <c r="A4872" t="str">
        <f t="shared" si="98"/>
        <v/>
      </c>
    </row>
    <row r="4873" spans="1:1" x14ac:dyDescent="0.25">
      <c r="A4873" t="str">
        <f t="shared" si="98"/>
        <v/>
      </c>
    </row>
    <row r="4874" spans="1:1" x14ac:dyDescent="0.25">
      <c r="A4874" t="str">
        <f t="shared" si="98"/>
        <v/>
      </c>
    </row>
    <row r="4875" spans="1:1" x14ac:dyDescent="0.25">
      <c r="A4875" t="str">
        <f t="shared" si="98"/>
        <v/>
      </c>
    </row>
    <row r="4876" spans="1:1" x14ac:dyDescent="0.25">
      <c r="A4876" t="str">
        <f t="shared" si="98"/>
        <v/>
      </c>
    </row>
    <row r="4877" spans="1:1" x14ac:dyDescent="0.25">
      <c r="A4877" t="str">
        <f t="shared" si="98"/>
        <v/>
      </c>
    </row>
    <row r="4878" spans="1:1" x14ac:dyDescent="0.25">
      <c r="A4878" t="str">
        <f t="shared" si="98"/>
        <v/>
      </c>
    </row>
    <row r="4879" spans="1:1" x14ac:dyDescent="0.25">
      <c r="A4879" t="str">
        <f t="shared" si="98"/>
        <v/>
      </c>
    </row>
    <row r="4880" spans="1:1" x14ac:dyDescent="0.25">
      <c r="A4880" t="str">
        <f t="shared" si="98"/>
        <v/>
      </c>
    </row>
    <row r="4881" spans="1:1" x14ac:dyDescent="0.25">
      <c r="A4881" t="str">
        <f t="shared" si="98"/>
        <v/>
      </c>
    </row>
    <row r="4882" spans="1:1" x14ac:dyDescent="0.25">
      <c r="A4882" t="str">
        <f t="shared" si="98"/>
        <v/>
      </c>
    </row>
    <row r="4883" spans="1:1" x14ac:dyDescent="0.25">
      <c r="A4883" t="str">
        <f t="shared" si="98"/>
        <v/>
      </c>
    </row>
    <row r="4884" spans="1:1" x14ac:dyDescent="0.25">
      <c r="A4884" t="str">
        <f t="shared" si="98"/>
        <v/>
      </c>
    </row>
    <row r="4885" spans="1:1" x14ac:dyDescent="0.25">
      <c r="A4885" t="str">
        <f t="shared" si="98"/>
        <v/>
      </c>
    </row>
    <row r="4886" spans="1:1" x14ac:dyDescent="0.25">
      <c r="A4886" t="str">
        <f t="shared" si="98"/>
        <v/>
      </c>
    </row>
    <row r="4887" spans="1:1" x14ac:dyDescent="0.25">
      <c r="A4887" t="str">
        <f t="shared" si="98"/>
        <v/>
      </c>
    </row>
    <row r="4888" spans="1:1" x14ac:dyDescent="0.25">
      <c r="A4888" t="str">
        <f t="shared" si="98"/>
        <v/>
      </c>
    </row>
    <row r="4889" spans="1:1" x14ac:dyDescent="0.25">
      <c r="A4889" t="str">
        <f t="shared" si="98"/>
        <v/>
      </c>
    </row>
    <row r="4890" spans="1:1" x14ac:dyDescent="0.25">
      <c r="A4890" t="str">
        <f t="shared" si="98"/>
        <v/>
      </c>
    </row>
    <row r="4891" spans="1:1" x14ac:dyDescent="0.25">
      <c r="A4891" t="str">
        <f t="shared" si="98"/>
        <v/>
      </c>
    </row>
    <row r="4892" spans="1:1" x14ac:dyDescent="0.25">
      <c r="A4892" t="str">
        <f t="shared" si="98"/>
        <v/>
      </c>
    </row>
    <row r="4893" spans="1:1" x14ac:dyDescent="0.25">
      <c r="A4893" t="str">
        <f t="shared" si="98"/>
        <v/>
      </c>
    </row>
    <row r="4894" spans="1:1" x14ac:dyDescent="0.25">
      <c r="A4894" t="str">
        <f t="shared" si="98"/>
        <v/>
      </c>
    </row>
    <row r="4895" spans="1:1" x14ac:dyDescent="0.25">
      <c r="A4895" t="str">
        <f t="shared" si="98"/>
        <v/>
      </c>
    </row>
    <row r="4896" spans="1:1" x14ac:dyDescent="0.25">
      <c r="A4896" t="str">
        <f t="shared" si="98"/>
        <v/>
      </c>
    </row>
    <row r="4897" spans="1:1" x14ac:dyDescent="0.25">
      <c r="A4897" t="str">
        <f t="shared" si="98"/>
        <v/>
      </c>
    </row>
    <row r="4898" spans="1:1" x14ac:dyDescent="0.25">
      <c r="A4898" t="str">
        <f t="shared" si="98"/>
        <v/>
      </c>
    </row>
    <row r="4899" spans="1:1" x14ac:dyDescent="0.25">
      <c r="A4899" t="str">
        <f t="shared" si="98"/>
        <v/>
      </c>
    </row>
    <row r="4900" spans="1:1" x14ac:dyDescent="0.25">
      <c r="A4900" t="str">
        <f t="shared" si="98"/>
        <v/>
      </c>
    </row>
    <row r="4901" spans="1:1" x14ac:dyDescent="0.25">
      <c r="A4901" t="str">
        <f t="shared" si="98"/>
        <v/>
      </c>
    </row>
    <row r="4902" spans="1:1" x14ac:dyDescent="0.25">
      <c r="A4902" t="str">
        <f t="shared" si="98"/>
        <v/>
      </c>
    </row>
    <row r="4903" spans="1:1" x14ac:dyDescent="0.25">
      <c r="A4903" t="str">
        <f t="shared" si="98"/>
        <v/>
      </c>
    </row>
    <row r="4904" spans="1:1" x14ac:dyDescent="0.25">
      <c r="A4904" t="str">
        <f t="shared" si="98"/>
        <v/>
      </c>
    </row>
    <row r="4905" spans="1:1" x14ac:dyDescent="0.25">
      <c r="A4905" t="str">
        <f t="shared" si="98"/>
        <v/>
      </c>
    </row>
    <row r="4906" spans="1:1" x14ac:dyDescent="0.25">
      <c r="A4906" t="str">
        <f t="shared" si="98"/>
        <v/>
      </c>
    </row>
    <row r="4907" spans="1:1" x14ac:dyDescent="0.25">
      <c r="A4907" t="str">
        <f t="shared" si="98"/>
        <v/>
      </c>
    </row>
    <row r="4908" spans="1:1" x14ac:dyDescent="0.25">
      <c r="A4908" t="str">
        <f t="shared" si="98"/>
        <v/>
      </c>
    </row>
    <row r="4909" spans="1:1" x14ac:dyDescent="0.25">
      <c r="A4909" t="str">
        <f t="shared" si="98"/>
        <v/>
      </c>
    </row>
    <row r="4910" spans="1:1" x14ac:dyDescent="0.25">
      <c r="A4910" t="str">
        <f t="shared" si="98"/>
        <v/>
      </c>
    </row>
    <row r="4911" spans="1:1" x14ac:dyDescent="0.25">
      <c r="A4911" t="str">
        <f t="shared" si="98"/>
        <v/>
      </c>
    </row>
    <row r="4912" spans="1:1" x14ac:dyDescent="0.25">
      <c r="A4912" t="str">
        <f t="shared" si="98"/>
        <v/>
      </c>
    </row>
    <row r="4913" spans="1:1" x14ac:dyDescent="0.25">
      <c r="A4913" t="str">
        <f t="shared" si="98"/>
        <v/>
      </c>
    </row>
    <row r="4914" spans="1:1" x14ac:dyDescent="0.25">
      <c r="A4914" t="str">
        <f t="shared" si="98"/>
        <v/>
      </c>
    </row>
    <row r="4915" spans="1:1" x14ac:dyDescent="0.25">
      <c r="A4915" t="str">
        <f t="shared" si="98"/>
        <v/>
      </c>
    </row>
    <row r="4916" spans="1:1" x14ac:dyDescent="0.25">
      <c r="A4916" t="str">
        <f t="shared" si="98"/>
        <v/>
      </c>
    </row>
    <row r="4917" spans="1:1" x14ac:dyDescent="0.25">
      <c r="A4917" t="str">
        <f t="shared" si="98"/>
        <v/>
      </c>
    </row>
    <row r="4918" spans="1:1" x14ac:dyDescent="0.25">
      <c r="A4918" t="str">
        <f t="shared" si="98"/>
        <v/>
      </c>
    </row>
    <row r="4919" spans="1:1" x14ac:dyDescent="0.25">
      <c r="A4919" t="str">
        <f t="shared" si="98"/>
        <v/>
      </c>
    </row>
    <row r="4920" spans="1:1" x14ac:dyDescent="0.25">
      <c r="A4920" t="str">
        <f t="shared" si="98"/>
        <v/>
      </c>
    </row>
    <row r="4921" spans="1:1" x14ac:dyDescent="0.25">
      <c r="A4921" t="str">
        <f t="shared" si="98"/>
        <v/>
      </c>
    </row>
    <row r="4922" spans="1:1" x14ac:dyDescent="0.25">
      <c r="A4922" t="str">
        <f t="shared" si="98"/>
        <v/>
      </c>
    </row>
    <row r="4923" spans="1:1" x14ac:dyDescent="0.25">
      <c r="A4923" t="str">
        <f t="shared" si="98"/>
        <v/>
      </c>
    </row>
    <row r="4924" spans="1:1" x14ac:dyDescent="0.25">
      <c r="A4924" t="str">
        <f t="shared" si="98"/>
        <v/>
      </c>
    </row>
    <row r="4925" spans="1:1" x14ac:dyDescent="0.25">
      <c r="A4925" t="str">
        <f t="shared" si="98"/>
        <v/>
      </c>
    </row>
    <row r="4926" spans="1:1" x14ac:dyDescent="0.25">
      <c r="A4926" t="str">
        <f t="shared" si="98"/>
        <v/>
      </c>
    </row>
    <row r="4927" spans="1:1" x14ac:dyDescent="0.25">
      <c r="A4927" t="str">
        <f t="shared" si="98"/>
        <v/>
      </c>
    </row>
    <row r="4928" spans="1:1" x14ac:dyDescent="0.25">
      <c r="A4928" t="str">
        <f t="shared" si="98"/>
        <v/>
      </c>
    </row>
    <row r="4929" spans="1:1" x14ac:dyDescent="0.25">
      <c r="A4929" t="str">
        <f t="shared" ref="A4929:A4992" si="99">E4929&amp;C4929&amp;D4929</f>
        <v/>
      </c>
    </row>
    <row r="4930" spans="1:1" x14ac:dyDescent="0.25">
      <c r="A4930" t="str">
        <f t="shared" si="99"/>
        <v/>
      </c>
    </row>
    <row r="4931" spans="1:1" x14ac:dyDescent="0.25">
      <c r="A4931" t="str">
        <f t="shared" si="99"/>
        <v/>
      </c>
    </row>
    <row r="4932" spans="1:1" x14ac:dyDescent="0.25">
      <c r="A4932" t="str">
        <f t="shared" si="99"/>
        <v/>
      </c>
    </row>
    <row r="4933" spans="1:1" x14ac:dyDescent="0.25">
      <c r="A4933" t="str">
        <f t="shared" si="99"/>
        <v/>
      </c>
    </row>
    <row r="4934" spans="1:1" x14ac:dyDescent="0.25">
      <c r="A4934" t="str">
        <f t="shared" si="99"/>
        <v/>
      </c>
    </row>
    <row r="4935" spans="1:1" x14ac:dyDescent="0.25">
      <c r="A4935" t="str">
        <f t="shared" si="99"/>
        <v/>
      </c>
    </row>
    <row r="4936" spans="1:1" x14ac:dyDescent="0.25">
      <c r="A4936" t="str">
        <f t="shared" si="99"/>
        <v/>
      </c>
    </row>
    <row r="4937" spans="1:1" x14ac:dyDescent="0.25">
      <c r="A4937" t="str">
        <f t="shared" si="99"/>
        <v/>
      </c>
    </row>
    <row r="4938" spans="1:1" x14ac:dyDescent="0.25">
      <c r="A4938" t="str">
        <f t="shared" si="99"/>
        <v/>
      </c>
    </row>
    <row r="4939" spans="1:1" x14ac:dyDescent="0.25">
      <c r="A4939" t="str">
        <f t="shared" si="99"/>
        <v/>
      </c>
    </row>
    <row r="4940" spans="1:1" x14ac:dyDescent="0.25">
      <c r="A4940" t="str">
        <f t="shared" si="99"/>
        <v/>
      </c>
    </row>
    <row r="4941" spans="1:1" x14ac:dyDescent="0.25">
      <c r="A4941" t="str">
        <f t="shared" si="99"/>
        <v/>
      </c>
    </row>
    <row r="4942" spans="1:1" x14ac:dyDescent="0.25">
      <c r="A4942" t="str">
        <f t="shared" si="99"/>
        <v/>
      </c>
    </row>
    <row r="4943" spans="1:1" x14ac:dyDescent="0.25">
      <c r="A4943" t="str">
        <f t="shared" si="99"/>
        <v/>
      </c>
    </row>
    <row r="4944" spans="1:1" x14ac:dyDescent="0.25">
      <c r="A4944" t="str">
        <f t="shared" si="99"/>
        <v/>
      </c>
    </row>
    <row r="4945" spans="1:1" x14ac:dyDescent="0.25">
      <c r="A4945" t="str">
        <f t="shared" si="99"/>
        <v/>
      </c>
    </row>
    <row r="4946" spans="1:1" x14ac:dyDescent="0.25">
      <c r="A4946" t="str">
        <f t="shared" si="99"/>
        <v/>
      </c>
    </row>
    <row r="4947" spans="1:1" x14ac:dyDescent="0.25">
      <c r="A4947" t="str">
        <f t="shared" si="99"/>
        <v/>
      </c>
    </row>
    <row r="4948" spans="1:1" x14ac:dyDescent="0.25">
      <c r="A4948" t="str">
        <f t="shared" si="99"/>
        <v/>
      </c>
    </row>
    <row r="4949" spans="1:1" x14ac:dyDescent="0.25">
      <c r="A4949" t="str">
        <f t="shared" si="99"/>
        <v/>
      </c>
    </row>
    <row r="4950" spans="1:1" x14ac:dyDescent="0.25">
      <c r="A4950" t="str">
        <f t="shared" si="99"/>
        <v/>
      </c>
    </row>
    <row r="4951" spans="1:1" x14ac:dyDescent="0.25">
      <c r="A4951" t="str">
        <f t="shared" si="99"/>
        <v/>
      </c>
    </row>
    <row r="4952" spans="1:1" x14ac:dyDescent="0.25">
      <c r="A4952" t="str">
        <f t="shared" si="99"/>
        <v/>
      </c>
    </row>
    <row r="4953" spans="1:1" x14ac:dyDescent="0.25">
      <c r="A4953" t="str">
        <f t="shared" si="99"/>
        <v/>
      </c>
    </row>
    <row r="4954" spans="1:1" x14ac:dyDescent="0.25">
      <c r="A4954" t="str">
        <f t="shared" si="99"/>
        <v/>
      </c>
    </row>
    <row r="4955" spans="1:1" x14ac:dyDescent="0.25">
      <c r="A4955" t="str">
        <f t="shared" si="99"/>
        <v/>
      </c>
    </row>
    <row r="4956" spans="1:1" x14ac:dyDescent="0.25">
      <c r="A4956" t="str">
        <f t="shared" si="99"/>
        <v/>
      </c>
    </row>
    <row r="4957" spans="1:1" x14ac:dyDescent="0.25">
      <c r="A4957" t="str">
        <f t="shared" si="99"/>
        <v/>
      </c>
    </row>
    <row r="4958" spans="1:1" x14ac:dyDescent="0.25">
      <c r="A4958" t="str">
        <f t="shared" si="99"/>
        <v/>
      </c>
    </row>
    <row r="4959" spans="1:1" x14ac:dyDescent="0.25">
      <c r="A4959" t="str">
        <f t="shared" si="99"/>
        <v/>
      </c>
    </row>
    <row r="4960" spans="1:1" x14ac:dyDescent="0.25">
      <c r="A4960" t="str">
        <f t="shared" si="99"/>
        <v/>
      </c>
    </row>
    <row r="4961" spans="1:1" x14ac:dyDescent="0.25">
      <c r="A4961" t="str">
        <f t="shared" si="99"/>
        <v/>
      </c>
    </row>
    <row r="4962" spans="1:1" x14ac:dyDescent="0.25">
      <c r="A4962" t="str">
        <f t="shared" si="99"/>
        <v/>
      </c>
    </row>
    <row r="4963" spans="1:1" x14ac:dyDescent="0.25">
      <c r="A4963" t="str">
        <f t="shared" si="99"/>
        <v/>
      </c>
    </row>
    <row r="4964" spans="1:1" x14ac:dyDescent="0.25">
      <c r="A4964" t="str">
        <f t="shared" si="99"/>
        <v/>
      </c>
    </row>
    <row r="4965" spans="1:1" x14ac:dyDescent="0.25">
      <c r="A4965" t="str">
        <f t="shared" si="99"/>
        <v/>
      </c>
    </row>
    <row r="4966" spans="1:1" x14ac:dyDescent="0.25">
      <c r="A4966" t="str">
        <f t="shared" si="99"/>
        <v/>
      </c>
    </row>
    <row r="4967" spans="1:1" x14ac:dyDescent="0.25">
      <c r="A4967" t="str">
        <f t="shared" si="99"/>
        <v/>
      </c>
    </row>
    <row r="4968" spans="1:1" x14ac:dyDescent="0.25">
      <c r="A4968" t="str">
        <f t="shared" si="99"/>
        <v/>
      </c>
    </row>
    <row r="4969" spans="1:1" x14ac:dyDescent="0.25">
      <c r="A4969" t="str">
        <f t="shared" si="99"/>
        <v/>
      </c>
    </row>
    <row r="4970" spans="1:1" x14ac:dyDescent="0.25">
      <c r="A4970" t="str">
        <f t="shared" si="99"/>
        <v/>
      </c>
    </row>
    <row r="4971" spans="1:1" x14ac:dyDescent="0.25">
      <c r="A4971" t="str">
        <f t="shared" si="99"/>
        <v/>
      </c>
    </row>
    <row r="4972" spans="1:1" x14ac:dyDescent="0.25">
      <c r="A4972" t="str">
        <f t="shared" si="99"/>
        <v/>
      </c>
    </row>
    <row r="4973" spans="1:1" x14ac:dyDescent="0.25">
      <c r="A4973" t="str">
        <f t="shared" si="99"/>
        <v/>
      </c>
    </row>
    <row r="4974" spans="1:1" x14ac:dyDescent="0.25">
      <c r="A4974" t="str">
        <f t="shared" si="99"/>
        <v/>
      </c>
    </row>
    <row r="4975" spans="1:1" x14ac:dyDescent="0.25">
      <c r="A4975" t="str">
        <f t="shared" si="99"/>
        <v/>
      </c>
    </row>
    <row r="4976" spans="1:1" x14ac:dyDescent="0.25">
      <c r="A4976" t="str">
        <f t="shared" si="99"/>
        <v/>
      </c>
    </row>
    <row r="4977" spans="1:1" x14ac:dyDescent="0.25">
      <c r="A4977" t="str">
        <f t="shared" si="99"/>
        <v/>
      </c>
    </row>
    <row r="4978" spans="1:1" x14ac:dyDescent="0.25">
      <c r="A4978" t="str">
        <f t="shared" si="99"/>
        <v/>
      </c>
    </row>
    <row r="4979" spans="1:1" x14ac:dyDescent="0.25">
      <c r="A4979" t="str">
        <f t="shared" si="99"/>
        <v/>
      </c>
    </row>
    <row r="4980" spans="1:1" x14ac:dyDescent="0.25">
      <c r="A4980" t="str">
        <f t="shared" si="99"/>
        <v/>
      </c>
    </row>
    <row r="4981" spans="1:1" x14ac:dyDescent="0.25">
      <c r="A4981" t="str">
        <f t="shared" si="99"/>
        <v/>
      </c>
    </row>
    <row r="4982" spans="1:1" x14ac:dyDescent="0.25">
      <c r="A4982" t="str">
        <f t="shared" si="99"/>
        <v/>
      </c>
    </row>
    <row r="4983" spans="1:1" x14ac:dyDescent="0.25">
      <c r="A4983" t="str">
        <f t="shared" si="99"/>
        <v/>
      </c>
    </row>
    <row r="4984" spans="1:1" x14ac:dyDescent="0.25">
      <c r="A4984" t="str">
        <f t="shared" si="99"/>
        <v/>
      </c>
    </row>
    <row r="4985" spans="1:1" x14ac:dyDescent="0.25">
      <c r="A4985" t="str">
        <f t="shared" si="99"/>
        <v/>
      </c>
    </row>
    <row r="4986" spans="1:1" x14ac:dyDescent="0.25">
      <c r="A4986" t="str">
        <f t="shared" si="99"/>
        <v/>
      </c>
    </row>
    <row r="4987" spans="1:1" x14ac:dyDescent="0.25">
      <c r="A4987" t="str">
        <f t="shared" si="99"/>
        <v/>
      </c>
    </row>
    <row r="4988" spans="1:1" x14ac:dyDescent="0.25">
      <c r="A4988" t="str">
        <f t="shared" si="99"/>
        <v/>
      </c>
    </row>
    <row r="4989" spans="1:1" x14ac:dyDescent="0.25">
      <c r="A4989" t="str">
        <f t="shared" si="99"/>
        <v/>
      </c>
    </row>
    <row r="4990" spans="1:1" x14ac:dyDescent="0.25">
      <c r="A4990" t="str">
        <f t="shared" si="99"/>
        <v/>
      </c>
    </row>
    <row r="4991" spans="1:1" x14ac:dyDescent="0.25">
      <c r="A4991" t="str">
        <f t="shared" si="99"/>
        <v/>
      </c>
    </row>
    <row r="4992" spans="1:1" x14ac:dyDescent="0.25">
      <c r="A4992" t="str">
        <f t="shared" si="99"/>
        <v/>
      </c>
    </row>
    <row r="4993" spans="1:1" x14ac:dyDescent="0.25">
      <c r="A4993" t="str">
        <f t="shared" ref="A4993:A5056" si="100">E4993&amp;C4993&amp;D4993</f>
        <v/>
      </c>
    </row>
    <row r="4994" spans="1:1" x14ac:dyDescent="0.25">
      <c r="A4994" t="str">
        <f t="shared" si="100"/>
        <v/>
      </c>
    </row>
    <row r="4995" spans="1:1" x14ac:dyDescent="0.25">
      <c r="A4995" t="str">
        <f t="shared" si="100"/>
        <v/>
      </c>
    </row>
    <row r="4996" spans="1:1" x14ac:dyDescent="0.25">
      <c r="A4996" t="str">
        <f t="shared" si="100"/>
        <v/>
      </c>
    </row>
    <row r="4997" spans="1:1" x14ac:dyDescent="0.25">
      <c r="A4997" t="str">
        <f t="shared" si="100"/>
        <v/>
      </c>
    </row>
    <row r="4998" spans="1:1" x14ac:dyDescent="0.25">
      <c r="A4998" t="str">
        <f t="shared" si="100"/>
        <v/>
      </c>
    </row>
    <row r="4999" spans="1:1" x14ac:dyDescent="0.25">
      <c r="A4999" t="str">
        <f t="shared" si="100"/>
        <v/>
      </c>
    </row>
    <row r="5000" spans="1:1" x14ac:dyDescent="0.25">
      <c r="A5000" t="str">
        <f t="shared" si="100"/>
        <v/>
      </c>
    </row>
    <row r="5001" spans="1:1" x14ac:dyDescent="0.25">
      <c r="A5001" t="str">
        <f t="shared" si="100"/>
        <v/>
      </c>
    </row>
    <row r="5002" spans="1:1" x14ac:dyDescent="0.25">
      <c r="A5002" t="str">
        <f t="shared" si="100"/>
        <v/>
      </c>
    </row>
    <row r="5003" spans="1:1" x14ac:dyDescent="0.25">
      <c r="A5003" t="str">
        <f t="shared" si="100"/>
        <v/>
      </c>
    </row>
    <row r="5004" spans="1:1" x14ac:dyDescent="0.25">
      <c r="A5004" t="str">
        <f t="shared" si="100"/>
        <v/>
      </c>
    </row>
    <row r="5005" spans="1:1" x14ac:dyDescent="0.25">
      <c r="A5005" t="str">
        <f t="shared" si="100"/>
        <v/>
      </c>
    </row>
    <row r="5006" spans="1:1" x14ac:dyDescent="0.25">
      <c r="A5006" t="str">
        <f t="shared" si="100"/>
        <v/>
      </c>
    </row>
    <row r="5007" spans="1:1" x14ac:dyDescent="0.25">
      <c r="A5007" t="str">
        <f t="shared" si="100"/>
        <v/>
      </c>
    </row>
    <row r="5008" spans="1:1" x14ac:dyDescent="0.25">
      <c r="A5008" t="str">
        <f t="shared" si="100"/>
        <v/>
      </c>
    </row>
    <row r="5009" spans="1:1" x14ac:dyDescent="0.25">
      <c r="A5009" t="str">
        <f t="shared" si="100"/>
        <v/>
      </c>
    </row>
    <row r="5010" spans="1:1" x14ac:dyDescent="0.25">
      <c r="A5010" t="str">
        <f t="shared" si="100"/>
        <v/>
      </c>
    </row>
    <row r="5011" spans="1:1" x14ac:dyDescent="0.25">
      <c r="A5011" t="str">
        <f t="shared" si="100"/>
        <v/>
      </c>
    </row>
    <row r="5012" spans="1:1" x14ac:dyDescent="0.25">
      <c r="A5012" t="str">
        <f t="shared" si="100"/>
        <v/>
      </c>
    </row>
    <row r="5013" spans="1:1" x14ac:dyDescent="0.25">
      <c r="A5013" t="str">
        <f t="shared" si="100"/>
        <v/>
      </c>
    </row>
    <row r="5014" spans="1:1" x14ac:dyDescent="0.25">
      <c r="A5014" t="str">
        <f t="shared" si="100"/>
        <v/>
      </c>
    </row>
    <row r="5015" spans="1:1" x14ac:dyDescent="0.25">
      <c r="A5015" t="str">
        <f t="shared" si="100"/>
        <v/>
      </c>
    </row>
    <row r="5016" spans="1:1" x14ac:dyDescent="0.25">
      <c r="A5016" t="str">
        <f t="shared" si="100"/>
        <v/>
      </c>
    </row>
    <row r="5017" spans="1:1" x14ac:dyDescent="0.25">
      <c r="A5017" t="str">
        <f t="shared" si="100"/>
        <v/>
      </c>
    </row>
    <row r="5018" spans="1:1" x14ac:dyDescent="0.25">
      <c r="A5018" t="str">
        <f t="shared" si="100"/>
        <v/>
      </c>
    </row>
    <row r="5019" spans="1:1" x14ac:dyDescent="0.25">
      <c r="A5019" t="str">
        <f t="shared" si="100"/>
        <v/>
      </c>
    </row>
    <row r="5020" spans="1:1" x14ac:dyDescent="0.25">
      <c r="A5020" t="str">
        <f t="shared" si="100"/>
        <v/>
      </c>
    </row>
    <row r="5021" spans="1:1" x14ac:dyDescent="0.25">
      <c r="A5021" t="str">
        <f t="shared" si="100"/>
        <v/>
      </c>
    </row>
    <row r="5022" spans="1:1" x14ac:dyDescent="0.25">
      <c r="A5022" t="str">
        <f t="shared" si="100"/>
        <v/>
      </c>
    </row>
    <row r="5023" spans="1:1" x14ac:dyDescent="0.25">
      <c r="A5023" t="str">
        <f t="shared" si="100"/>
        <v/>
      </c>
    </row>
    <row r="5024" spans="1:1" x14ac:dyDescent="0.25">
      <c r="A5024" t="str">
        <f t="shared" si="100"/>
        <v/>
      </c>
    </row>
    <row r="5025" spans="1:1" x14ac:dyDescent="0.25">
      <c r="A5025" t="str">
        <f t="shared" si="100"/>
        <v/>
      </c>
    </row>
    <row r="5026" spans="1:1" x14ac:dyDescent="0.25">
      <c r="A5026" t="str">
        <f t="shared" si="100"/>
        <v/>
      </c>
    </row>
    <row r="5027" spans="1:1" x14ac:dyDescent="0.25">
      <c r="A5027" t="str">
        <f t="shared" si="100"/>
        <v/>
      </c>
    </row>
    <row r="5028" spans="1:1" x14ac:dyDescent="0.25">
      <c r="A5028" t="str">
        <f t="shared" si="100"/>
        <v/>
      </c>
    </row>
    <row r="5029" spans="1:1" x14ac:dyDescent="0.25">
      <c r="A5029" t="str">
        <f t="shared" si="100"/>
        <v/>
      </c>
    </row>
    <row r="5030" spans="1:1" x14ac:dyDescent="0.25">
      <c r="A5030" t="str">
        <f t="shared" si="100"/>
        <v/>
      </c>
    </row>
    <row r="5031" spans="1:1" x14ac:dyDescent="0.25">
      <c r="A5031" t="str">
        <f t="shared" si="100"/>
        <v/>
      </c>
    </row>
    <row r="5032" spans="1:1" x14ac:dyDescent="0.25">
      <c r="A5032" t="str">
        <f t="shared" si="100"/>
        <v/>
      </c>
    </row>
    <row r="5033" spans="1:1" x14ac:dyDescent="0.25">
      <c r="A5033" t="str">
        <f t="shared" si="100"/>
        <v/>
      </c>
    </row>
    <row r="5034" spans="1:1" x14ac:dyDescent="0.25">
      <c r="A5034" t="str">
        <f t="shared" si="100"/>
        <v/>
      </c>
    </row>
    <row r="5035" spans="1:1" x14ac:dyDescent="0.25">
      <c r="A5035" t="str">
        <f t="shared" si="100"/>
        <v/>
      </c>
    </row>
    <row r="5036" spans="1:1" x14ac:dyDescent="0.25">
      <c r="A5036" t="str">
        <f t="shared" si="100"/>
        <v/>
      </c>
    </row>
    <row r="5037" spans="1:1" x14ac:dyDescent="0.25">
      <c r="A5037" t="str">
        <f t="shared" si="100"/>
        <v/>
      </c>
    </row>
    <row r="5038" spans="1:1" x14ac:dyDescent="0.25">
      <c r="A5038" t="str">
        <f t="shared" si="100"/>
        <v/>
      </c>
    </row>
    <row r="5039" spans="1:1" x14ac:dyDescent="0.25">
      <c r="A5039" t="str">
        <f t="shared" si="100"/>
        <v/>
      </c>
    </row>
    <row r="5040" spans="1:1" x14ac:dyDescent="0.25">
      <c r="A5040" t="str">
        <f t="shared" si="100"/>
        <v/>
      </c>
    </row>
    <row r="5041" spans="1:1" x14ac:dyDescent="0.25">
      <c r="A5041" t="str">
        <f t="shared" si="100"/>
        <v/>
      </c>
    </row>
    <row r="5042" spans="1:1" x14ac:dyDescent="0.25">
      <c r="A5042" t="str">
        <f t="shared" si="100"/>
        <v/>
      </c>
    </row>
    <row r="5043" spans="1:1" x14ac:dyDescent="0.25">
      <c r="A5043" t="str">
        <f t="shared" si="100"/>
        <v/>
      </c>
    </row>
    <row r="5044" spans="1:1" x14ac:dyDescent="0.25">
      <c r="A5044" t="str">
        <f t="shared" si="100"/>
        <v/>
      </c>
    </row>
    <row r="5045" spans="1:1" x14ac:dyDescent="0.25">
      <c r="A5045" t="str">
        <f t="shared" si="100"/>
        <v/>
      </c>
    </row>
    <row r="5046" spans="1:1" x14ac:dyDescent="0.25">
      <c r="A5046" t="str">
        <f t="shared" si="100"/>
        <v/>
      </c>
    </row>
    <row r="5047" spans="1:1" x14ac:dyDescent="0.25">
      <c r="A5047" t="str">
        <f t="shared" si="100"/>
        <v/>
      </c>
    </row>
    <row r="5048" spans="1:1" x14ac:dyDescent="0.25">
      <c r="A5048" t="str">
        <f t="shared" si="100"/>
        <v/>
      </c>
    </row>
    <row r="5049" spans="1:1" x14ac:dyDescent="0.25">
      <c r="A5049" t="str">
        <f t="shared" si="100"/>
        <v/>
      </c>
    </row>
    <row r="5050" spans="1:1" x14ac:dyDescent="0.25">
      <c r="A5050" t="str">
        <f t="shared" si="100"/>
        <v/>
      </c>
    </row>
    <row r="5051" spans="1:1" x14ac:dyDescent="0.25">
      <c r="A5051" t="str">
        <f t="shared" si="100"/>
        <v/>
      </c>
    </row>
    <row r="5052" spans="1:1" x14ac:dyDescent="0.25">
      <c r="A5052" t="str">
        <f t="shared" si="100"/>
        <v/>
      </c>
    </row>
    <row r="5053" spans="1:1" x14ac:dyDescent="0.25">
      <c r="A5053" t="str">
        <f t="shared" si="100"/>
        <v/>
      </c>
    </row>
    <row r="5054" spans="1:1" x14ac:dyDescent="0.25">
      <c r="A5054" t="str">
        <f t="shared" si="100"/>
        <v/>
      </c>
    </row>
    <row r="5055" spans="1:1" x14ac:dyDescent="0.25">
      <c r="A5055" t="str">
        <f t="shared" si="100"/>
        <v/>
      </c>
    </row>
    <row r="5056" spans="1:1" x14ac:dyDescent="0.25">
      <c r="A5056" t="str">
        <f t="shared" si="100"/>
        <v/>
      </c>
    </row>
    <row r="5057" spans="1:1" x14ac:dyDescent="0.25">
      <c r="A5057" t="str">
        <f t="shared" ref="A5057:A5120" si="101">E5057&amp;C5057&amp;D5057</f>
        <v/>
      </c>
    </row>
    <row r="5058" spans="1:1" x14ac:dyDescent="0.25">
      <c r="A5058" t="str">
        <f t="shared" si="101"/>
        <v/>
      </c>
    </row>
    <row r="5059" spans="1:1" x14ac:dyDescent="0.25">
      <c r="A5059" t="str">
        <f t="shared" si="101"/>
        <v/>
      </c>
    </row>
    <row r="5060" spans="1:1" x14ac:dyDescent="0.25">
      <c r="A5060" t="str">
        <f t="shared" si="101"/>
        <v/>
      </c>
    </row>
    <row r="5061" spans="1:1" x14ac:dyDescent="0.25">
      <c r="A5061" t="str">
        <f t="shared" si="101"/>
        <v/>
      </c>
    </row>
    <row r="5062" spans="1:1" x14ac:dyDescent="0.25">
      <c r="A5062" t="str">
        <f t="shared" si="101"/>
        <v/>
      </c>
    </row>
    <row r="5063" spans="1:1" x14ac:dyDescent="0.25">
      <c r="A5063" t="str">
        <f t="shared" si="101"/>
        <v/>
      </c>
    </row>
    <row r="5064" spans="1:1" x14ac:dyDescent="0.25">
      <c r="A5064" t="str">
        <f t="shared" si="101"/>
        <v/>
      </c>
    </row>
    <row r="5065" spans="1:1" x14ac:dyDescent="0.25">
      <c r="A5065" t="str">
        <f t="shared" si="101"/>
        <v/>
      </c>
    </row>
    <row r="5066" spans="1:1" x14ac:dyDescent="0.25">
      <c r="A5066" t="str">
        <f t="shared" si="101"/>
        <v/>
      </c>
    </row>
    <row r="5067" spans="1:1" x14ac:dyDescent="0.25">
      <c r="A5067" t="str">
        <f t="shared" si="101"/>
        <v/>
      </c>
    </row>
    <row r="5068" spans="1:1" x14ac:dyDescent="0.25">
      <c r="A5068" t="str">
        <f t="shared" si="101"/>
        <v/>
      </c>
    </row>
    <row r="5069" spans="1:1" x14ac:dyDescent="0.25">
      <c r="A5069" t="str">
        <f t="shared" si="101"/>
        <v/>
      </c>
    </row>
    <row r="5070" spans="1:1" x14ac:dyDescent="0.25">
      <c r="A5070" t="str">
        <f t="shared" si="101"/>
        <v/>
      </c>
    </row>
    <row r="5071" spans="1:1" x14ac:dyDescent="0.25">
      <c r="A5071" t="str">
        <f t="shared" si="101"/>
        <v/>
      </c>
    </row>
    <row r="5072" spans="1:1" x14ac:dyDescent="0.25">
      <c r="A5072" t="str">
        <f t="shared" si="101"/>
        <v/>
      </c>
    </row>
    <row r="5073" spans="1:1" x14ac:dyDescent="0.25">
      <c r="A5073" t="str">
        <f t="shared" si="101"/>
        <v/>
      </c>
    </row>
    <row r="5074" spans="1:1" x14ac:dyDescent="0.25">
      <c r="A5074" t="str">
        <f t="shared" si="101"/>
        <v/>
      </c>
    </row>
    <row r="5075" spans="1:1" x14ac:dyDescent="0.25">
      <c r="A5075" t="str">
        <f t="shared" si="101"/>
        <v/>
      </c>
    </row>
    <row r="5076" spans="1:1" x14ac:dyDescent="0.25">
      <c r="A5076" t="str">
        <f t="shared" si="101"/>
        <v/>
      </c>
    </row>
    <row r="5077" spans="1:1" x14ac:dyDescent="0.25">
      <c r="A5077" t="str">
        <f t="shared" si="101"/>
        <v/>
      </c>
    </row>
    <row r="5078" spans="1:1" x14ac:dyDescent="0.25">
      <c r="A5078" t="str">
        <f t="shared" si="101"/>
        <v/>
      </c>
    </row>
    <row r="5079" spans="1:1" x14ac:dyDescent="0.25">
      <c r="A5079" t="str">
        <f t="shared" si="101"/>
        <v/>
      </c>
    </row>
    <row r="5080" spans="1:1" x14ac:dyDescent="0.25">
      <c r="A5080" t="str">
        <f t="shared" si="101"/>
        <v/>
      </c>
    </row>
    <row r="5081" spans="1:1" x14ac:dyDescent="0.25">
      <c r="A5081" t="str">
        <f t="shared" si="101"/>
        <v/>
      </c>
    </row>
    <row r="5082" spans="1:1" x14ac:dyDescent="0.25">
      <c r="A5082" t="str">
        <f t="shared" si="101"/>
        <v/>
      </c>
    </row>
    <row r="5083" spans="1:1" x14ac:dyDescent="0.25">
      <c r="A5083" t="str">
        <f t="shared" si="101"/>
        <v/>
      </c>
    </row>
    <row r="5084" spans="1:1" x14ac:dyDescent="0.25">
      <c r="A5084" t="str">
        <f t="shared" si="101"/>
        <v/>
      </c>
    </row>
    <row r="5085" spans="1:1" x14ac:dyDescent="0.25">
      <c r="A5085" t="str">
        <f t="shared" si="101"/>
        <v/>
      </c>
    </row>
    <row r="5086" spans="1:1" x14ac:dyDescent="0.25">
      <c r="A5086" t="str">
        <f t="shared" si="101"/>
        <v/>
      </c>
    </row>
    <row r="5087" spans="1:1" x14ac:dyDescent="0.25">
      <c r="A5087" t="str">
        <f t="shared" si="101"/>
        <v/>
      </c>
    </row>
    <row r="5088" spans="1:1" x14ac:dyDescent="0.25">
      <c r="A5088" t="str">
        <f t="shared" si="101"/>
        <v/>
      </c>
    </row>
    <row r="5089" spans="1:1" x14ac:dyDescent="0.25">
      <c r="A5089" t="str">
        <f t="shared" si="101"/>
        <v/>
      </c>
    </row>
    <row r="5090" spans="1:1" x14ac:dyDescent="0.25">
      <c r="A5090" t="str">
        <f t="shared" si="101"/>
        <v/>
      </c>
    </row>
    <row r="5091" spans="1:1" x14ac:dyDescent="0.25">
      <c r="A5091" t="str">
        <f t="shared" si="101"/>
        <v/>
      </c>
    </row>
    <row r="5092" spans="1:1" x14ac:dyDescent="0.25">
      <c r="A5092" t="str">
        <f t="shared" si="101"/>
        <v/>
      </c>
    </row>
    <row r="5093" spans="1:1" x14ac:dyDescent="0.25">
      <c r="A5093" t="str">
        <f t="shared" si="101"/>
        <v/>
      </c>
    </row>
    <row r="5094" spans="1:1" x14ac:dyDescent="0.25">
      <c r="A5094" t="str">
        <f t="shared" si="101"/>
        <v/>
      </c>
    </row>
    <row r="5095" spans="1:1" x14ac:dyDescent="0.25">
      <c r="A5095" t="str">
        <f t="shared" si="101"/>
        <v/>
      </c>
    </row>
    <row r="5096" spans="1:1" x14ac:dyDescent="0.25">
      <c r="A5096" t="str">
        <f t="shared" si="101"/>
        <v/>
      </c>
    </row>
    <row r="5097" spans="1:1" x14ac:dyDescent="0.25">
      <c r="A5097" t="str">
        <f t="shared" si="101"/>
        <v/>
      </c>
    </row>
    <row r="5098" spans="1:1" x14ac:dyDescent="0.25">
      <c r="A5098" t="str">
        <f t="shared" si="101"/>
        <v/>
      </c>
    </row>
    <row r="5099" spans="1:1" x14ac:dyDescent="0.25">
      <c r="A5099" t="str">
        <f t="shared" si="101"/>
        <v/>
      </c>
    </row>
    <row r="5100" spans="1:1" x14ac:dyDescent="0.25">
      <c r="A5100" t="str">
        <f t="shared" si="101"/>
        <v/>
      </c>
    </row>
    <row r="5101" spans="1:1" x14ac:dyDescent="0.25">
      <c r="A5101" t="str">
        <f t="shared" si="101"/>
        <v/>
      </c>
    </row>
    <row r="5102" spans="1:1" x14ac:dyDescent="0.25">
      <c r="A5102" t="str">
        <f t="shared" si="101"/>
        <v/>
      </c>
    </row>
    <row r="5103" spans="1:1" x14ac:dyDescent="0.25">
      <c r="A5103" t="str">
        <f t="shared" si="101"/>
        <v/>
      </c>
    </row>
    <row r="5104" spans="1:1" x14ac:dyDescent="0.25">
      <c r="A5104" t="str">
        <f t="shared" si="101"/>
        <v/>
      </c>
    </row>
    <row r="5105" spans="1:1" x14ac:dyDescent="0.25">
      <c r="A5105" t="str">
        <f t="shared" si="101"/>
        <v/>
      </c>
    </row>
    <row r="5106" spans="1:1" x14ac:dyDescent="0.25">
      <c r="A5106" t="str">
        <f t="shared" si="101"/>
        <v/>
      </c>
    </row>
    <row r="5107" spans="1:1" x14ac:dyDescent="0.25">
      <c r="A5107" t="str">
        <f t="shared" si="101"/>
        <v/>
      </c>
    </row>
    <row r="5108" spans="1:1" x14ac:dyDescent="0.25">
      <c r="A5108" t="str">
        <f t="shared" si="101"/>
        <v/>
      </c>
    </row>
    <row r="5109" spans="1:1" x14ac:dyDescent="0.25">
      <c r="A5109" t="str">
        <f t="shared" si="101"/>
        <v/>
      </c>
    </row>
    <row r="5110" spans="1:1" x14ac:dyDescent="0.25">
      <c r="A5110" t="str">
        <f t="shared" si="101"/>
        <v/>
      </c>
    </row>
    <row r="5111" spans="1:1" x14ac:dyDescent="0.25">
      <c r="A5111" t="str">
        <f t="shared" si="101"/>
        <v/>
      </c>
    </row>
    <row r="5112" spans="1:1" x14ac:dyDescent="0.25">
      <c r="A5112" t="str">
        <f t="shared" si="101"/>
        <v/>
      </c>
    </row>
    <row r="5113" spans="1:1" x14ac:dyDescent="0.25">
      <c r="A5113" t="str">
        <f t="shared" si="101"/>
        <v/>
      </c>
    </row>
    <row r="5114" spans="1:1" x14ac:dyDescent="0.25">
      <c r="A5114" t="str">
        <f t="shared" si="101"/>
        <v/>
      </c>
    </row>
    <row r="5115" spans="1:1" x14ac:dyDescent="0.25">
      <c r="A5115" t="str">
        <f t="shared" si="101"/>
        <v/>
      </c>
    </row>
    <row r="5116" spans="1:1" x14ac:dyDescent="0.25">
      <c r="A5116" t="str">
        <f t="shared" si="101"/>
        <v/>
      </c>
    </row>
    <row r="5117" spans="1:1" x14ac:dyDescent="0.25">
      <c r="A5117" t="str">
        <f t="shared" si="101"/>
        <v/>
      </c>
    </row>
    <row r="5118" spans="1:1" x14ac:dyDescent="0.25">
      <c r="A5118" t="str">
        <f t="shared" si="101"/>
        <v/>
      </c>
    </row>
    <row r="5119" spans="1:1" x14ac:dyDescent="0.25">
      <c r="A5119" t="str">
        <f t="shared" si="101"/>
        <v/>
      </c>
    </row>
    <row r="5120" spans="1:1" x14ac:dyDescent="0.25">
      <c r="A5120" t="str">
        <f t="shared" si="101"/>
        <v/>
      </c>
    </row>
    <row r="5121" spans="1:1" x14ac:dyDescent="0.25">
      <c r="A5121" t="str">
        <f t="shared" ref="A5121:A5184" si="102">E5121&amp;C5121&amp;D5121</f>
        <v/>
      </c>
    </row>
    <row r="5122" spans="1:1" x14ac:dyDescent="0.25">
      <c r="A5122" t="str">
        <f t="shared" si="102"/>
        <v/>
      </c>
    </row>
    <row r="5123" spans="1:1" x14ac:dyDescent="0.25">
      <c r="A5123" t="str">
        <f t="shared" si="102"/>
        <v/>
      </c>
    </row>
    <row r="5124" spans="1:1" x14ac:dyDescent="0.25">
      <c r="A5124" t="str">
        <f t="shared" si="102"/>
        <v/>
      </c>
    </row>
    <row r="5125" spans="1:1" x14ac:dyDescent="0.25">
      <c r="A5125" t="str">
        <f t="shared" si="102"/>
        <v/>
      </c>
    </row>
    <row r="5126" spans="1:1" x14ac:dyDescent="0.25">
      <c r="A5126" t="str">
        <f t="shared" si="102"/>
        <v/>
      </c>
    </row>
    <row r="5127" spans="1:1" x14ac:dyDescent="0.25">
      <c r="A5127" t="str">
        <f t="shared" si="102"/>
        <v/>
      </c>
    </row>
    <row r="5128" spans="1:1" x14ac:dyDescent="0.25">
      <c r="A5128" t="str">
        <f t="shared" si="102"/>
        <v/>
      </c>
    </row>
    <row r="5129" spans="1:1" x14ac:dyDescent="0.25">
      <c r="A5129" t="str">
        <f t="shared" si="102"/>
        <v/>
      </c>
    </row>
    <row r="5130" spans="1:1" x14ac:dyDescent="0.25">
      <c r="A5130" t="str">
        <f t="shared" si="102"/>
        <v/>
      </c>
    </row>
    <row r="5131" spans="1:1" x14ac:dyDescent="0.25">
      <c r="A5131" t="str">
        <f t="shared" si="102"/>
        <v/>
      </c>
    </row>
    <row r="5132" spans="1:1" x14ac:dyDescent="0.25">
      <c r="A5132" t="str">
        <f t="shared" si="102"/>
        <v/>
      </c>
    </row>
    <row r="5133" spans="1:1" x14ac:dyDescent="0.25">
      <c r="A5133" t="str">
        <f t="shared" si="102"/>
        <v/>
      </c>
    </row>
    <row r="5134" spans="1:1" x14ac:dyDescent="0.25">
      <c r="A5134" t="str">
        <f t="shared" si="102"/>
        <v/>
      </c>
    </row>
    <row r="5135" spans="1:1" x14ac:dyDescent="0.25">
      <c r="A5135" t="str">
        <f t="shared" si="102"/>
        <v/>
      </c>
    </row>
    <row r="5136" spans="1:1" x14ac:dyDescent="0.25">
      <c r="A5136" t="str">
        <f t="shared" si="102"/>
        <v/>
      </c>
    </row>
    <row r="5137" spans="1:1" x14ac:dyDescent="0.25">
      <c r="A5137" t="str">
        <f t="shared" si="102"/>
        <v/>
      </c>
    </row>
    <row r="5138" spans="1:1" x14ac:dyDescent="0.25">
      <c r="A5138" t="str">
        <f t="shared" si="102"/>
        <v/>
      </c>
    </row>
    <row r="5139" spans="1:1" x14ac:dyDescent="0.25">
      <c r="A5139" t="str">
        <f t="shared" si="102"/>
        <v/>
      </c>
    </row>
    <row r="5140" spans="1:1" x14ac:dyDescent="0.25">
      <c r="A5140" t="str">
        <f t="shared" si="102"/>
        <v/>
      </c>
    </row>
    <row r="5141" spans="1:1" x14ac:dyDescent="0.25">
      <c r="A5141" t="str">
        <f t="shared" si="102"/>
        <v/>
      </c>
    </row>
    <row r="5142" spans="1:1" x14ac:dyDescent="0.25">
      <c r="A5142" t="str">
        <f t="shared" si="102"/>
        <v/>
      </c>
    </row>
    <row r="5143" spans="1:1" x14ac:dyDescent="0.25">
      <c r="A5143" t="str">
        <f t="shared" si="102"/>
        <v/>
      </c>
    </row>
    <row r="5144" spans="1:1" x14ac:dyDescent="0.25">
      <c r="A5144" t="str">
        <f t="shared" si="102"/>
        <v/>
      </c>
    </row>
    <row r="5145" spans="1:1" x14ac:dyDescent="0.25">
      <c r="A5145" t="str">
        <f t="shared" si="102"/>
        <v/>
      </c>
    </row>
    <row r="5146" spans="1:1" x14ac:dyDescent="0.25">
      <c r="A5146" t="str">
        <f t="shared" si="102"/>
        <v/>
      </c>
    </row>
    <row r="5147" spans="1:1" x14ac:dyDescent="0.25">
      <c r="A5147" t="str">
        <f t="shared" si="102"/>
        <v/>
      </c>
    </row>
    <row r="5148" spans="1:1" x14ac:dyDescent="0.25">
      <c r="A5148" t="str">
        <f t="shared" si="102"/>
        <v/>
      </c>
    </row>
    <row r="5149" spans="1:1" x14ac:dyDescent="0.25">
      <c r="A5149" t="str">
        <f t="shared" si="102"/>
        <v/>
      </c>
    </row>
    <row r="5150" spans="1:1" x14ac:dyDescent="0.25">
      <c r="A5150" t="str">
        <f t="shared" si="102"/>
        <v/>
      </c>
    </row>
    <row r="5151" spans="1:1" x14ac:dyDescent="0.25">
      <c r="A5151" t="str">
        <f t="shared" si="102"/>
        <v/>
      </c>
    </row>
    <row r="5152" spans="1:1" x14ac:dyDescent="0.25">
      <c r="A5152" t="str">
        <f t="shared" si="102"/>
        <v/>
      </c>
    </row>
    <row r="5153" spans="1:1" x14ac:dyDescent="0.25">
      <c r="A5153" t="str">
        <f t="shared" si="102"/>
        <v/>
      </c>
    </row>
    <row r="5154" spans="1:1" x14ac:dyDescent="0.25">
      <c r="A5154" t="str">
        <f t="shared" si="102"/>
        <v/>
      </c>
    </row>
    <row r="5155" spans="1:1" x14ac:dyDescent="0.25">
      <c r="A5155" t="str">
        <f t="shared" si="102"/>
        <v/>
      </c>
    </row>
    <row r="5156" spans="1:1" x14ac:dyDescent="0.25">
      <c r="A5156" t="str">
        <f t="shared" si="102"/>
        <v/>
      </c>
    </row>
    <row r="5157" spans="1:1" x14ac:dyDescent="0.25">
      <c r="A5157" t="str">
        <f t="shared" si="102"/>
        <v/>
      </c>
    </row>
    <row r="5158" spans="1:1" x14ac:dyDescent="0.25">
      <c r="A5158" t="str">
        <f t="shared" si="102"/>
        <v/>
      </c>
    </row>
    <row r="5159" spans="1:1" x14ac:dyDescent="0.25">
      <c r="A5159" t="str">
        <f t="shared" si="102"/>
        <v/>
      </c>
    </row>
    <row r="5160" spans="1:1" x14ac:dyDescent="0.25">
      <c r="A5160" t="str">
        <f t="shared" si="102"/>
        <v/>
      </c>
    </row>
    <row r="5161" spans="1:1" x14ac:dyDescent="0.25">
      <c r="A5161" t="str">
        <f t="shared" si="102"/>
        <v/>
      </c>
    </row>
    <row r="5162" spans="1:1" x14ac:dyDescent="0.25">
      <c r="A5162" t="str">
        <f t="shared" si="102"/>
        <v/>
      </c>
    </row>
    <row r="5163" spans="1:1" x14ac:dyDescent="0.25">
      <c r="A5163" t="str">
        <f t="shared" si="102"/>
        <v/>
      </c>
    </row>
    <row r="5164" spans="1:1" x14ac:dyDescent="0.25">
      <c r="A5164" t="str">
        <f t="shared" si="102"/>
        <v/>
      </c>
    </row>
    <row r="5165" spans="1:1" x14ac:dyDescent="0.25">
      <c r="A5165" t="str">
        <f t="shared" si="102"/>
        <v/>
      </c>
    </row>
    <row r="5166" spans="1:1" x14ac:dyDescent="0.25">
      <c r="A5166" t="str">
        <f t="shared" si="102"/>
        <v/>
      </c>
    </row>
    <row r="5167" spans="1:1" x14ac:dyDescent="0.25">
      <c r="A5167" t="str">
        <f t="shared" si="102"/>
        <v/>
      </c>
    </row>
    <row r="5168" spans="1:1" x14ac:dyDescent="0.25">
      <c r="A5168" t="str">
        <f t="shared" si="102"/>
        <v/>
      </c>
    </row>
    <row r="5169" spans="1:1" x14ac:dyDescent="0.25">
      <c r="A5169" t="str">
        <f t="shared" si="102"/>
        <v/>
      </c>
    </row>
    <row r="5170" spans="1:1" x14ac:dyDescent="0.25">
      <c r="A5170" t="str">
        <f t="shared" si="102"/>
        <v/>
      </c>
    </row>
    <row r="5171" spans="1:1" x14ac:dyDescent="0.25">
      <c r="A5171" t="str">
        <f t="shared" si="102"/>
        <v/>
      </c>
    </row>
    <row r="5172" spans="1:1" x14ac:dyDescent="0.25">
      <c r="A5172" t="str">
        <f t="shared" si="102"/>
        <v/>
      </c>
    </row>
    <row r="5173" spans="1:1" x14ac:dyDescent="0.25">
      <c r="A5173" t="str">
        <f t="shared" si="102"/>
        <v/>
      </c>
    </row>
    <row r="5174" spans="1:1" x14ac:dyDescent="0.25">
      <c r="A5174" t="str">
        <f t="shared" si="102"/>
        <v/>
      </c>
    </row>
    <row r="5175" spans="1:1" x14ac:dyDescent="0.25">
      <c r="A5175" t="str">
        <f t="shared" si="102"/>
        <v/>
      </c>
    </row>
    <row r="5176" spans="1:1" x14ac:dyDescent="0.25">
      <c r="A5176" t="str">
        <f t="shared" si="102"/>
        <v/>
      </c>
    </row>
    <row r="5177" spans="1:1" x14ac:dyDescent="0.25">
      <c r="A5177" t="str">
        <f t="shared" si="102"/>
        <v/>
      </c>
    </row>
    <row r="5178" spans="1:1" x14ac:dyDescent="0.25">
      <c r="A5178" t="str">
        <f t="shared" si="102"/>
        <v/>
      </c>
    </row>
    <row r="5179" spans="1:1" x14ac:dyDescent="0.25">
      <c r="A5179" t="str">
        <f t="shared" si="102"/>
        <v/>
      </c>
    </row>
    <row r="5180" spans="1:1" x14ac:dyDescent="0.25">
      <c r="A5180" t="str">
        <f t="shared" si="102"/>
        <v/>
      </c>
    </row>
    <row r="5181" spans="1:1" x14ac:dyDescent="0.25">
      <c r="A5181" t="str">
        <f t="shared" si="102"/>
        <v/>
      </c>
    </row>
    <row r="5182" spans="1:1" x14ac:dyDescent="0.25">
      <c r="A5182" t="str">
        <f t="shared" si="102"/>
        <v/>
      </c>
    </row>
    <row r="5183" spans="1:1" x14ac:dyDescent="0.25">
      <c r="A5183" t="str">
        <f t="shared" si="102"/>
        <v/>
      </c>
    </row>
    <row r="5184" spans="1:1" x14ac:dyDescent="0.25">
      <c r="A5184" t="str">
        <f t="shared" si="102"/>
        <v/>
      </c>
    </row>
    <row r="5185" spans="1:1" x14ac:dyDescent="0.25">
      <c r="A5185" t="str">
        <f t="shared" ref="A5185:A5248" si="103">E5185&amp;C5185&amp;D5185</f>
        <v/>
      </c>
    </row>
    <row r="5186" spans="1:1" x14ac:dyDescent="0.25">
      <c r="A5186" t="str">
        <f t="shared" si="103"/>
        <v/>
      </c>
    </row>
    <row r="5187" spans="1:1" x14ac:dyDescent="0.25">
      <c r="A5187" t="str">
        <f t="shared" si="103"/>
        <v/>
      </c>
    </row>
    <row r="5188" spans="1:1" x14ac:dyDescent="0.25">
      <c r="A5188" t="str">
        <f t="shared" si="103"/>
        <v/>
      </c>
    </row>
    <row r="5189" spans="1:1" x14ac:dyDescent="0.25">
      <c r="A5189" t="str">
        <f t="shared" si="103"/>
        <v/>
      </c>
    </row>
    <row r="5190" spans="1:1" x14ac:dyDescent="0.25">
      <c r="A5190" t="str">
        <f t="shared" si="103"/>
        <v/>
      </c>
    </row>
    <row r="5191" spans="1:1" x14ac:dyDescent="0.25">
      <c r="A5191" t="str">
        <f t="shared" si="103"/>
        <v/>
      </c>
    </row>
    <row r="5192" spans="1:1" x14ac:dyDescent="0.25">
      <c r="A5192" t="str">
        <f t="shared" si="103"/>
        <v/>
      </c>
    </row>
    <row r="5193" spans="1:1" x14ac:dyDescent="0.25">
      <c r="A5193" t="str">
        <f t="shared" si="103"/>
        <v/>
      </c>
    </row>
    <row r="5194" spans="1:1" x14ac:dyDescent="0.25">
      <c r="A5194" t="str">
        <f t="shared" si="103"/>
        <v/>
      </c>
    </row>
    <row r="5195" spans="1:1" x14ac:dyDescent="0.25">
      <c r="A5195" t="str">
        <f t="shared" si="103"/>
        <v/>
      </c>
    </row>
    <row r="5196" spans="1:1" x14ac:dyDescent="0.25">
      <c r="A5196" t="str">
        <f t="shared" si="103"/>
        <v/>
      </c>
    </row>
    <row r="5197" spans="1:1" x14ac:dyDescent="0.25">
      <c r="A5197" t="str">
        <f t="shared" si="103"/>
        <v/>
      </c>
    </row>
    <row r="5198" spans="1:1" x14ac:dyDescent="0.25">
      <c r="A5198" t="str">
        <f t="shared" si="103"/>
        <v/>
      </c>
    </row>
    <row r="5199" spans="1:1" x14ac:dyDescent="0.25">
      <c r="A5199" t="str">
        <f t="shared" si="103"/>
        <v/>
      </c>
    </row>
    <row r="5200" spans="1:1" x14ac:dyDescent="0.25">
      <c r="A5200" t="str">
        <f t="shared" si="103"/>
        <v/>
      </c>
    </row>
    <row r="5201" spans="1:1" x14ac:dyDescent="0.25">
      <c r="A5201" t="str">
        <f t="shared" si="103"/>
        <v/>
      </c>
    </row>
    <row r="5202" spans="1:1" x14ac:dyDescent="0.25">
      <c r="A5202" t="str">
        <f t="shared" si="103"/>
        <v/>
      </c>
    </row>
    <row r="5203" spans="1:1" x14ac:dyDescent="0.25">
      <c r="A5203" t="str">
        <f t="shared" si="103"/>
        <v/>
      </c>
    </row>
    <row r="5204" spans="1:1" x14ac:dyDescent="0.25">
      <c r="A5204" t="str">
        <f t="shared" si="103"/>
        <v/>
      </c>
    </row>
    <row r="5205" spans="1:1" x14ac:dyDescent="0.25">
      <c r="A5205" t="str">
        <f t="shared" si="103"/>
        <v/>
      </c>
    </row>
    <row r="5206" spans="1:1" x14ac:dyDescent="0.25">
      <c r="A5206" t="str">
        <f t="shared" si="103"/>
        <v/>
      </c>
    </row>
    <row r="5207" spans="1:1" x14ac:dyDescent="0.25">
      <c r="A5207" t="str">
        <f t="shared" si="103"/>
        <v/>
      </c>
    </row>
    <row r="5208" spans="1:1" x14ac:dyDescent="0.25">
      <c r="A5208" t="str">
        <f t="shared" si="103"/>
        <v/>
      </c>
    </row>
    <row r="5209" spans="1:1" x14ac:dyDescent="0.25">
      <c r="A5209" t="str">
        <f t="shared" si="103"/>
        <v/>
      </c>
    </row>
    <row r="5210" spans="1:1" x14ac:dyDescent="0.25">
      <c r="A5210" t="str">
        <f t="shared" si="103"/>
        <v/>
      </c>
    </row>
    <row r="5211" spans="1:1" x14ac:dyDescent="0.25">
      <c r="A5211" t="str">
        <f t="shared" si="103"/>
        <v/>
      </c>
    </row>
    <row r="5212" spans="1:1" x14ac:dyDescent="0.25">
      <c r="A5212" t="str">
        <f t="shared" si="103"/>
        <v/>
      </c>
    </row>
    <row r="5213" spans="1:1" x14ac:dyDescent="0.25">
      <c r="A5213" t="str">
        <f t="shared" si="103"/>
        <v/>
      </c>
    </row>
    <row r="5214" spans="1:1" x14ac:dyDescent="0.25">
      <c r="A5214" t="str">
        <f t="shared" si="103"/>
        <v/>
      </c>
    </row>
    <row r="5215" spans="1:1" x14ac:dyDescent="0.25">
      <c r="A5215" t="str">
        <f t="shared" si="103"/>
        <v/>
      </c>
    </row>
    <row r="5216" spans="1:1" x14ac:dyDescent="0.25">
      <c r="A5216" t="str">
        <f t="shared" si="103"/>
        <v/>
      </c>
    </row>
    <row r="5217" spans="1:1" x14ac:dyDescent="0.25">
      <c r="A5217" t="str">
        <f t="shared" si="103"/>
        <v/>
      </c>
    </row>
    <row r="5218" spans="1:1" x14ac:dyDescent="0.25">
      <c r="A5218" t="str">
        <f t="shared" si="103"/>
        <v/>
      </c>
    </row>
    <row r="5219" spans="1:1" x14ac:dyDescent="0.25">
      <c r="A5219" t="str">
        <f t="shared" si="103"/>
        <v/>
      </c>
    </row>
    <row r="5220" spans="1:1" x14ac:dyDescent="0.25">
      <c r="A5220" t="str">
        <f t="shared" si="103"/>
        <v/>
      </c>
    </row>
    <row r="5221" spans="1:1" x14ac:dyDescent="0.25">
      <c r="A5221" t="str">
        <f t="shared" si="103"/>
        <v/>
      </c>
    </row>
    <row r="5222" spans="1:1" x14ac:dyDescent="0.25">
      <c r="A5222" t="str">
        <f t="shared" si="103"/>
        <v/>
      </c>
    </row>
    <row r="5223" spans="1:1" x14ac:dyDescent="0.25">
      <c r="A5223" t="str">
        <f t="shared" si="103"/>
        <v/>
      </c>
    </row>
    <row r="5224" spans="1:1" x14ac:dyDescent="0.25">
      <c r="A5224" t="str">
        <f t="shared" si="103"/>
        <v/>
      </c>
    </row>
    <row r="5225" spans="1:1" x14ac:dyDescent="0.25">
      <c r="A5225" t="str">
        <f t="shared" si="103"/>
        <v/>
      </c>
    </row>
    <row r="5226" spans="1:1" x14ac:dyDescent="0.25">
      <c r="A5226" t="str">
        <f t="shared" si="103"/>
        <v/>
      </c>
    </row>
    <row r="5227" spans="1:1" x14ac:dyDescent="0.25">
      <c r="A5227" t="str">
        <f t="shared" si="103"/>
        <v/>
      </c>
    </row>
    <row r="5228" spans="1:1" x14ac:dyDescent="0.25">
      <c r="A5228" t="str">
        <f t="shared" si="103"/>
        <v/>
      </c>
    </row>
    <row r="5229" spans="1:1" x14ac:dyDescent="0.25">
      <c r="A5229" t="str">
        <f t="shared" si="103"/>
        <v/>
      </c>
    </row>
    <row r="5230" spans="1:1" x14ac:dyDescent="0.25">
      <c r="A5230" t="str">
        <f t="shared" si="103"/>
        <v/>
      </c>
    </row>
    <row r="5231" spans="1:1" x14ac:dyDescent="0.25">
      <c r="A5231" t="str">
        <f t="shared" si="103"/>
        <v/>
      </c>
    </row>
    <row r="5232" spans="1:1" x14ac:dyDescent="0.25">
      <c r="A5232" t="str">
        <f t="shared" si="103"/>
        <v/>
      </c>
    </row>
    <row r="5233" spans="1:1" x14ac:dyDescent="0.25">
      <c r="A5233" t="str">
        <f t="shared" si="103"/>
        <v/>
      </c>
    </row>
    <row r="5234" spans="1:1" x14ac:dyDescent="0.25">
      <c r="A5234" t="str">
        <f t="shared" si="103"/>
        <v/>
      </c>
    </row>
    <row r="5235" spans="1:1" x14ac:dyDescent="0.25">
      <c r="A5235" t="str">
        <f t="shared" si="103"/>
        <v/>
      </c>
    </row>
    <row r="5236" spans="1:1" x14ac:dyDescent="0.25">
      <c r="A5236" t="str">
        <f t="shared" si="103"/>
        <v/>
      </c>
    </row>
    <row r="5237" spans="1:1" x14ac:dyDescent="0.25">
      <c r="A5237" t="str">
        <f t="shared" si="103"/>
        <v/>
      </c>
    </row>
    <row r="5238" spans="1:1" x14ac:dyDescent="0.25">
      <c r="A5238" t="str">
        <f t="shared" si="103"/>
        <v/>
      </c>
    </row>
    <row r="5239" spans="1:1" x14ac:dyDescent="0.25">
      <c r="A5239" t="str">
        <f t="shared" si="103"/>
        <v/>
      </c>
    </row>
    <row r="5240" spans="1:1" x14ac:dyDescent="0.25">
      <c r="A5240" t="str">
        <f t="shared" si="103"/>
        <v/>
      </c>
    </row>
    <row r="5241" spans="1:1" x14ac:dyDescent="0.25">
      <c r="A5241" t="str">
        <f t="shared" si="103"/>
        <v/>
      </c>
    </row>
    <row r="5242" spans="1:1" x14ac:dyDescent="0.25">
      <c r="A5242" t="str">
        <f t="shared" si="103"/>
        <v/>
      </c>
    </row>
    <row r="5243" spans="1:1" x14ac:dyDescent="0.25">
      <c r="A5243" t="str">
        <f t="shared" si="103"/>
        <v/>
      </c>
    </row>
    <row r="5244" spans="1:1" x14ac:dyDescent="0.25">
      <c r="A5244" t="str">
        <f t="shared" si="103"/>
        <v/>
      </c>
    </row>
    <row r="5245" spans="1:1" x14ac:dyDescent="0.25">
      <c r="A5245" t="str">
        <f t="shared" si="103"/>
        <v/>
      </c>
    </row>
    <row r="5246" spans="1:1" x14ac:dyDescent="0.25">
      <c r="A5246" t="str">
        <f t="shared" si="103"/>
        <v/>
      </c>
    </row>
    <row r="5247" spans="1:1" x14ac:dyDescent="0.25">
      <c r="A5247" t="str">
        <f t="shared" si="103"/>
        <v/>
      </c>
    </row>
    <row r="5248" spans="1:1" x14ac:dyDescent="0.25">
      <c r="A5248" t="str">
        <f t="shared" si="103"/>
        <v/>
      </c>
    </row>
    <row r="5249" spans="1:1" x14ac:dyDescent="0.25">
      <c r="A5249" t="str">
        <f t="shared" ref="A5249:A5312" si="104">E5249&amp;C5249&amp;D5249</f>
        <v/>
      </c>
    </row>
    <row r="5250" spans="1:1" x14ac:dyDescent="0.25">
      <c r="A5250" t="str">
        <f t="shared" si="104"/>
        <v/>
      </c>
    </row>
    <row r="5251" spans="1:1" x14ac:dyDescent="0.25">
      <c r="A5251" t="str">
        <f t="shared" si="104"/>
        <v/>
      </c>
    </row>
    <row r="5252" spans="1:1" x14ac:dyDescent="0.25">
      <c r="A5252" t="str">
        <f t="shared" si="104"/>
        <v/>
      </c>
    </row>
    <row r="5253" spans="1:1" x14ac:dyDescent="0.25">
      <c r="A5253" t="str">
        <f t="shared" si="104"/>
        <v/>
      </c>
    </row>
    <row r="5254" spans="1:1" x14ac:dyDescent="0.25">
      <c r="A5254" t="str">
        <f t="shared" si="104"/>
        <v/>
      </c>
    </row>
    <row r="5255" spans="1:1" x14ac:dyDescent="0.25">
      <c r="A5255" t="str">
        <f t="shared" si="104"/>
        <v/>
      </c>
    </row>
    <row r="5256" spans="1:1" x14ac:dyDescent="0.25">
      <c r="A5256" t="str">
        <f t="shared" si="104"/>
        <v/>
      </c>
    </row>
    <row r="5257" spans="1:1" x14ac:dyDescent="0.25">
      <c r="A5257" t="str">
        <f t="shared" si="104"/>
        <v/>
      </c>
    </row>
    <row r="5258" spans="1:1" x14ac:dyDescent="0.25">
      <c r="A5258" t="str">
        <f t="shared" si="104"/>
        <v/>
      </c>
    </row>
    <row r="5259" spans="1:1" x14ac:dyDescent="0.25">
      <c r="A5259" t="str">
        <f t="shared" si="104"/>
        <v/>
      </c>
    </row>
    <row r="5260" spans="1:1" x14ac:dyDescent="0.25">
      <c r="A5260" t="str">
        <f t="shared" si="104"/>
        <v/>
      </c>
    </row>
    <row r="5261" spans="1:1" x14ac:dyDescent="0.25">
      <c r="A5261" t="str">
        <f t="shared" si="104"/>
        <v/>
      </c>
    </row>
    <row r="5262" spans="1:1" x14ac:dyDescent="0.25">
      <c r="A5262" t="str">
        <f t="shared" si="104"/>
        <v/>
      </c>
    </row>
    <row r="5263" spans="1:1" x14ac:dyDescent="0.25">
      <c r="A5263" t="str">
        <f t="shared" si="104"/>
        <v/>
      </c>
    </row>
    <row r="5264" spans="1:1" x14ac:dyDescent="0.25">
      <c r="A5264" t="str">
        <f t="shared" si="104"/>
        <v/>
      </c>
    </row>
    <row r="5265" spans="1:1" x14ac:dyDescent="0.25">
      <c r="A5265" t="str">
        <f t="shared" si="104"/>
        <v/>
      </c>
    </row>
    <row r="5266" spans="1:1" x14ac:dyDescent="0.25">
      <c r="A5266" t="str">
        <f t="shared" si="104"/>
        <v/>
      </c>
    </row>
    <row r="5267" spans="1:1" x14ac:dyDescent="0.25">
      <c r="A5267" t="str">
        <f t="shared" si="104"/>
        <v/>
      </c>
    </row>
    <row r="5268" spans="1:1" x14ac:dyDescent="0.25">
      <c r="A5268" t="str">
        <f t="shared" si="104"/>
        <v/>
      </c>
    </row>
    <row r="5269" spans="1:1" x14ac:dyDescent="0.25">
      <c r="A5269" t="str">
        <f t="shared" si="104"/>
        <v/>
      </c>
    </row>
    <row r="5270" spans="1:1" x14ac:dyDescent="0.25">
      <c r="A5270" t="str">
        <f t="shared" si="104"/>
        <v/>
      </c>
    </row>
    <row r="5271" spans="1:1" x14ac:dyDescent="0.25">
      <c r="A5271" t="str">
        <f t="shared" si="104"/>
        <v/>
      </c>
    </row>
    <row r="5272" spans="1:1" x14ac:dyDescent="0.25">
      <c r="A5272" t="str">
        <f t="shared" si="104"/>
        <v/>
      </c>
    </row>
    <row r="5273" spans="1:1" x14ac:dyDescent="0.25">
      <c r="A5273" t="str">
        <f t="shared" si="104"/>
        <v/>
      </c>
    </row>
    <row r="5274" spans="1:1" x14ac:dyDescent="0.25">
      <c r="A5274" t="str">
        <f t="shared" si="104"/>
        <v/>
      </c>
    </row>
    <row r="5275" spans="1:1" x14ac:dyDescent="0.25">
      <c r="A5275" t="str">
        <f t="shared" si="104"/>
        <v/>
      </c>
    </row>
    <row r="5276" spans="1:1" x14ac:dyDescent="0.25">
      <c r="A5276" t="str">
        <f t="shared" si="104"/>
        <v/>
      </c>
    </row>
    <row r="5277" spans="1:1" x14ac:dyDescent="0.25">
      <c r="A5277" t="str">
        <f t="shared" si="104"/>
        <v/>
      </c>
    </row>
    <row r="5278" spans="1:1" x14ac:dyDescent="0.25">
      <c r="A5278" t="str">
        <f t="shared" si="104"/>
        <v/>
      </c>
    </row>
    <row r="5279" spans="1:1" x14ac:dyDescent="0.25">
      <c r="A5279" t="str">
        <f t="shared" si="104"/>
        <v/>
      </c>
    </row>
    <row r="5280" spans="1:1" x14ac:dyDescent="0.25">
      <c r="A5280" t="str">
        <f t="shared" si="104"/>
        <v/>
      </c>
    </row>
    <row r="5281" spans="1:1" x14ac:dyDescent="0.25">
      <c r="A5281" t="str">
        <f t="shared" si="104"/>
        <v/>
      </c>
    </row>
    <row r="5282" spans="1:1" x14ac:dyDescent="0.25">
      <c r="A5282" t="str">
        <f t="shared" si="104"/>
        <v/>
      </c>
    </row>
    <row r="5283" spans="1:1" x14ac:dyDescent="0.25">
      <c r="A5283" t="str">
        <f t="shared" si="104"/>
        <v/>
      </c>
    </row>
    <row r="5284" spans="1:1" x14ac:dyDescent="0.25">
      <c r="A5284" t="str">
        <f t="shared" si="104"/>
        <v/>
      </c>
    </row>
    <row r="5285" spans="1:1" x14ac:dyDescent="0.25">
      <c r="A5285" t="str">
        <f t="shared" si="104"/>
        <v/>
      </c>
    </row>
    <row r="5286" spans="1:1" x14ac:dyDescent="0.25">
      <c r="A5286" t="str">
        <f t="shared" si="104"/>
        <v/>
      </c>
    </row>
    <row r="5287" spans="1:1" x14ac:dyDescent="0.25">
      <c r="A5287" t="str">
        <f t="shared" si="104"/>
        <v/>
      </c>
    </row>
    <row r="5288" spans="1:1" x14ac:dyDescent="0.25">
      <c r="A5288" t="str">
        <f t="shared" si="104"/>
        <v/>
      </c>
    </row>
    <row r="5289" spans="1:1" x14ac:dyDescent="0.25">
      <c r="A5289" t="str">
        <f t="shared" si="104"/>
        <v/>
      </c>
    </row>
    <row r="5290" spans="1:1" x14ac:dyDescent="0.25">
      <c r="A5290" t="str">
        <f t="shared" si="104"/>
        <v/>
      </c>
    </row>
    <row r="5291" spans="1:1" x14ac:dyDescent="0.25">
      <c r="A5291" t="str">
        <f t="shared" si="104"/>
        <v/>
      </c>
    </row>
    <row r="5292" spans="1:1" x14ac:dyDescent="0.25">
      <c r="A5292" t="str">
        <f t="shared" si="104"/>
        <v/>
      </c>
    </row>
    <row r="5293" spans="1:1" x14ac:dyDescent="0.25">
      <c r="A5293" t="str">
        <f t="shared" si="104"/>
        <v/>
      </c>
    </row>
    <row r="5294" spans="1:1" x14ac:dyDescent="0.25">
      <c r="A5294" t="str">
        <f t="shared" si="104"/>
        <v/>
      </c>
    </row>
    <row r="5295" spans="1:1" x14ac:dyDescent="0.25">
      <c r="A5295" t="str">
        <f t="shared" si="104"/>
        <v/>
      </c>
    </row>
    <row r="5296" spans="1:1" x14ac:dyDescent="0.25">
      <c r="A5296" t="str">
        <f t="shared" si="104"/>
        <v/>
      </c>
    </row>
    <row r="5297" spans="1:1" x14ac:dyDescent="0.25">
      <c r="A5297" t="str">
        <f t="shared" si="104"/>
        <v/>
      </c>
    </row>
    <row r="5298" spans="1:1" x14ac:dyDescent="0.25">
      <c r="A5298" t="str">
        <f t="shared" si="104"/>
        <v/>
      </c>
    </row>
    <row r="5299" spans="1:1" x14ac:dyDescent="0.25">
      <c r="A5299" t="str">
        <f t="shared" si="104"/>
        <v/>
      </c>
    </row>
    <row r="5300" spans="1:1" x14ac:dyDescent="0.25">
      <c r="A5300" t="str">
        <f t="shared" si="104"/>
        <v/>
      </c>
    </row>
    <row r="5301" spans="1:1" x14ac:dyDescent="0.25">
      <c r="A5301" t="str">
        <f t="shared" si="104"/>
        <v/>
      </c>
    </row>
    <row r="5302" spans="1:1" x14ac:dyDescent="0.25">
      <c r="A5302" t="str">
        <f t="shared" si="104"/>
        <v/>
      </c>
    </row>
    <row r="5303" spans="1:1" x14ac:dyDescent="0.25">
      <c r="A5303" t="str">
        <f t="shared" si="104"/>
        <v/>
      </c>
    </row>
    <row r="5304" spans="1:1" x14ac:dyDescent="0.25">
      <c r="A5304" t="str">
        <f t="shared" si="104"/>
        <v/>
      </c>
    </row>
    <row r="5305" spans="1:1" x14ac:dyDescent="0.25">
      <c r="A5305" t="str">
        <f t="shared" si="104"/>
        <v/>
      </c>
    </row>
    <row r="5306" spans="1:1" x14ac:dyDescent="0.25">
      <c r="A5306" t="str">
        <f t="shared" si="104"/>
        <v/>
      </c>
    </row>
    <row r="5307" spans="1:1" x14ac:dyDescent="0.25">
      <c r="A5307" t="str">
        <f t="shared" si="104"/>
        <v/>
      </c>
    </row>
    <row r="5308" spans="1:1" x14ac:dyDescent="0.25">
      <c r="A5308" t="str">
        <f t="shared" si="104"/>
        <v/>
      </c>
    </row>
    <row r="5309" spans="1:1" x14ac:dyDescent="0.25">
      <c r="A5309" t="str">
        <f t="shared" si="104"/>
        <v/>
      </c>
    </row>
    <row r="5310" spans="1:1" x14ac:dyDescent="0.25">
      <c r="A5310" t="str">
        <f t="shared" si="104"/>
        <v/>
      </c>
    </row>
    <row r="5311" spans="1:1" x14ac:dyDescent="0.25">
      <c r="A5311" t="str">
        <f t="shared" si="104"/>
        <v/>
      </c>
    </row>
    <row r="5312" spans="1:1" x14ac:dyDescent="0.25">
      <c r="A5312" t="str">
        <f t="shared" si="104"/>
        <v/>
      </c>
    </row>
    <row r="5313" spans="1:1" x14ac:dyDescent="0.25">
      <c r="A5313" t="str">
        <f t="shared" ref="A5313:A5376" si="105">E5313&amp;C5313&amp;D5313</f>
        <v/>
      </c>
    </row>
    <row r="5314" spans="1:1" x14ac:dyDescent="0.25">
      <c r="A5314" t="str">
        <f t="shared" si="105"/>
        <v/>
      </c>
    </row>
    <row r="5315" spans="1:1" x14ac:dyDescent="0.25">
      <c r="A5315" t="str">
        <f t="shared" si="105"/>
        <v/>
      </c>
    </row>
    <row r="5316" spans="1:1" x14ac:dyDescent="0.25">
      <c r="A5316" t="str">
        <f t="shared" si="105"/>
        <v/>
      </c>
    </row>
    <row r="5317" spans="1:1" x14ac:dyDescent="0.25">
      <c r="A5317" t="str">
        <f t="shared" si="105"/>
        <v/>
      </c>
    </row>
    <row r="5318" spans="1:1" x14ac:dyDescent="0.25">
      <c r="A5318" t="str">
        <f t="shared" si="105"/>
        <v/>
      </c>
    </row>
    <row r="5319" spans="1:1" x14ac:dyDescent="0.25">
      <c r="A5319" t="str">
        <f t="shared" si="105"/>
        <v/>
      </c>
    </row>
    <row r="5320" spans="1:1" x14ac:dyDescent="0.25">
      <c r="A5320" t="str">
        <f t="shared" si="105"/>
        <v/>
      </c>
    </row>
    <row r="5321" spans="1:1" x14ac:dyDescent="0.25">
      <c r="A5321" t="str">
        <f t="shared" si="105"/>
        <v/>
      </c>
    </row>
    <row r="5322" spans="1:1" x14ac:dyDescent="0.25">
      <c r="A5322" t="str">
        <f t="shared" si="105"/>
        <v/>
      </c>
    </row>
    <row r="5323" spans="1:1" x14ac:dyDescent="0.25">
      <c r="A5323" t="str">
        <f t="shared" si="105"/>
        <v/>
      </c>
    </row>
    <row r="5324" spans="1:1" x14ac:dyDescent="0.25">
      <c r="A5324" t="str">
        <f t="shared" si="105"/>
        <v/>
      </c>
    </row>
    <row r="5325" spans="1:1" x14ac:dyDescent="0.25">
      <c r="A5325" t="str">
        <f t="shared" si="105"/>
        <v/>
      </c>
    </row>
    <row r="5326" spans="1:1" x14ac:dyDescent="0.25">
      <c r="A5326" t="str">
        <f t="shared" si="105"/>
        <v/>
      </c>
    </row>
    <row r="5327" spans="1:1" x14ac:dyDescent="0.25">
      <c r="A5327" t="str">
        <f t="shared" si="105"/>
        <v/>
      </c>
    </row>
    <row r="5328" spans="1:1" x14ac:dyDescent="0.25">
      <c r="A5328" t="str">
        <f t="shared" si="105"/>
        <v/>
      </c>
    </row>
    <row r="5329" spans="1:1" x14ac:dyDescent="0.25">
      <c r="A5329" t="str">
        <f t="shared" si="105"/>
        <v/>
      </c>
    </row>
    <row r="5330" spans="1:1" x14ac:dyDescent="0.25">
      <c r="A5330" t="str">
        <f t="shared" si="105"/>
        <v/>
      </c>
    </row>
    <row r="5331" spans="1:1" x14ac:dyDescent="0.25">
      <c r="A5331" t="str">
        <f t="shared" si="105"/>
        <v/>
      </c>
    </row>
    <row r="5332" spans="1:1" x14ac:dyDescent="0.25">
      <c r="A5332" t="str">
        <f t="shared" si="105"/>
        <v/>
      </c>
    </row>
    <row r="5333" spans="1:1" x14ac:dyDescent="0.25">
      <c r="A5333" t="str">
        <f t="shared" si="105"/>
        <v/>
      </c>
    </row>
    <row r="5334" spans="1:1" x14ac:dyDescent="0.25">
      <c r="A5334" t="str">
        <f t="shared" si="105"/>
        <v/>
      </c>
    </row>
    <row r="5335" spans="1:1" x14ac:dyDescent="0.25">
      <c r="A5335" t="str">
        <f t="shared" si="105"/>
        <v/>
      </c>
    </row>
    <row r="5336" spans="1:1" x14ac:dyDescent="0.25">
      <c r="A5336" t="str">
        <f t="shared" si="105"/>
        <v/>
      </c>
    </row>
    <row r="5337" spans="1:1" x14ac:dyDescent="0.25">
      <c r="A5337" t="str">
        <f t="shared" si="105"/>
        <v/>
      </c>
    </row>
    <row r="5338" spans="1:1" x14ac:dyDescent="0.25">
      <c r="A5338" t="str">
        <f t="shared" si="105"/>
        <v/>
      </c>
    </row>
    <row r="5339" spans="1:1" x14ac:dyDescent="0.25">
      <c r="A5339" t="str">
        <f t="shared" si="105"/>
        <v/>
      </c>
    </row>
    <row r="5340" spans="1:1" x14ac:dyDescent="0.25">
      <c r="A5340" t="str">
        <f t="shared" si="105"/>
        <v/>
      </c>
    </row>
    <row r="5341" spans="1:1" x14ac:dyDescent="0.25">
      <c r="A5341" t="str">
        <f t="shared" si="105"/>
        <v/>
      </c>
    </row>
    <row r="5342" spans="1:1" x14ac:dyDescent="0.25">
      <c r="A5342" t="str">
        <f t="shared" si="105"/>
        <v/>
      </c>
    </row>
    <row r="5343" spans="1:1" x14ac:dyDescent="0.25">
      <c r="A5343" t="str">
        <f t="shared" si="105"/>
        <v/>
      </c>
    </row>
    <row r="5344" spans="1:1" x14ac:dyDescent="0.25">
      <c r="A5344" t="str">
        <f t="shared" si="105"/>
        <v/>
      </c>
    </row>
    <row r="5345" spans="1:1" x14ac:dyDescent="0.25">
      <c r="A5345" t="str">
        <f t="shared" si="105"/>
        <v/>
      </c>
    </row>
    <row r="5346" spans="1:1" x14ac:dyDescent="0.25">
      <c r="A5346" t="str">
        <f t="shared" si="105"/>
        <v/>
      </c>
    </row>
    <row r="5347" spans="1:1" x14ac:dyDescent="0.25">
      <c r="A5347" t="str">
        <f t="shared" si="105"/>
        <v/>
      </c>
    </row>
    <row r="5348" spans="1:1" x14ac:dyDescent="0.25">
      <c r="A5348" t="str">
        <f t="shared" si="105"/>
        <v/>
      </c>
    </row>
    <row r="5349" spans="1:1" x14ac:dyDescent="0.25">
      <c r="A5349" t="str">
        <f t="shared" si="105"/>
        <v/>
      </c>
    </row>
    <row r="5350" spans="1:1" x14ac:dyDescent="0.25">
      <c r="A5350" t="str">
        <f t="shared" si="105"/>
        <v/>
      </c>
    </row>
    <row r="5351" spans="1:1" x14ac:dyDescent="0.25">
      <c r="A5351" t="str">
        <f t="shared" si="105"/>
        <v/>
      </c>
    </row>
    <row r="5352" spans="1:1" x14ac:dyDescent="0.25">
      <c r="A5352" t="str">
        <f t="shared" si="105"/>
        <v/>
      </c>
    </row>
    <row r="5353" spans="1:1" x14ac:dyDescent="0.25">
      <c r="A5353" t="str">
        <f t="shared" si="105"/>
        <v/>
      </c>
    </row>
    <row r="5354" spans="1:1" x14ac:dyDescent="0.25">
      <c r="A5354" t="str">
        <f t="shared" si="105"/>
        <v/>
      </c>
    </row>
    <row r="5355" spans="1:1" x14ac:dyDescent="0.25">
      <c r="A5355" t="str">
        <f t="shared" si="105"/>
        <v/>
      </c>
    </row>
    <row r="5356" spans="1:1" x14ac:dyDescent="0.25">
      <c r="A5356" t="str">
        <f t="shared" si="105"/>
        <v/>
      </c>
    </row>
    <row r="5357" spans="1:1" x14ac:dyDescent="0.25">
      <c r="A5357" t="str">
        <f t="shared" si="105"/>
        <v/>
      </c>
    </row>
    <row r="5358" spans="1:1" x14ac:dyDescent="0.25">
      <c r="A5358" t="str">
        <f t="shared" si="105"/>
        <v/>
      </c>
    </row>
    <row r="5359" spans="1:1" x14ac:dyDescent="0.25">
      <c r="A5359" t="str">
        <f t="shared" si="105"/>
        <v/>
      </c>
    </row>
    <row r="5360" spans="1:1" x14ac:dyDescent="0.25">
      <c r="A5360" t="str">
        <f t="shared" si="105"/>
        <v/>
      </c>
    </row>
    <row r="5361" spans="1:1" x14ac:dyDescent="0.25">
      <c r="A5361" t="str">
        <f t="shared" si="105"/>
        <v/>
      </c>
    </row>
    <row r="5362" spans="1:1" x14ac:dyDescent="0.25">
      <c r="A5362" t="str">
        <f t="shared" si="105"/>
        <v/>
      </c>
    </row>
    <row r="5363" spans="1:1" x14ac:dyDescent="0.25">
      <c r="A5363" t="str">
        <f t="shared" si="105"/>
        <v/>
      </c>
    </row>
    <row r="5364" spans="1:1" x14ac:dyDescent="0.25">
      <c r="A5364" t="str">
        <f t="shared" si="105"/>
        <v/>
      </c>
    </row>
    <row r="5365" spans="1:1" x14ac:dyDescent="0.25">
      <c r="A5365" t="str">
        <f t="shared" si="105"/>
        <v/>
      </c>
    </row>
    <row r="5366" spans="1:1" x14ac:dyDescent="0.25">
      <c r="A5366" t="str">
        <f t="shared" si="105"/>
        <v/>
      </c>
    </row>
    <row r="5367" spans="1:1" x14ac:dyDescent="0.25">
      <c r="A5367" t="str">
        <f t="shared" si="105"/>
        <v/>
      </c>
    </row>
    <row r="5368" spans="1:1" x14ac:dyDescent="0.25">
      <c r="A5368" t="str">
        <f t="shared" si="105"/>
        <v/>
      </c>
    </row>
    <row r="5369" spans="1:1" x14ac:dyDescent="0.25">
      <c r="A5369" t="str">
        <f t="shared" si="105"/>
        <v/>
      </c>
    </row>
    <row r="5370" spans="1:1" x14ac:dyDescent="0.25">
      <c r="A5370" t="str">
        <f t="shared" si="105"/>
        <v/>
      </c>
    </row>
    <row r="5371" spans="1:1" x14ac:dyDescent="0.25">
      <c r="A5371" t="str">
        <f t="shared" si="105"/>
        <v/>
      </c>
    </row>
    <row r="5372" spans="1:1" x14ac:dyDescent="0.25">
      <c r="A5372" t="str">
        <f t="shared" si="105"/>
        <v/>
      </c>
    </row>
    <row r="5373" spans="1:1" x14ac:dyDescent="0.25">
      <c r="A5373" t="str">
        <f t="shared" si="105"/>
        <v/>
      </c>
    </row>
    <row r="5374" spans="1:1" x14ac:dyDescent="0.25">
      <c r="A5374" t="str">
        <f t="shared" si="105"/>
        <v/>
      </c>
    </row>
    <row r="5375" spans="1:1" x14ac:dyDescent="0.25">
      <c r="A5375" t="str">
        <f t="shared" si="105"/>
        <v/>
      </c>
    </row>
    <row r="5376" spans="1:1" x14ac:dyDescent="0.25">
      <c r="A5376" t="str">
        <f t="shared" si="105"/>
        <v/>
      </c>
    </row>
    <row r="5377" spans="1:1" x14ac:dyDescent="0.25">
      <c r="A5377" t="str">
        <f t="shared" ref="A5377:A5440" si="106">E5377&amp;C5377&amp;D5377</f>
        <v/>
      </c>
    </row>
    <row r="5378" spans="1:1" x14ac:dyDescent="0.25">
      <c r="A5378" t="str">
        <f t="shared" si="106"/>
        <v/>
      </c>
    </row>
    <row r="5379" spans="1:1" x14ac:dyDescent="0.25">
      <c r="A5379" t="str">
        <f t="shared" si="106"/>
        <v/>
      </c>
    </row>
    <row r="5380" spans="1:1" x14ac:dyDescent="0.25">
      <c r="A5380" t="str">
        <f t="shared" si="106"/>
        <v/>
      </c>
    </row>
    <row r="5381" spans="1:1" x14ac:dyDescent="0.25">
      <c r="A5381" t="str">
        <f t="shared" si="106"/>
        <v/>
      </c>
    </row>
    <row r="5382" spans="1:1" x14ac:dyDescent="0.25">
      <c r="A5382" t="str">
        <f t="shared" si="106"/>
        <v/>
      </c>
    </row>
    <row r="5383" spans="1:1" x14ac:dyDescent="0.25">
      <c r="A5383" t="str">
        <f t="shared" si="106"/>
        <v/>
      </c>
    </row>
    <row r="5384" spans="1:1" x14ac:dyDescent="0.25">
      <c r="A5384" t="str">
        <f t="shared" si="106"/>
        <v/>
      </c>
    </row>
    <row r="5385" spans="1:1" x14ac:dyDescent="0.25">
      <c r="A5385" t="str">
        <f t="shared" si="106"/>
        <v/>
      </c>
    </row>
    <row r="5386" spans="1:1" x14ac:dyDescent="0.25">
      <c r="A5386" t="str">
        <f t="shared" si="106"/>
        <v/>
      </c>
    </row>
    <row r="5387" spans="1:1" x14ac:dyDescent="0.25">
      <c r="A5387" t="str">
        <f t="shared" si="106"/>
        <v/>
      </c>
    </row>
    <row r="5388" spans="1:1" x14ac:dyDescent="0.25">
      <c r="A5388" t="str">
        <f t="shared" si="106"/>
        <v/>
      </c>
    </row>
    <row r="5389" spans="1:1" x14ac:dyDescent="0.25">
      <c r="A5389" t="str">
        <f t="shared" si="106"/>
        <v/>
      </c>
    </row>
    <row r="5390" spans="1:1" x14ac:dyDescent="0.25">
      <c r="A5390" t="str">
        <f t="shared" si="106"/>
        <v/>
      </c>
    </row>
    <row r="5391" spans="1:1" x14ac:dyDescent="0.25">
      <c r="A5391" t="str">
        <f t="shared" si="106"/>
        <v/>
      </c>
    </row>
    <row r="5392" spans="1:1" x14ac:dyDescent="0.25">
      <c r="A5392" t="str">
        <f t="shared" si="106"/>
        <v/>
      </c>
    </row>
    <row r="5393" spans="1:1" x14ac:dyDescent="0.25">
      <c r="A5393" t="str">
        <f t="shared" si="106"/>
        <v/>
      </c>
    </row>
    <row r="5394" spans="1:1" x14ac:dyDescent="0.25">
      <c r="A5394" t="str">
        <f t="shared" si="106"/>
        <v/>
      </c>
    </row>
    <row r="5395" spans="1:1" x14ac:dyDescent="0.25">
      <c r="A5395" t="str">
        <f t="shared" si="106"/>
        <v/>
      </c>
    </row>
    <row r="5396" spans="1:1" x14ac:dyDescent="0.25">
      <c r="A5396" t="str">
        <f t="shared" si="106"/>
        <v/>
      </c>
    </row>
    <row r="5397" spans="1:1" x14ac:dyDescent="0.25">
      <c r="A5397" t="str">
        <f t="shared" si="106"/>
        <v/>
      </c>
    </row>
    <row r="5398" spans="1:1" x14ac:dyDescent="0.25">
      <c r="A5398" t="str">
        <f t="shared" si="106"/>
        <v/>
      </c>
    </row>
    <row r="5399" spans="1:1" x14ac:dyDescent="0.25">
      <c r="A5399" t="str">
        <f t="shared" si="106"/>
        <v/>
      </c>
    </row>
    <row r="5400" spans="1:1" x14ac:dyDescent="0.25">
      <c r="A5400" t="str">
        <f t="shared" si="106"/>
        <v/>
      </c>
    </row>
    <row r="5401" spans="1:1" x14ac:dyDescent="0.25">
      <c r="A5401" t="str">
        <f t="shared" si="106"/>
        <v/>
      </c>
    </row>
    <row r="5402" spans="1:1" x14ac:dyDescent="0.25">
      <c r="A5402" t="str">
        <f t="shared" si="106"/>
        <v/>
      </c>
    </row>
    <row r="5403" spans="1:1" x14ac:dyDescent="0.25">
      <c r="A5403" t="str">
        <f t="shared" si="106"/>
        <v/>
      </c>
    </row>
    <row r="5404" spans="1:1" x14ac:dyDescent="0.25">
      <c r="A5404" t="str">
        <f t="shared" si="106"/>
        <v/>
      </c>
    </row>
    <row r="5405" spans="1:1" x14ac:dyDescent="0.25">
      <c r="A5405" t="str">
        <f t="shared" si="106"/>
        <v/>
      </c>
    </row>
    <row r="5406" spans="1:1" x14ac:dyDescent="0.25">
      <c r="A5406" t="str">
        <f t="shared" si="106"/>
        <v/>
      </c>
    </row>
    <row r="5407" spans="1:1" x14ac:dyDescent="0.25">
      <c r="A5407" t="str">
        <f t="shared" si="106"/>
        <v/>
      </c>
    </row>
    <row r="5408" spans="1:1" x14ac:dyDescent="0.25">
      <c r="A5408" t="str">
        <f t="shared" si="106"/>
        <v/>
      </c>
    </row>
    <row r="5409" spans="1:1" x14ac:dyDescent="0.25">
      <c r="A5409" t="str">
        <f t="shared" si="106"/>
        <v/>
      </c>
    </row>
    <row r="5410" spans="1:1" x14ac:dyDescent="0.25">
      <c r="A5410" t="str">
        <f t="shared" si="106"/>
        <v/>
      </c>
    </row>
    <row r="5411" spans="1:1" x14ac:dyDescent="0.25">
      <c r="A5411" t="str">
        <f t="shared" si="106"/>
        <v/>
      </c>
    </row>
    <row r="5412" spans="1:1" x14ac:dyDescent="0.25">
      <c r="A5412" t="str">
        <f t="shared" si="106"/>
        <v/>
      </c>
    </row>
    <row r="5413" spans="1:1" x14ac:dyDescent="0.25">
      <c r="A5413" t="str">
        <f t="shared" si="106"/>
        <v/>
      </c>
    </row>
    <row r="5414" spans="1:1" x14ac:dyDescent="0.25">
      <c r="A5414" t="str">
        <f t="shared" si="106"/>
        <v/>
      </c>
    </row>
    <row r="5415" spans="1:1" x14ac:dyDescent="0.25">
      <c r="A5415" t="str">
        <f t="shared" si="106"/>
        <v/>
      </c>
    </row>
    <row r="5416" spans="1:1" x14ac:dyDescent="0.25">
      <c r="A5416" t="str">
        <f t="shared" si="106"/>
        <v/>
      </c>
    </row>
    <row r="5417" spans="1:1" x14ac:dyDescent="0.25">
      <c r="A5417" t="str">
        <f t="shared" si="106"/>
        <v/>
      </c>
    </row>
    <row r="5418" spans="1:1" x14ac:dyDescent="0.25">
      <c r="A5418" t="str">
        <f t="shared" si="106"/>
        <v/>
      </c>
    </row>
    <row r="5419" spans="1:1" x14ac:dyDescent="0.25">
      <c r="A5419" t="str">
        <f t="shared" si="106"/>
        <v/>
      </c>
    </row>
    <row r="5420" spans="1:1" x14ac:dyDescent="0.25">
      <c r="A5420" t="str">
        <f t="shared" si="106"/>
        <v/>
      </c>
    </row>
    <row r="5421" spans="1:1" x14ac:dyDescent="0.25">
      <c r="A5421" t="str">
        <f t="shared" si="106"/>
        <v/>
      </c>
    </row>
    <row r="5422" spans="1:1" x14ac:dyDescent="0.25">
      <c r="A5422" t="str">
        <f t="shared" si="106"/>
        <v/>
      </c>
    </row>
    <row r="5423" spans="1:1" x14ac:dyDescent="0.25">
      <c r="A5423" t="str">
        <f t="shared" si="106"/>
        <v/>
      </c>
    </row>
    <row r="5424" spans="1:1" x14ac:dyDescent="0.25">
      <c r="A5424" t="str">
        <f t="shared" si="106"/>
        <v/>
      </c>
    </row>
    <row r="5425" spans="1:1" x14ac:dyDescent="0.25">
      <c r="A5425" t="str">
        <f t="shared" si="106"/>
        <v/>
      </c>
    </row>
    <row r="5426" spans="1:1" x14ac:dyDescent="0.25">
      <c r="A5426" t="str">
        <f t="shared" si="106"/>
        <v/>
      </c>
    </row>
    <row r="5427" spans="1:1" x14ac:dyDescent="0.25">
      <c r="A5427" t="str">
        <f t="shared" si="106"/>
        <v/>
      </c>
    </row>
    <row r="5428" spans="1:1" x14ac:dyDescent="0.25">
      <c r="A5428" t="str">
        <f t="shared" si="106"/>
        <v/>
      </c>
    </row>
    <row r="5429" spans="1:1" x14ac:dyDescent="0.25">
      <c r="A5429" t="str">
        <f t="shared" si="106"/>
        <v/>
      </c>
    </row>
    <row r="5430" spans="1:1" x14ac:dyDescent="0.25">
      <c r="A5430" t="str">
        <f t="shared" si="106"/>
        <v/>
      </c>
    </row>
    <row r="5431" spans="1:1" x14ac:dyDescent="0.25">
      <c r="A5431" t="str">
        <f t="shared" si="106"/>
        <v/>
      </c>
    </row>
    <row r="5432" spans="1:1" x14ac:dyDescent="0.25">
      <c r="A5432" t="str">
        <f t="shared" si="106"/>
        <v/>
      </c>
    </row>
    <row r="5433" spans="1:1" x14ac:dyDescent="0.25">
      <c r="A5433" t="str">
        <f t="shared" si="106"/>
        <v/>
      </c>
    </row>
    <row r="5434" spans="1:1" x14ac:dyDescent="0.25">
      <c r="A5434" t="str">
        <f t="shared" si="106"/>
        <v/>
      </c>
    </row>
    <row r="5435" spans="1:1" x14ac:dyDescent="0.25">
      <c r="A5435" t="str">
        <f t="shared" si="106"/>
        <v/>
      </c>
    </row>
    <row r="5436" spans="1:1" x14ac:dyDescent="0.25">
      <c r="A5436" t="str">
        <f t="shared" si="106"/>
        <v/>
      </c>
    </row>
    <row r="5437" spans="1:1" x14ac:dyDescent="0.25">
      <c r="A5437" t="str">
        <f t="shared" si="106"/>
        <v/>
      </c>
    </row>
    <row r="5438" spans="1:1" x14ac:dyDescent="0.25">
      <c r="A5438" t="str">
        <f t="shared" si="106"/>
        <v/>
      </c>
    </row>
    <row r="5439" spans="1:1" x14ac:dyDescent="0.25">
      <c r="A5439" t="str">
        <f t="shared" si="106"/>
        <v/>
      </c>
    </row>
    <row r="5440" spans="1:1" x14ac:dyDescent="0.25">
      <c r="A5440" t="str">
        <f t="shared" si="106"/>
        <v/>
      </c>
    </row>
    <row r="5441" spans="1:1" x14ac:dyDescent="0.25">
      <c r="A5441" t="str">
        <f t="shared" ref="A5441:A5504" si="107">E5441&amp;C5441&amp;D5441</f>
        <v/>
      </c>
    </row>
    <row r="5442" spans="1:1" x14ac:dyDescent="0.25">
      <c r="A5442" t="str">
        <f t="shared" si="107"/>
        <v/>
      </c>
    </row>
    <row r="5443" spans="1:1" x14ac:dyDescent="0.25">
      <c r="A5443" t="str">
        <f t="shared" si="107"/>
        <v/>
      </c>
    </row>
    <row r="5444" spans="1:1" x14ac:dyDescent="0.25">
      <c r="A5444" t="str">
        <f t="shared" si="107"/>
        <v/>
      </c>
    </row>
    <row r="5445" spans="1:1" x14ac:dyDescent="0.25">
      <c r="A5445" t="str">
        <f t="shared" si="107"/>
        <v/>
      </c>
    </row>
    <row r="5446" spans="1:1" x14ac:dyDescent="0.25">
      <c r="A5446" t="str">
        <f t="shared" si="107"/>
        <v/>
      </c>
    </row>
    <row r="5447" spans="1:1" x14ac:dyDescent="0.25">
      <c r="A5447" t="str">
        <f t="shared" si="107"/>
        <v/>
      </c>
    </row>
    <row r="5448" spans="1:1" x14ac:dyDescent="0.25">
      <c r="A5448" t="str">
        <f t="shared" si="107"/>
        <v/>
      </c>
    </row>
    <row r="5449" spans="1:1" x14ac:dyDescent="0.25">
      <c r="A5449" t="str">
        <f t="shared" si="107"/>
        <v/>
      </c>
    </row>
    <row r="5450" spans="1:1" x14ac:dyDescent="0.25">
      <c r="A5450" t="str">
        <f t="shared" si="107"/>
        <v/>
      </c>
    </row>
    <row r="5451" spans="1:1" x14ac:dyDescent="0.25">
      <c r="A5451" t="str">
        <f t="shared" si="107"/>
        <v/>
      </c>
    </row>
    <row r="5452" spans="1:1" x14ac:dyDescent="0.25">
      <c r="A5452" t="str">
        <f t="shared" si="107"/>
        <v/>
      </c>
    </row>
    <row r="5453" spans="1:1" x14ac:dyDescent="0.25">
      <c r="A5453" t="str">
        <f t="shared" si="107"/>
        <v/>
      </c>
    </row>
    <row r="5454" spans="1:1" x14ac:dyDescent="0.25">
      <c r="A5454" t="str">
        <f t="shared" si="107"/>
        <v/>
      </c>
    </row>
    <row r="5455" spans="1:1" x14ac:dyDescent="0.25">
      <c r="A5455" t="str">
        <f t="shared" si="107"/>
        <v/>
      </c>
    </row>
    <row r="5456" spans="1:1" x14ac:dyDescent="0.25">
      <c r="A5456" t="str">
        <f t="shared" si="107"/>
        <v/>
      </c>
    </row>
    <row r="5457" spans="1:1" x14ac:dyDescent="0.25">
      <c r="A5457" t="str">
        <f t="shared" si="107"/>
        <v/>
      </c>
    </row>
    <row r="5458" spans="1:1" x14ac:dyDescent="0.25">
      <c r="A5458" t="str">
        <f t="shared" si="107"/>
        <v/>
      </c>
    </row>
    <row r="5459" spans="1:1" x14ac:dyDescent="0.25">
      <c r="A5459" t="str">
        <f t="shared" si="107"/>
        <v/>
      </c>
    </row>
    <row r="5460" spans="1:1" x14ac:dyDescent="0.25">
      <c r="A5460" t="str">
        <f t="shared" si="107"/>
        <v/>
      </c>
    </row>
    <row r="5461" spans="1:1" x14ac:dyDescent="0.25">
      <c r="A5461" t="str">
        <f t="shared" si="107"/>
        <v/>
      </c>
    </row>
    <row r="5462" spans="1:1" x14ac:dyDescent="0.25">
      <c r="A5462" t="str">
        <f t="shared" si="107"/>
        <v/>
      </c>
    </row>
    <row r="5463" spans="1:1" x14ac:dyDescent="0.25">
      <c r="A5463" t="str">
        <f t="shared" si="107"/>
        <v/>
      </c>
    </row>
    <row r="5464" spans="1:1" x14ac:dyDescent="0.25">
      <c r="A5464" t="str">
        <f t="shared" si="107"/>
        <v/>
      </c>
    </row>
    <row r="5465" spans="1:1" x14ac:dyDescent="0.25">
      <c r="A5465" t="str">
        <f t="shared" si="107"/>
        <v/>
      </c>
    </row>
    <row r="5466" spans="1:1" x14ac:dyDescent="0.25">
      <c r="A5466" t="str">
        <f t="shared" si="107"/>
        <v/>
      </c>
    </row>
    <row r="5467" spans="1:1" x14ac:dyDescent="0.25">
      <c r="A5467" t="str">
        <f t="shared" si="107"/>
        <v/>
      </c>
    </row>
    <row r="5468" spans="1:1" x14ac:dyDescent="0.25">
      <c r="A5468" t="str">
        <f t="shared" si="107"/>
        <v/>
      </c>
    </row>
    <row r="5469" spans="1:1" x14ac:dyDescent="0.25">
      <c r="A5469" t="str">
        <f t="shared" si="107"/>
        <v/>
      </c>
    </row>
    <row r="5470" spans="1:1" x14ac:dyDescent="0.25">
      <c r="A5470" t="str">
        <f t="shared" si="107"/>
        <v/>
      </c>
    </row>
    <row r="5471" spans="1:1" x14ac:dyDescent="0.25">
      <c r="A5471" t="str">
        <f t="shared" si="107"/>
        <v/>
      </c>
    </row>
    <row r="5472" spans="1:1" x14ac:dyDescent="0.25">
      <c r="A5472" t="str">
        <f t="shared" si="107"/>
        <v/>
      </c>
    </row>
    <row r="5473" spans="1:1" x14ac:dyDescent="0.25">
      <c r="A5473" t="str">
        <f t="shared" si="107"/>
        <v/>
      </c>
    </row>
    <row r="5474" spans="1:1" x14ac:dyDescent="0.25">
      <c r="A5474" t="str">
        <f t="shared" si="107"/>
        <v/>
      </c>
    </row>
    <row r="5475" spans="1:1" x14ac:dyDescent="0.25">
      <c r="A5475" t="str">
        <f t="shared" si="107"/>
        <v/>
      </c>
    </row>
    <row r="5476" spans="1:1" x14ac:dyDescent="0.25">
      <c r="A5476" t="str">
        <f t="shared" si="107"/>
        <v/>
      </c>
    </row>
    <row r="5477" spans="1:1" x14ac:dyDescent="0.25">
      <c r="A5477" t="str">
        <f t="shared" si="107"/>
        <v/>
      </c>
    </row>
    <row r="5478" spans="1:1" x14ac:dyDescent="0.25">
      <c r="A5478" t="str">
        <f t="shared" si="107"/>
        <v/>
      </c>
    </row>
    <row r="5479" spans="1:1" x14ac:dyDescent="0.25">
      <c r="A5479" t="str">
        <f t="shared" si="107"/>
        <v/>
      </c>
    </row>
    <row r="5480" spans="1:1" x14ac:dyDescent="0.25">
      <c r="A5480" t="str">
        <f t="shared" si="107"/>
        <v/>
      </c>
    </row>
    <row r="5481" spans="1:1" x14ac:dyDescent="0.25">
      <c r="A5481" t="str">
        <f t="shared" si="107"/>
        <v/>
      </c>
    </row>
    <row r="5482" spans="1:1" x14ac:dyDescent="0.25">
      <c r="A5482" t="str">
        <f t="shared" si="107"/>
        <v/>
      </c>
    </row>
    <row r="5483" spans="1:1" x14ac:dyDescent="0.25">
      <c r="A5483" t="str">
        <f t="shared" si="107"/>
        <v/>
      </c>
    </row>
    <row r="5484" spans="1:1" x14ac:dyDescent="0.25">
      <c r="A5484" t="str">
        <f t="shared" si="107"/>
        <v/>
      </c>
    </row>
    <row r="5485" spans="1:1" x14ac:dyDescent="0.25">
      <c r="A5485" t="str">
        <f t="shared" si="107"/>
        <v/>
      </c>
    </row>
    <row r="5486" spans="1:1" x14ac:dyDescent="0.25">
      <c r="A5486" t="str">
        <f t="shared" si="107"/>
        <v/>
      </c>
    </row>
    <row r="5487" spans="1:1" x14ac:dyDescent="0.25">
      <c r="A5487" t="str">
        <f t="shared" si="107"/>
        <v/>
      </c>
    </row>
    <row r="5488" spans="1:1" x14ac:dyDescent="0.25">
      <c r="A5488" t="str">
        <f t="shared" si="107"/>
        <v/>
      </c>
    </row>
    <row r="5489" spans="1:1" x14ac:dyDescent="0.25">
      <c r="A5489" t="str">
        <f t="shared" si="107"/>
        <v/>
      </c>
    </row>
    <row r="5490" spans="1:1" x14ac:dyDescent="0.25">
      <c r="A5490" t="str">
        <f t="shared" si="107"/>
        <v/>
      </c>
    </row>
    <row r="5491" spans="1:1" x14ac:dyDescent="0.25">
      <c r="A5491" t="str">
        <f t="shared" si="107"/>
        <v/>
      </c>
    </row>
    <row r="5492" spans="1:1" x14ac:dyDescent="0.25">
      <c r="A5492" t="str">
        <f t="shared" si="107"/>
        <v/>
      </c>
    </row>
    <row r="5493" spans="1:1" x14ac:dyDescent="0.25">
      <c r="A5493" t="str">
        <f t="shared" si="107"/>
        <v/>
      </c>
    </row>
    <row r="5494" spans="1:1" x14ac:dyDescent="0.25">
      <c r="A5494" t="str">
        <f t="shared" si="107"/>
        <v/>
      </c>
    </row>
    <row r="5495" spans="1:1" x14ac:dyDescent="0.25">
      <c r="A5495" t="str">
        <f t="shared" si="107"/>
        <v/>
      </c>
    </row>
    <row r="5496" spans="1:1" x14ac:dyDescent="0.25">
      <c r="A5496" t="str">
        <f t="shared" si="107"/>
        <v/>
      </c>
    </row>
    <row r="5497" spans="1:1" x14ac:dyDescent="0.25">
      <c r="A5497" t="str">
        <f t="shared" si="107"/>
        <v/>
      </c>
    </row>
    <row r="5498" spans="1:1" x14ac:dyDescent="0.25">
      <c r="A5498" t="str">
        <f t="shared" si="107"/>
        <v/>
      </c>
    </row>
    <row r="5499" spans="1:1" x14ac:dyDescent="0.25">
      <c r="A5499" t="str">
        <f t="shared" si="107"/>
        <v/>
      </c>
    </row>
    <row r="5500" spans="1:1" x14ac:dyDescent="0.25">
      <c r="A5500" t="str">
        <f t="shared" si="107"/>
        <v/>
      </c>
    </row>
    <row r="5501" spans="1:1" x14ac:dyDescent="0.25">
      <c r="A5501" t="str">
        <f t="shared" si="107"/>
        <v/>
      </c>
    </row>
    <row r="5502" spans="1:1" x14ac:dyDescent="0.25">
      <c r="A5502" t="str">
        <f t="shared" si="107"/>
        <v/>
      </c>
    </row>
    <row r="5503" spans="1:1" x14ac:dyDescent="0.25">
      <c r="A5503" t="str">
        <f t="shared" si="107"/>
        <v/>
      </c>
    </row>
    <row r="5504" spans="1:1" x14ac:dyDescent="0.25">
      <c r="A5504" t="str">
        <f t="shared" si="107"/>
        <v/>
      </c>
    </row>
    <row r="5505" spans="1:1" x14ac:dyDescent="0.25">
      <c r="A5505" t="str">
        <f t="shared" ref="A5505:A5568" si="108">E5505&amp;C5505&amp;D5505</f>
        <v/>
      </c>
    </row>
    <row r="5506" spans="1:1" x14ac:dyDescent="0.25">
      <c r="A5506" t="str">
        <f t="shared" si="108"/>
        <v/>
      </c>
    </row>
    <row r="5507" spans="1:1" x14ac:dyDescent="0.25">
      <c r="A5507" t="str">
        <f t="shared" si="108"/>
        <v/>
      </c>
    </row>
    <row r="5508" spans="1:1" x14ac:dyDescent="0.25">
      <c r="A5508" t="str">
        <f t="shared" si="108"/>
        <v/>
      </c>
    </row>
    <row r="5509" spans="1:1" x14ac:dyDescent="0.25">
      <c r="A5509" t="str">
        <f t="shared" si="108"/>
        <v/>
      </c>
    </row>
    <row r="5510" spans="1:1" x14ac:dyDescent="0.25">
      <c r="A5510" t="str">
        <f t="shared" si="108"/>
        <v/>
      </c>
    </row>
    <row r="5511" spans="1:1" x14ac:dyDescent="0.25">
      <c r="A5511" t="str">
        <f t="shared" si="108"/>
        <v/>
      </c>
    </row>
    <row r="5512" spans="1:1" x14ac:dyDescent="0.25">
      <c r="A5512" t="str">
        <f t="shared" si="108"/>
        <v/>
      </c>
    </row>
    <row r="5513" spans="1:1" x14ac:dyDescent="0.25">
      <c r="A5513" t="str">
        <f t="shared" si="108"/>
        <v/>
      </c>
    </row>
    <row r="5514" spans="1:1" x14ac:dyDescent="0.25">
      <c r="A5514" t="str">
        <f t="shared" si="108"/>
        <v/>
      </c>
    </row>
    <row r="5515" spans="1:1" x14ac:dyDescent="0.25">
      <c r="A5515" t="str">
        <f t="shared" si="108"/>
        <v/>
      </c>
    </row>
    <row r="5516" spans="1:1" x14ac:dyDescent="0.25">
      <c r="A5516" t="str">
        <f t="shared" si="108"/>
        <v/>
      </c>
    </row>
    <row r="5517" spans="1:1" x14ac:dyDescent="0.25">
      <c r="A5517" t="str">
        <f t="shared" si="108"/>
        <v/>
      </c>
    </row>
    <row r="5518" spans="1:1" x14ac:dyDescent="0.25">
      <c r="A5518" t="str">
        <f t="shared" si="108"/>
        <v/>
      </c>
    </row>
    <row r="5519" spans="1:1" x14ac:dyDescent="0.25">
      <c r="A5519" t="str">
        <f t="shared" si="108"/>
        <v/>
      </c>
    </row>
    <row r="5520" spans="1:1" x14ac:dyDescent="0.25">
      <c r="A5520" t="str">
        <f t="shared" si="108"/>
        <v/>
      </c>
    </row>
    <row r="5521" spans="1:1" x14ac:dyDescent="0.25">
      <c r="A5521" t="str">
        <f t="shared" si="108"/>
        <v/>
      </c>
    </row>
    <row r="5522" spans="1:1" x14ac:dyDescent="0.25">
      <c r="A5522" t="str">
        <f t="shared" si="108"/>
        <v/>
      </c>
    </row>
    <row r="5523" spans="1:1" x14ac:dyDescent="0.25">
      <c r="A5523" t="str">
        <f t="shared" si="108"/>
        <v/>
      </c>
    </row>
    <row r="5524" spans="1:1" x14ac:dyDescent="0.25">
      <c r="A5524" t="str">
        <f t="shared" si="108"/>
        <v/>
      </c>
    </row>
    <row r="5525" spans="1:1" x14ac:dyDescent="0.25">
      <c r="A5525" t="str">
        <f t="shared" si="108"/>
        <v/>
      </c>
    </row>
    <row r="5526" spans="1:1" x14ac:dyDescent="0.25">
      <c r="A5526" t="str">
        <f t="shared" si="108"/>
        <v/>
      </c>
    </row>
    <row r="5527" spans="1:1" x14ac:dyDescent="0.25">
      <c r="A5527" t="str">
        <f t="shared" si="108"/>
        <v/>
      </c>
    </row>
    <row r="5528" spans="1:1" x14ac:dyDescent="0.25">
      <c r="A5528" t="str">
        <f t="shared" si="108"/>
        <v/>
      </c>
    </row>
    <row r="5529" spans="1:1" x14ac:dyDescent="0.25">
      <c r="A5529" t="str">
        <f t="shared" si="108"/>
        <v/>
      </c>
    </row>
    <row r="5530" spans="1:1" x14ac:dyDescent="0.25">
      <c r="A5530" t="str">
        <f t="shared" si="108"/>
        <v/>
      </c>
    </row>
    <row r="5531" spans="1:1" x14ac:dyDescent="0.25">
      <c r="A5531" t="str">
        <f t="shared" si="108"/>
        <v/>
      </c>
    </row>
    <row r="5532" spans="1:1" x14ac:dyDescent="0.25">
      <c r="A5532" t="str">
        <f t="shared" si="108"/>
        <v/>
      </c>
    </row>
    <row r="5533" spans="1:1" x14ac:dyDescent="0.25">
      <c r="A5533" t="str">
        <f t="shared" si="108"/>
        <v/>
      </c>
    </row>
    <row r="5534" spans="1:1" x14ac:dyDescent="0.25">
      <c r="A5534" t="str">
        <f t="shared" si="108"/>
        <v/>
      </c>
    </row>
    <row r="5535" spans="1:1" x14ac:dyDescent="0.25">
      <c r="A5535" t="str">
        <f t="shared" si="108"/>
        <v/>
      </c>
    </row>
    <row r="5536" spans="1:1" x14ac:dyDescent="0.25">
      <c r="A5536" t="str">
        <f t="shared" si="108"/>
        <v/>
      </c>
    </row>
    <row r="5537" spans="1:1" x14ac:dyDescent="0.25">
      <c r="A5537" t="str">
        <f t="shared" si="108"/>
        <v/>
      </c>
    </row>
    <row r="5538" spans="1:1" x14ac:dyDescent="0.25">
      <c r="A5538" t="str">
        <f t="shared" si="108"/>
        <v/>
      </c>
    </row>
    <row r="5539" spans="1:1" x14ac:dyDescent="0.25">
      <c r="A5539" t="str">
        <f t="shared" si="108"/>
        <v/>
      </c>
    </row>
    <row r="5540" spans="1:1" x14ac:dyDescent="0.25">
      <c r="A5540" t="str">
        <f t="shared" si="108"/>
        <v/>
      </c>
    </row>
    <row r="5541" spans="1:1" x14ac:dyDescent="0.25">
      <c r="A5541" t="str">
        <f t="shared" si="108"/>
        <v/>
      </c>
    </row>
    <row r="5542" spans="1:1" x14ac:dyDescent="0.25">
      <c r="A5542" t="str">
        <f t="shared" si="108"/>
        <v/>
      </c>
    </row>
    <row r="5543" spans="1:1" x14ac:dyDescent="0.25">
      <c r="A5543" t="str">
        <f t="shared" si="108"/>
        <v/>
      </c>
    </row>
    <row r="5544" spans="1:1" x14ac:dyDescent="0.25">
      <c r="A5544" t="str">
        <f t="shared" si="108"/>
        <v/>
      </c>
    </row>
    <row r="5545" spans="1:1" x14ac:dyDescent="0.25">
      <c r="A5545" t="str">
        <f t="shared" si="108"/>
        <v/>
      </c>
    </row>
    <row r="5546" spans="1:1" x14ac:dyDescent="0.25">
      <c r="A5546" t="str">
        <f t="shared" si="108"/>
        <v/>
      </c>
    </row>
    <row r="5547" spans="1:1" x14ac:dyDescent="0.25">
      <c r="A5547" t="str">
        <f t="shared" si="108"/>
        <v/>
      </c>
    </row>
    <row r="5548" spans="1:1" x14ac:dyDescent="0.25">
      <c r="A5548" t="str">
        <f t="shared" si="108"/>
        <v/>
      </c>
    </row>
    <row r="5549" spans="1:1" x14ac:dyDescent="0.25">
      <c r="A5549" t="str">
        <f t="shared" si="108"/>
        <v/>
      </c>
    </row>
    <row r="5550" spans="1:1" x14ac:dyDescent="0.25">
      <c r="A5550" t="str">
        <f t="shared" si="108"/>
        <v/>
      </c>
    </row>
    <row r="5551" spans="1:1" x14ac:dyDescent="0.25">
      <c r="A5551" t="str">
        <f t="shared" si="108"/>
        <v/>
      </c>
    </row>
    <row r="5552" spans="1:1" x14ac:dyDescent="0.25">
      <c r="A5552" t="str">
        <f t="shared" si="108"/>
        <v/>
      </c>
    </row>
    <row r="5553" spans="1:1" x14ac:dyDescent="0.25">
      <c r="A5553" t="str">
        <f t="shared" si="108"/>
        <v/>
      </c>
    </row>
    <row r="5554" spans="1:1" x14ac:dyDescent="0.25">
      <c r="A5554" t="str">
        <f t="shared" si="108"/>
        <v/>
      </c>
    </row>
    <row r="5555" spans="1:1" x14ac:dyDescent="0.25">
      <c r="A5555" t="str">
        <f t="shared" si="108"/>
        <v/>
      </c>
    </row>
    <row r="5556" spans="1:1" x14ac:dyDescent="0.25">
      <c r="A5556" t="str">
        <f t="shared" si="108"/>
        <v/>
      </c>
    </row>
    <row r="5557" spans="1:1" x14ac:dyDescent="0.25">
      <c r="A5557" t="str">
        <f t="shared" si="108"/>
        <v/>
      </c>
    </row>
    <row r="5558" spans="1:1" x14ac:dyDescent="0.25">
      <c r="A5558" t="str">
        <f t="shared" si="108"/>
        <v/>
      </c>
    </row>
    <row r="5559" spans="1:1" x14ac:dyDescent="0.25">
      <c r="A5559" t="str">
        <f t="shared" si="108"/>
        <v/>
      </c>
    </row>
    <row r="5560" spans="1:1" x14ac:dyDescent="0.25">
      <c r="A5560" t="str">
        <f t="shared" si="108"/>
        <v/>
      </c>
    </row>
    <row r="5561" spans="1:1" x14ac:dyDescent="0.25">
      <c r="A5561" t="str">
        <f t="shared" si="108"/>
        <v/>
      </c>
    </row>
    <row r="5562" spans="1:1" x14ac:dyDescent="0.25">
      <c r="A5562" t="str">
        <f t="shared" si="108"/>
        <v/>
      </c>
    </row>
    <row r="5563" spans="1:1" x14ac:dyDescent="0.25">
      <c r="A5563" t="str">
        <f t="shared" si="108"/>
        <v/>
      </c>
    </row>
    <row r="5564" spans="1:1" x14ac:dyDescent="0.25">
      <c r="A5564" t="str">
        <f t="shared" si="108"/>
        <v/>
      </c>
    </row>
    <row r="5565" spans="1:1" x14ac:dyDescent="0.25">
      <c r="A5565" t="str">
        <f t="shared" si="108"/>
        <v/>
      </c>
    </row>
    <row r="5566" spans="1:1" x14ac:dyDescent="0.25">
      <c r="A5566" t="str">
        <f t="shared" si="108"/>
        <v/>
      </c>
    </row>
    <row r="5567" spans="1:1" x14ac:dyDescent="0.25">
      <c r="A5567" t="str">
        <f t="shared" si="108"/>
        <v/>
      </c>
    </row>
    <row r="5568" spans="1:1" x14ac:dyDescent="0.25">
      <c r="A5568" t="str">
        <f t="shared" si="108"/>
        <v/>
      </c>
    </row>
    <row r="5569" spans="1:1" x14ac:dyDescent="0.25">
      <c r="A5569" t="str">
        <f t="shared" ref="A5569:A5632" si="109">E5569&amp;C5569&amp;D5569</f>
        <v/>
      </c>
    </row>
    <row r="5570" spans="1:1" x14ac:dyDescent="0.25">
      <c r="A5570" t="str">
        <f t="shared" si="109"/>
        <v/>
      </c>
    </row>
    <row r="5571" spans="1:1" x14ac:dyDescent="0.25">
      <c r="A5571" t="str">
        <f t="shared" si="109"/>
        <v/>
      </c>
    </row>
    <row r="5572" spans="1:1" x14ac:dyDescent="0.25">
      <c r="A5572" t="str">
        <f t="shared" si="109"/>
        <v/>
      </c>
    </row>
    <row r="5573" spans="1:1" x14ac:dyDescent="0.25">
      <c r="A5573" t="str">
        <f t="shared" si="109"/>
        <v/>
      </c>
    </row>
    <row r="5574" spans="1:1" x14ac:dyDescent="0.25">
      <c r="A5574" t="str">
        <f t="shared" si="109"/>
        <v/>
      </c>
    </row>
    <row r="5575" spans="1:1" x14ac:dyDescent="0.25">
      <c r="A5575" t="str">
        <f t="shared" si="109"/>
        <v/>
      </c>
    </row>
    <row r="5576" spans="1:1" x14ac:dyDescent="0.25">
      <c r="A5576" t="str">
        <f t="shared" si="109"/>
        <v/>
      </c>
    </row>
    <row r="5577" spans="1:1" x14ac:dyDescent="0.25">
      <c r="A5577" t="str">
        <f t="shared" si="109"/>
        <v/>
      </c>
    </row>
    <row r="5578" spans="1:1" x14ac:dyDescent="0.25">
      <c r="A5578" t="str">
        <f t="shared" si="109"/>
        <v/>
      </c>
    </row>
    <row r="5579" spans="1:1" x14ac:dyDescent="0.25">
      <c r="A5579" t="str">
        <f t="shared" si="109"/>
        <v/>
      </c>
    </row>
    <row r="5580" spans="1:1" x14ac:dyDescent="0.25">
      <c r="A5580" t="str">
        <f t="shared" si="109"/>
        <v/>
      </c>
    </row>
    <row r="5581" spans="1:1" x14ac:dyDescent="0.25">
      <c r="A5581" t="str">
        <f t="shared" si="109"/>
        <v/>
      </c>
    </row>
    <row r="5582" spans="1:1" x14ac:dyDescent="0.25">
      <c r="A5582" t="str">
        <f t="shared" si="109"/>
        <v/>
      </c>
    </row>
    <row r="5583" spans="1:1" x14ac:dyDescent="0.25">
      <c r="A5583" t="str">
        <f t="shared" si="109"/>
        <v/>
      </c>
    </row>
    <row r="5584" spans="1:1" x14ac:dyDescent="0.25">
      <c r="A5584" t="str">
        <f t="shared" si="109"/>
        <v/>
      </c>
    </row>
    <row r="5585" spans="1:1" x14ac:dyDescent="0.25">
      <c r="A5585" t="str">
        <f t="shared" si="109"/>
        <v/>
      </c>
    </row>
    <row r="5586" spans="1:1" x14ac:dyDescent="0.25">
      <c r="A5586" t="str">
        <f t="shared" si="109"/>
        <v/>
      </c>
    </row>
    <row r="5587" spans="1:1" x14ac:dyDescent="0.25">
      <c r="A5587" t="str">
        <f t="shared" si="109"/>
        <v/>
      </c>
    </row>
    <row r="5588" spans="1:1" x14ac:dyDescent="0.25">
      <c r="A5588" t="str">
        <f t="shared" si="109"/>
        <v/>
      </c>
    </row>
    <row r="5589" spans="1:1" x14ac:dyDescent="0.25">
      <c r="A5589" t="str">
        <f t="shared" si="109"/>
        <v/>
      </c>
    </row>
    <row r="5590" spans="1:1" x14ac:dyDescent="0.25">
      <c r="A5590" t="str">
        <f t="shared" si="109"/>
        <v/>
      </c>
    </row>
    <row r="5591" spans="1:1" x14ac:dyDescent="0.25">
      <c r="A5591" t="str">
        <f t="shared" si="109"/>
        <v/>
      </c>
    </row>
    <row r="5592" spans="1:1" x14ac:dyDescent="0.25">
      <c r="A5592" t="str">
        <f t="shared" si="109"/>
        <v/>
      </c>
    </row>
    <row r="5593" spans="1:1" x14ac:dyDescent="0.25">
      <c r="A5593" t="str">
        <f t="shared" si="109"/>
        <v/>
      </c>
    </row>
    <row r="5594" spans="1:1" x14ac:dyDescent="0.25">
      <c r="A5594" t="str">
        <f t="shared" si="109"/>
        <v/>
      </c>
    </row>
    <row r="5595" spans="1:1" x14ac:dyDescent="0.25">
      <c r="A5595" t="str">
        <f t="shared" si="109"/>
        <v/>
      </c>
    </row>
    <row r="5596" spans="1:1" x14ac:dyDescent="0.25">
      <c r="A5596" t="str">
        <f t="shared" si="109"/>
        <v/>
      </c>
    </row>
    <row r="5597" spans="1:1" x14ac:dyDescent="0.25">
      <c r="A5597" t="str">
        <f t="shared" si="109"/>
        <v/>
      </c>
    </row>
    <row r="5598" spans="1:1" x14ac:dyDescent="0.25">
      <c r="A5598" t="str">
        <f t="shared" si="109"/>
        <v/>
      </c>
    </row>
    <row r="5599" spans="1:1" x14ac:dyDescent="0.25">
      <c r="A5599" t="str">
        <f t="shared" si="109"/>
        <v/>
      </c>
    </row>
    <row r="5600" spans="1:1" x14ac:dyDescent="0.25">
      <c r="A5600" t="str">
        <f t="shared" si="109"/>
        <v/>
      </c>
    </row>
    <row r="5601" spans="1:1" x14ac:dyDescent="0.25">
      <c r="A5601" t="str">
        <f t="shared" si="109"/>
        <v/>
      </c>
    </row>
    <row r="5602" spans="1:1" x14ac:dyDescent="0.25">
      <c r="A5602" t="str">
        <f t="shared" si="109"/>
        <v/>
      </c>
    </row>
    <row r="5603" spans="1:1" x14ac:dyDescent="0.25">
      <c r="A5603" t="str">
        <f t="shared" si="109"/>
        <v/>
      </c>
    </row>
    <row r="5604" spans="1:1" x14ac:dyDescent="0.25">
      <c r="A5604" t="str">
        <f t="shared" si="109"/>
        <v/>
      </c>
    </row>
    <row r="5605" spans="1:1" x14ac:dyDescent="0.25">
      <c r="A5605" t="str">
        <f t="shared" si="109"/>
        <v/>
      </c>
    </row>
    <row r="5606" spans="1:1" x14ac:dyDescent="0.25">
      <c r="A5606" t="str">
        <f t="shared" si="109"/>
        <v/>
      </c>
    </row>
    <row r="5607" spans="1:1" x14ac:dyDescent="0.25">
      <c r="A5607" t="str">
        <f t="shared" si="109"/>
        <v/>
      </c>
    </row>
    <row r="5608" spans="1:1" x14ac:dyDescent="0.25">
      <c r="A5608" t="str">
        <f t="shared" si="109"/>
        <v/>
      </c>
    </row>
    <row r="5609" spans="1:1" x14ac:dyDescent="0.25">
      <c r="A5609" t="str">
        <f t="shared" si="109"/>
        <v/>
      </c>
    </row>
    <row r="5610" spans="1:1" x14ac:dyDescent="0.25">
      <c r="A5610" t="str">
        <f t="shared" si="109"/>
        <v/>
      </c>
    </row>
    <row r="5611" spans="1:1" x14ac:dyDescent="0.25">
      <c r="A5611" t="str">
        <f t="shared" si="109"/>
        <v/>
      </c>
    </row>
    <row r="5612" spans="1:1" x14ac:dyDescent="0.25">
      <c r="A5612" t="str">
        <f t="shared" si="109"/>
        <v/>
      </c>
    </row>
    <row r="5613" spans="1:1" x14ac:dyDescent="0.25">
      <c r="A5613" t="str">
        <f t="shared" si="109"/>
        <v/>
      </c>
    </row>
    <row r="5614" spans="1:1" x14ac:dyDescent="0.25">
      <c r="A5614" t="str">
        <f t="shared" si="109"/>
        <v/>
      </c>
    </row>
    <row r="5615" spans="1:1" x14ac:dyDescent="0.25">
      <c r="A5615" t="str">
        <f t="shared" si="109"/>
        <v/>
      </c>
    </row>
    <row r="5616" spans="1:1" x14ac:dyDescent="0.25">
      <c r="A5616" t="str">
        <f t="shared" si="109"/>
        <v/>
      </c>
    </row>
    <row r="5617" spans="1:1" x14ac:dyDescent="0.25">
      <c r="A5617" t="str">
        <f t="shared" si="109"/>
        <v/>
      </c>
    </row>
    <row r="5618" spans="1:1" x14ac:dyDescent="0.25">
      <c r="A5618" t="str">
        <f t="shared" si="109"/>
        <v/>
      </c>
    </row>
    <row r="5619" spans="1:1" x14ac:dyDescent="0.25">
      <c r="A5619" t="str">
        <f t="shared" si="109"/>
        <v/>
      </c>
    </row>
    <row r="5620" spans="1:1" x14ac:dyDescent="0.25">
      <c r="A5620" t="str">
        <f t="shared" si="109"/>
        <v/>
      </c>
    </row>
    <row r="5621" spans="1:1" x14ac:dyDescent="0.25">
      <c r="A5621" t="str">
        <f t="shared" si="109"/>
        <v/>
      </c>
    </row>
    <row r="5622" spans="1:1" x14ac:dyDescent="0.25">
      <c r="A5622" t="str">
        <f t="shared" si="109"/>
        <v/>
      </c>
    </row>
    <row r="5623" spans="1:1" x14ac:dyDescent="0.25">
      <c r="A5623" t="str">
        <f t="shared" si="109"/>
        <v/>
      </c>
    </row>
    <row r="5624" spans="1:1" x14ac:dyDescent="0.25">
      <c r="A5624" t="str">
        <f t="shared" si="109"/>
        <v/>
      </c>
    </row>
    <row r="5625" spans="1:1" x14ac:dyDescent="0.25">
      <c r="A5625" t="str">
        <f t="shared" si="109"/>
        <v/>
      </c>
    </row>
    <row r="5626" spans="1:1" x14ac:dyDescent="0.25">
      <c r="A5626" t="str">
        <f t="shared" si="109"/>
        <v/>
      </c>
    </row>
    <row r="5627" spans="1:1" x14ac:dyDescent="0.25">
      <c r="A5627" t="str">
        <f t="shared" si="109"/>
        <v/>
      </c>
    </row>
    <row r="5628" spans="1:1" x14ac:dyDescent="0.25">
      <c r="A5628" t="str">
        <f t="shared" si="109"/>
        <v/>
      </c>
    </row>
    <row r="5629" spans="1:1" x14ac:dyDescent="0.25">
      <c r="A5629" t="str">
        <f t="shared" si="109"/>
        <v/>
      </c>
    </row>
    <row r="5630" spans="1:1" x14ac:dyDescent="0.25">
      <c r="A5630" t="str">
        <f t="shared" si="109"/>
        <v/>
      </c>
    </row>
    <row r="5631" spans="1:1" x14ac:dyDescent="0.25">
      <c r="A5631" t="str">
        <f t="shared" si="109"/>
        <v/>
      </c>
    </row>
    <row r="5632" spans="1:1" x14ac:dyDescent="0.25">
      <c r="A5632" t="str">
        <f t="shared" si="109"/>
        <v/>
      </c>
    </row>
    <row r="5633" spans="1:1" x14ac:dyDescent="0.25">
      <c r="A5633" t="str">
        <f t="shared" ref="A5633:A5696" si="110">E5633&amp;C5633&amp;D5633</f>
        <v/>
      </c>
    </row>
    <row r="5634" spans="1:1" x14ac:dyDescent="0.25">
      <c r="A5634" t="str">
        <f t="shared" si="110"/>
        <v/>
      </c>
    </row>
    <row r="5635" spans="1:1" x14ac:dyDescent="0.25">
      <c r="A5635" t="str">
        <f t="shared" si="110"/>
        <v/>
      </c>
    </row>
    <row r="5636" spans="1:1" x14ac:dyDescent="0.25">
      <c r="A5636" t="str">
        <f t="shared" si="110"/>
        <v/>
      </c>
    </row>
    <row r="5637" spans="1:1" x14ac:dyDescent="0.25">
      <c r="A5637" t="str">
        <f t="shared" si="110"/>
        <v/>
      </c>
    </row>
    <row r="5638" spans="1:1" x14ac:dyDescent="0.25">
      <c r="A5638" t="str">
        <f t="shared" si="110"/>
        <v/>
      </c>
    </row>
    <row r="5639" spans="1:1" x14ac:dyDescent="0.25">
      <c r="A5639" t="str">
        <f t="shared" si="110"/>
        <v/>
      </c>
    </row>
    <row r="5640" spans="1:1" x14ac:dyDescent="0.25">
      <c r="A5640" t="str">
        <f t="shared" si="110"/>
        <v/>
      </c>
    </row>
    <row r="5641" spans="1:1" x14ac:dyDescent="0.25">
      <c r="A5641" t="str">
        <f t="shared" si="110"/>
        <v/>
      </c>
    </row>
    <row r="5642" spans="1:1" x14ac:dyDescent="0.25">
      <c r="A5642" t="str">
        <f t="shared" si="110"/>
        <v/>
      </c>
    </row>
    <row r="5643" spans="1:1" x14ac:dyDescent="0.25">
      <c r="A5643" t="str">
        <f t="shared" si="110"/>
        <v/>
      </c>
    </row>
    <row r="5644" spans="1:1" x14ac:dyDescent="0.25">
      <c r="A5644" t="str">
        <f t="shared" si="110"/>
        <v/>
      </c>
    </row>
    <row r="5645" spans="1:1" x14ac:dyDescent="0.25">
      <c r="A5645" t="str">
        <f t="shared" si="110"/>
        <v/>
      </c>
    </row>
    <row r="5646" spans="1:1" x14ac:dyDescent="0.25">
      <c r="A5646" t="str">
        <f t="shared" si="110"/>
        <v/>
      </c>
    </row>
    <row r="5647" spans="1:1" x14ac:dyDescent="0.25">
      <c r="A5647" t="str">
        <f t="shared" si="110"/>
        <v/>
      </c>
    </row>
    <row r="5648" spans="1:1" x14ac:dyDescent="0.25">
      <c r="A5648" t="str">
        <f t="shared" si="110"/>
        <v/>
      </c>
    </row>
    <row r="5649" spans="1:1" x14ac:dyDescent="0.25">
      <c r="A5649" t="str">
        <f t="shared" si="110"/>
        <v/>
      </c>
    </row>
    <row r="5650" spans="1:1" x14ac:dyDescent="0.25">
      <c r="A5650" t="str">
        <f t="shared" si="110"/>
        <v/>
      </c>
    </row>
    <row r="5651" spans="1:1" x14ac:dyDescent="0.25">
      <c r="A5651" t="str">
        <f t="shared" si="110"/>
        <v/>
      </c>
    </row>
    <row r="5652" spans="1:1" x14ac:dyDescent="0.25">
      <c r="A5652" t="str">
        <f t="shared" si="110"/>
        <v/>
      </c>
    </row>
    <row r="5653" spans="1:1" x14ac:dyDescent="0.25">
      <c r="A5653" t="str">
        <f t="shared" si="110"/>
        <v/>
      </c>
    </row>
    <row r="5654" spans="1:1" x14ac:dyDescent="0.25">
      <c r="A5654" t="str">
        <f t="shared" si="110"/>
        <v/>
      </c>
    </row>
    <row r="5655" spans="1:1" x14ac:dyDescent="0.25">
      <c r="A5655" t="str">
        <f t="shared" si="110"/>
        <v/>
      </c>
    </row>
    <row r="5656" spans="1:1" x14ac:dyDescent="0.25">
      <c r="A5656" t="str">
        <f t="shared" si="110"/>
        <v/>
      </c>
    </row>
    <row r="5657" spans="1:1" x14ac:dyDescent="0.25">
      <c r="A5657" t="str">
        <f t="shared" si="110"/>
        <v/>
      </c>
    </row>
    <row r="5658" spans="1:1" x14ac:dyDescent="0.25">
      <c r="A5658" t="str">
        <f t="shared" si="110"/>
        <v/>
      </c>
    </row>
    <row r="5659" spans="1:1" x14ac:dyDescent="0.25">
      <c r="A5659" t="str">
        <f t="shared" si="110"/>
        <v/>
      </c>
    </row>
    <row r="5660" spans="1:1" x14ac:dyDescent="0.25">
      <c r="A5660" t="str">
        <f t="shared" si="110"/>
        <v/>
      </c>
    </row>
    <row r="5661" spans="1:1" x14ac:dyDescent="0.25">
      <c r="A5661" t="str">
        <f t="shared" si="110"/>
        <v/>
      </c>
    </row>
    <row r="5662" spans="1:1" x14ac:dyDescent="0.25">
      <c r="A5662" t="str">
        <f t="shared" si="110"/>
        <v/>
      </c>
    </row>
    <row r="5663" spans="1:1" x14ac:dyDescent="0.25">
      <c r="A5663" t="str">
        <f t="shared" si="110"/>
        <v/>
      </c>
    </row>
    <row r="5664" spans="1:1" x14ac:dyDescent="0.25">
      <c r="A5664" t="str">
        <f t="shared" si="110"/>
        <v/>
      </c>
    </row>
    <row r="5665" spans="1:1" x14ac:dyDescent="0.25">
      <c r="A5665" t="str">
        <f t="shared" si="110"/>
        <v/>
      </c>
    </row>
    <row r="5666" spans="1:1" x14ac:dyDescent="0.25">
      <c r="A5666" t="str">
        <f t="shared" si="110"/>
        <v/>
      </c>
    </row>
    <row r="5667" spans="1:1" x14ac:dyDescent="0.25">
      <c r="A5667" t="str">
        <f t="shared" si="110"/>
        <v/>
      </c>
    </row>
    <row r="5668" spans="1:1" x14ac:dyDescent="0.25">
      <c r="A5668" t="str">
        <f t="shared" si="110"/>
        <v/>
      </c>
    </row>
    <row r="5669" spans="1:1" x14ac:dyDescent="0.25">
      <c r="A5669" t="str">
        <f t="shared" si="110"/>
        <v/>
      </c>
    </row>
    <row r="5670" spans="1:1" x14ac:dyDescent="0.25">
      <c r="A5670" t="str">
        <f t="shared" si="110"/>
        <v/>
      </c>
    </row>
    <row r="5671" spans="1:1" x14ac:dyDescent="0.25">
      <c r="A5671" t="str">
        <f t="shared" si="110"/>
        <v/>
      </c>
    </row>
    <row r="5672" spans="1:1" x14ac:dyDescent="0.25">
      <c r="A5672" t="str">
        <f t="shared" si="110"/>
        <v/>
      </c>
    </row>
    <row r="5673" spans="1:1" x14ac:dyDescent="0.25">
      <c r="A5673" t="str">
        <f t="shared" si="110"/>
        <v/>
      </c>
    </row>
    <row r="5674" spans="1:1" x14ac:dyDescent="0.25">
      <c r="A5674" t="str">
        <f t="shared" si="110"/>
        <v/>
      </c>
    </row>
    <row r="5675" spans="1:1" x14ac:dyDescent="0.25">
      <c r="A5675" t="str">
        <f t="shared" si="110"/>
        <v/>
      </c>
    </row>
    <row r="5676" spans="1:1" x14ac:dyDescent="0.25">
      <c r="A5676" t="str">
        <f t="shared" si="110"/>
        <v/>
      </c>
    </row>
    <row r="5677" spans="1:1" x14ac:dyDescent="0.25">
      <c r="A5677" t="str">
        <f t="shared" si="110"/>
        <v/>
      </c>
    </row>
    <row r="5678" spans="1:1" x14ac:dyDescent="0.25">
      <c r="A5678" t="str">
        <f t="shared" si="110"/>
        <v/>
      </c>
    </row>
    <row r="5679" spans="1:1" x14ac:dyDescent="0.25">
      <c r="A5679" t="str">
        <f t="shared" si="110"/>
        <v/>
      </c>
    </row>
    <row r="5680" spans="1:1" x14ac:dyDescent="0.25">
      <c r="A5680" t="str">
        <f t="shared" si="110"/>
        <v/>
      </c>
    </row>
    <row r="5681" spans="1:1" x14ac:dyDescent="0.25">
      <c r="A5681" t="str">
        <f t="shared" si="110"/>
        <v/>
      </c>
    </row>
    <row r="5682" spans="1:1" x14ac:dyDescent="0.25">
      <c r="A5682" t="str">
        <f t="shared" si="110"/>
        <v/>
      </c>
    </row>
    <row r="5683" spans="1:1" x14ac:dyDescent="0.25">
      <c r="A5683" t="str">
        <f t="shared" si="110"/>
        <v/>
      </c>
    </row>
    <row r="5684" spans="1:1" x14ac:dyDescent="0.25">
      <c r="A5684" t="str">
        <f t="shared" si="110"/>
        <v/>
      </c>
    </row>
    <row r="5685" spans="1:1" x14ac:dyDescent="0.25">
      <c r="A5685" t="str">
        <f t="shared" si="110"/>
        <v/>
      </c>
    </row>
    <row r="5686" spans="1:1" x14ac:dyDescent="0.25">
      <c r="A5686" t="str">
        <f t="shared" si="110"/>
        <v/>
      </c>
    </row>
    <row r="5687" spans="1:1" x14ac:dyDescent="0.25">
      <c r="A5687" t="str">
        <f t="shared" si="110"/>
        <v/>
      </c>
    </row>
    <row r="5688" spans="1:1" x14ac:dyDescent="0.25">
      <c r="A5688" t="str">
        <f t="shared" si="110"/>
        <v/>
      </c>
    </row>
    <row r="5689" spans="1:1" x14ac:dyDescent="0.25">
      <c r="A5689" t="str">
        <f t="shared" si="110"/>
        <v/>
      </c>
    </row>
    <row r="5690" spans="1:1" x14ac:dyDescent="0.25">
      <c r="A5690" t="str">
        <f t="shared" si="110"/>
        <v/>
      </c>
    </row>
    <row r="5691" spans="1:1" x14ac:dyDescent="0.25">
      <c r="A5691" t="str">
        <f t="shared" si="110"/>
        <v/>
      </c>
    </row>
    <row r="5692" spans="1:1" x14ac:dyDescent="0.25">
      <c r="A5692" t="str">
        <f t="shared" si="110"/>
        <v/>
      </c>
    </row>
    <row r="5693" spans="1:1" x14ac:dyDescent="0.25">
      <c r="A5693" t="str">
        <f t="shared" si="110"/>
        <v/>
      </c>
    </row>
    <row r="5694" spans="1:1" x14ac:dyDescent="0.25">
      <c r="A5694" t="str">
        <f t="shared" si="110"/>
        <v/>
      </c>
    </row>
    <row r="5695" spans="1:1" x14ac:dyDescent="0.25">
      <c r="A5695" t="str">
        <f t="shared" si="110"/>
        <v/>
      </c>
    </row>
    <row r="5696" spans="1:1" x14ac:dyDescent="0.25">
      <c r="A5696" t="str">
        <f t="shared" si="110"/>
        <v/>
      </c>
    </row>
    <row r="5697" spans="1:1" x14ac:dyDescent="0.25">
      <c r="A5697" t="str">
        <f t="shared" ref="A5697:A5760" si="111">E5697&amp;C5697&amp;D5697</f>
        <v/>
      </c>
    </row>
    <row r="5698" spans="1:1" x14ac:dyDescent="0.25">
      <c r="A5698" t="str">
        <f t="shared" si="111"/>
        <v/>
      </c>
    </row>
    <row r="5699" spans="1:1" x14ac:dyDescent="0.25">
      <c r="A5699" t="str">
        <f t="shared" si="111"/>
        <v/>
      </c>
    </row>
    <row r="5700" spans="1:1" x14ac:dyDescent="0.25">
      <c r="A5700" t="str">
        <f t="shared" si="111"/>
        <v/>
      </c>
    </row>
    <row r="5701" spans="1:1" x14ac:dyDescent="0.25">
      <c r="A5701" t="str">
        <f t="shared" si="111"/>
        <v/>
      </c>
    </row>
    <row r="5702" spans="1:1" x14ac:dyDescent="0.25">
      <c r="A5702" t="str">
        <f t="shared" si="111"/>
        <v/>
      </c>
    </row>
    <row r="5703" spans="1:1" x14ac:dyDescent="0.25">
      <c r="A5703" t="str">
        <f t="shared" si="111"/>
        <v/>
      </c>
    </row>
    <row r="5704" spans="1:1" x14ac:dyDescent="0.25">
      <c r="A5704" t="str">
        <f t="shared" si="111"/>
        <v/>
      </c>
    </row>
    <row r="5705" spans="1:1" x14ac:dyDescent="0.25">
      <c r="A5705" t="str">
        <f t="shared" si="111"/>
        <v/>
      </c>
    </row>
    <row r="5706" spans="1:1" x14ac:dyDescent="0.25">
      <c r="A5706" t="str">
        <f t="shared" si="111"/>
        <v/>
      </c>
    </row>
    <row r="5707" spans="1:1" x14ac:dyDescent="0.25">
      <c r="A5707" t="str">
        <f t="shared" si="111"/>
        <v/>
      </c>
    </row>
    <row r="5708" spans="1:1" x14ac:dyDescent="0.25">
      <c r="A5708" t="str">
        <f t="shared" si="111"/>
        <v/>
      </c>
    </row>
    <row r="5709" spans="1:1" x14ac:dyDescent="0.25">
      <c r="A5709" t="str">
        <f t="shared" si="111"/>
        <v/>
      </c>
    </row>
    <row r="5710" spans="1:1" x14ac:dyDescent="0.25">
      <c r="A5710" t="str">
        <f t="shared" si="111"/>
        <v/>
      </c>
    </row>
    <row r="5711" spans="1:1" x14ac:dyDescent="0.25">
      <c r="A5711" t="str">
        <f t="shared" si="111"/>
        <v/>
      </c>
    </row>
    <row r="5712" spans="1:1" x14ac:dyDescent="0.25">
      <c r="A5712" t="str">
        <f t="shared" si="111"/>
        <v/>
      </c>
    </row>
    <row r="5713" spans="1:1" x14ac:dyDescent="0.25">
      <c r="A5713" t="str">
        <f t="shared" si="111"/>
        <v/>
      </c>
    </row>
    <row r="5714" spans="1:1" x14ac:dyDescent="0.25">
      <c r="A5714" t="str">
        <f t="shared" si="111"/>
        <v/>
      </c>
    </row>
    <row r="5715" spans="1:1" x14ac:dyDescent="0.25">
      <c r="A5715" t="str">
        <f t="shared" si="111"/>
        <v/>
      </c>
    </row>
    <row r="5716" spans="1:1" x14ac:dyDescent="0.25">
      <c r="A5716" t="str">
        <f t="shared" si="111"/>
        <v/>
      </c>
    </row>
    <row r="5717" spans="1:1" x14ac:dyDescent="0.25">
      <c r="A5717" t="str">
        <f t="shared" si="111"/>
        <v/>
      </c>
    </row>
    <row r="5718" spans="1:1" x14ac:dyDescent="0.25">
      <c r="A5718" t="str">
        <f t="shared" si="111"/>
        <v/>
      </c>
    </row>
    <row r="5719" spans="1:1" x14ac:dyDescent="0.25">
      <c r="A5719" t="str">
        <f t="shared" si="111"/>
        <v/>
      </c>
    </row>
    <row r="5720" spans="1:1" x14ac:dyDescent="0.25">
      <c r="A5720" t="str">
        <f t="shared" si="111"/>
        <v/>
      </c>
    </row>
    <row r="5721" spans="1:1" x14ac:dyDescent="0.25">
      <c r="A5721" t="str">
        <f t="shared" si="111"/>
        <v/>
      </c>
    </row>
    <row r="5722" spans="1:1" x14ac:dyDescent="0.25">
      <c r="A5722" t="str">
        <f t="shared" si="111"/>
        <v/>
      </c>
    </row>
    <row r="5723" spans="1:1" x14ac:dyDescent="0.25">
      <c r="A5723" t="str">
        <f t="shared" si="111"/>
        <v/>
      </c>
    </row>
    <row r="5724" spans="1:1" x14ac:dyDescent="0.25">
      <c r="A5724" t="str">
        <f t="shared" si="111"/>
        <v/>
      </c>
    </row>
    <row r="5725" spans="1:1" x14ac:dyDescent="0.25">
      <c r="A5725" t="str">
        <f t="shared" si="111"/>
        <v/>
      </c>
    </row>
    <row r="5726" spans="1:1" x14ac:dyDescent="0.25">
      <c r="A5726" t="str">
        <f t="shared" si="111"/>
        <v/>
      </c>
    </row>
    <row r="5727" spans="1:1" x14ac:dyDescent="0.25">
      <c r="A5727" t="str">
        <f t="shared" si="111"/>
        <v/>
      </c>
    </row>
    <row r="5728" spans="1:1" x14ac:dyDescent="0.25">
      <c r="A5728" t="str">
        <f t="shared" si="111"/>
        <v/>
      </c>
    </row>
    <row r="5729" spans="1:1" x14ac:dyDescent="0.25">
      <c r="A5729" t="str">
        <f t="shared" si="111"/>
        <v/>
      </c>
    </row>
    <row r="5730" spans="1:1" x14ac:dyDescent="0.25">
      <c r="A5730" t="str">
        <f t="shared" si="111"/>
        <v/>
      </c>
    </row>
    <row r="5731" spans="1:1" x14ac:dyDescent="0.25">
      <c r="A5731" t="str">
        <f t="shared" si="111"/>
        <v/>
      </c>
    </row>
    <row r="5732" spans="1:1" x14ac:dyDescent="0.25">
      <c r="A5732" t="str">
        <f t="shared" si="111"/>
        <v/>
      </c>
    </row>
    <row r="5733" spans="1:1" x14ac:dyDescent="0.25">
      <c r="A5733" t="str">
        <f t="shared" si="111"/>
        <v/>
      </c>
    </row>
    <row r="5734" spans="1:1" x14ac:dyDescent="0.25">
      <c r="A5734" t="str">
        <f t="shared" si="111"/>
        <v/>
      </c>
    </row>
    <row r="5735" spans="1:1" x14ac:dyDescent="0.25">
      <c r="A5735" t="str">
        <f t="shared" si="111"/>
        <v/>
      </c>
    </row>
    <row r="5736" spans="1:1" x14ac:dyDescent="0.25">
      <c r="A5736" t="str">
        <f t="shared" si="111"/>
        <v/>
      </c>
    </row>
    <row r="5737" spans="1:1" x14ac:dyDescent="0.25">
      <c r="A5737" t="str">
        <f t="shared" si="111"/>
        <v/>
      </c>
    </row>
    <row r="5738" spans="1:1" x14ac:dyDescent="0.25">
      <c r="A5738" t="str">
        <f t="shared" si="111"/>
        <v/>
      </c>
    </row>
    <row r="5739" spans="1:1" x14ac:dyDescent="0.25">
      <c r="A5739" t="str">
        <f t="shared" si="111"/>
        <v/>
      </c>
    </row>
    <row r="5740" spans="1:1" x14ac:dyDescent="0.25">
      <c r="A5740" t="str">
        <f t="shared" si="111"/>
        <v/>
      </c>
    </row>
    <row r="5741" spans="1:1" x14ac:dyDescent="0.25">
      <c r="A5741" t="str">
        <f t="shared" si="111"/>
        <v/>
      </c>
    </row>
    <row r="5742" spans="1:1" x14ac:dyDescent="0.25">
      <c r="A5742" t="str">
        <f t="shared" si="111"/>
        <v/>
      </c>
    </row>
    <row r="5743" spans="1:1" x14ac:dyDescent="0.25">
      <c r="A5743" t="str">
        <f t="shared" si="111"/>
        <v/>
      </c>
    </row>
    <row r="5744" spans="1:1" x14ac:dyDescent="0.25">
      <c r="A5744" t="str">
        <f t="shared" si="111"/>
        <v/>
      </c>
    </row>
    <row r="5745" spans="1:1" x14ac:dyDescent="0.25">
      <c r="A5745" t="str">
        <f t="shared" si="111"/>
        <v/>
      </c>
    </row>
    <row r="5746" spans="1:1" x14ac:dyDescent="0.25">
      <c r="A5746" t="str">
        <f t="shared" si="111"/>
        <v/>
      </c>
    </row>
    <row r="5747" spans="1:1" x14ac:dyDescent="0.25">
      <c r="A5747" t="str">
        <f t="shared" si="111"/>
        <v/>
      </c>
    </row>
    <row r="5748" spans="1:1" x14ac:dyDescent="0.25">
      <c r="A5748" t="str">
        <f t="shared" si="111"/>
        <v/>
      </c>
    </row>
    <row r="5749" spans="1:1" x14ac:dyDescent="0.25">
      <c r="A5749" t="str">
        <f t="shared" si="111"/>
        <v/>
      </c>
    </row>
    <row r="5750" spans="1:1" x14ac:dyDescent="0.25">
      <c r="A5750" t="str">
        <f t="shared" si="111"/>
        <v/>
      </c>
    </row>
    <row r="5751" spans="1:1" x14ac:dyDescent="0.25">
      <c r="A5751" t="str">
        <f t="shared" si="111"/>
        <v/>
      </c>
    </row>
    <row r="5752" spans="1:1" x14ac:dyDescent="0.25">
      <c r="A5752" t="str">
        <f t="shared" si="111"/>
        <v/>
      </c>
    </row>
    <row r="5753" spans="1:1" x14ac:dyDescent="0.25">
      <c r="A5753" t="str">
        <f t="shared" si="111"/>
        <v/>
      </c>
    </row>
    <row r="5754" spans="1:1" x14ac:dyDescent="0.25">
      <c r="A5754" t="str">
        <f t="shared" si="111"/>
        <v/>
      </c>
    </row>
    <row r="5755" spans="1:1" x14ac:dyDescent="0.25">
      <c r="A5755" t="str">
        <f t="shared" si="111"/>
        <v/>
      </c>
    </row>
    <row r="5756" spans="1:1" x14ac:dyDescent="0.25">
      <c r="A5756" t="str">
        <f t="shared" si="111"/>
        <v/>
      </c>
    </row>
    <row r="5757" spans="1:1" x14ac:dyDescent="0.25">
      <c r="A5757" t="str">
        <f t="shared" si="111"/>
        <v/>
      </c>
    </row>
    <row r="5758" spans="1:1" x14ac:dyDescent="0.25">
      <c r="A5758" t="str">
        <f t="shared" si="111"/>
        <v/>
      </c>
    </row>
    <row r="5759" spans="1:1" x14ac:dyDescent="0.25">
      <c r="A5759" t="str">
        <f t="shared" si="111"/>
        <v/>
      </c>
    </row>
    <row r="5760" spans="1:1" x14ac:dyDescent="0.25">
      <c r="A5760" t="str">
        <f t="shared" si="111"/>
        <v/>
      </c>
    </row>
    <row r="5761" spans="1:1" x14ac:dyDescent="0.25">
      <c r="A5761" t="str">
        <f t="shared" ref="A5761:A5824" si="112">E5761&amp;C5761&amp;D5761</f>
        <v/>
      </c>
    </row>
    <row r="5762" spans="1:1" x14ac:dyDescent="0.25">
      <c r="A5762" t="str">
        <f t="shared" si="112"/>
        <v/>
      </c>
    </row>
    <row r="5763" spans="1:1" x14ac:dyDescent="0.25">
      <c r="A5763" t="str">
        <f t="shared" si="112"/>
        <v/>
      </c>
    </row>
    <row r="5764" spans="1:1" x14ac:dyDescent="0.25">
      <c r="A5764" t="str">
        <f t="shared" si="112"/>
        <v/>
      </c>
    </row>
    <row r="5765" spans="1:1" x14ac:dyDescent="0.25">
      <c r="A5765" t="str">
        <f t="shared" si="112"/>
        <v/>
      </c>
    </row>
    <row r="5766" spans="1:1" x14ac:dyDescent="0.25">
      <c r="A5766" t="str">
        <f t="shared" si="112"/>
        <v/>
      </c>
    </row>
    <row r="5767" spans="1:1" x14ac:dyDescent="0.25">
      <c r="A5767" t="str">
        <f t="shared" si="112"/>
        <v/>
      </c>
    </row>
    <row r="5768" spans="1:1" x14ac:dyDescent="0.25">
      <c r="A5768" t="str">
        <f t="shared" si="112"/>
        <v/>
      </c>
    </row>
    <row r="5769" spans="1:1" x14ac:dyDescent="0.25">
      <c r="A5769" t="str">
        <f t="shared" si="112"/>
        <v/>
      </c>
    </row>
    <row r="5770" spans="1:1" x14ac:dyDescent="0.25">
      <c r="A5770" t="str">
        <f t="shared" si="112"/>
        <v/>
      </c>
    </row>
    <row r="5771" spans="1:1" x14ac:dyDescent="0.25">
      <c r="A5771" t="str">
        <f t="shared" si="112"/>
        <v/>
      </c>
    </row>
    <row r="5772" spans="1:1" x14ac:dyDescent="0.25">
      <c r="A5772" t="str">
        <f t="shared" si="112"/>
        <v/>
      </c>
    </row>
    <row r="5773" spans="1:1" x14ac:dyDescent="0.25">
      <c r="A5773" t="str">
        <f t="shared" si="112"/>
        <v/>
      </c>
    </row>
    <row r="5774" spans="1:1" x14ac:dyDescent="0.25">
      <c r="A5774" t="str">
        <f t="shared" si="112"/>
        <v/>
      </c>
    </row>
    <row r="5775" spans="1:1" x14ac:dyDescent="0.25">
      <c r="A5775" t="str">
        <f t="shared" si="112"/>
        <v/>
      </c>
    </row>
    <row r="5776" spans="1:1" x14ac:dyDescent="0.25">
      <c r="A5776" t="str">
        <f t="shared" si="112"/>
        <v/>
      </c>
    </row>
    <row r="5777" spans="1:1" x14ac:dyDescent="0.25">
      <c r="A5777" t="str">
        <f t="shared" si="112"/>
        <v/>
      </c>
    </row>
    <row r="5778" spans="1:1" x14ac:dyDescent="0.25">
      <c r="A5778" t="str">
        <f t="shared" si="112"/>
        <v/>
      </c>
    </row>
    <row r="5779" spans="1:1" x14ac:dyDescent="0.25">
      <c r="A5779" t="str">
        <f t="shared" si="112"/>
        <v/>
      </c>
    </row>
    <row r="5780" spans="1:1" x14ac:dyDescent="0.25">
      <c r="A5780" t="str">
        <f t="shared" si="112"/>
        <v/>
      </c>
    </row>
    <row r="5781" spans="1:1" x14ac:dyDescent="0.25">
      <c r="A5781" t="str">
        <f t="shared" si="112"/>
        <v/>
      </c>
    </row>
    <row r="5782" spans="1:1" x14ac:dyDescent="0.25">
      <c r="A5782" t="str">
        <f t="shared" si="112"/>
        <v/>
      </c>
    </row>
    <row r="5783" spans="1:1" x14ac:dyDescent="0.25">
      <c r="A5783" t="str">
        <f t="shared" si="112"/>
        <v/>
      </c>
    </row>
    <row r="5784" spans="1:1" x14ac:dyDescent="0.25">
      <c r="A5784" t="str">
        <f t="shared" si="112"/>
        <v/>
      </c>
    </row>
    <row r="5785" spans="1:1" x14ac:dyDescent="0.25">
      <c r="A5785" t="str">
        <f t="shared" si="112"/>
        <v/>
      </c>
    </row>
    <row r="5786" spans="1:1" x14ac:dyDescent="0.25">
      <c r="A5786" t="str">
        <f t="shared" si="112"/>
        <v/>
      </c>
    </row>
    <row r="5787" spans="1:1" x14ac:dyDescent="0.25">
      <c r="A5787" t="str">
        <f t="shared" si="112"/>
        <v/>
      </c>
    </row>
    <row r="5788" spans="1:1" x14ac:dyDescent="0.25">
      <c r="A5788" t="str">
        <f t="shared" si="112"/>
        <v/>
      </c>
    </row>
    <row r="5789" spans="1:1" x14ac:dyDescent="0.25">
      <c r="A5789" t="str">
        <f t="shared" si="112"/>
        <v/>
      </c>
    </row>
    <row r="5790" spans="1:1" x14ac:dyDescent="0.25">
      <c r="A5790" t="str">
        <f t="shared" si="112"/>
        <v/>
      </c>
    </row>
    <row r="5791" spans="1:1" x14ac:dyDescent="0.25">
      <c r="A5791" t="str">
        <f t="shared" si="112"/>
        <v/>
      </c>
    </row>
    <row r="5792" spans="1:1" x14ac:dyDescent="0.25">
      <c r="A5792" t="str">
        <f t="shared" si="112"/>
        <v/>
      </c>
    </row>
    <row r="5793" spans="1:1" x14ac:dyDescent="0.25">
      <c r="A5793" t="str">
        <f t="shared" si="112"/>
        <v/>
      </c>
    </row>
    <row r="5794" spans="1:1" x14ac:dyDescent="0.25">
      <c r="A5794" t="str">
        <f t="shared" si="112"/>
        <v/>
      </c>
    </row>
    <row r="5795" spans="1:1" x14ac:dyDescent="0.25">
      <c r="A5795" t="str">
        <f t="shared" si="112"/>
        <v/>
      </c>
    </row>
    <row r="5796" spans="1:1" x14ac:dyDescent="0.25">
      <c r="A5796" t="str">
        <f t="shared" si="112"/>
        <v/>
      </c>
    </row>
    <row r="5797" spans="1:1" x14ac:dyDescent="0.25">
      <c r="A5797" t="str">
        <f t="shared" si="112"/>
        <v/>
      </c>
    </row>
    <row r="5798" spans="1:1" x14ac:dyDescent="0.25">
      <c r="A5798" t="str">
        <f t="shared" si="112"/>
        <v/>
      </c>
    </row>
    <row r="5799" spans="1:1" x14ac:dyDescent="0.25">
      <c r="A5799" t="str">
        <f t="shared" si="112"/>
        <v/>
      </c>
    </row>
    <row r="5800" spans="1:1" x14ac:dyDescent="0.25">
      <c r="A5800" t="str">
        <f t="shared" si="112"/>
        <v/>
      </c>
    </row>
    <row r="5801" spans="1:1" x14ac:dyDescent="0.25">
      <c r="A5801" t="str">
        <f t="shared" si="112"/>
        <v/>
      </c>
    </row>
    <row r="5802" spans="1:1" x14ac:dyDescent="0.25">
      <c r="A5802" t="str">
        <f t="shared" si="112"/>
        <v/>
      </c>
    </row>
    <row r="5803" spans="1:1" x14ac:dyDescent="0.25">
      <c r="A5803" t="str">
        <f t="shared" si="112"/>
        <v/>
      </c>
    </row>
    <row r="5804" spans="1:1" x14ac:dyDescent="0.25">
      <c r="A5804" t="str">
        <f t="shared" si="112"/>
        <v/>
      </c>
    </row>
    <row r="5805" spans="1:1" x14ac:dyDescent="0.25">
      <c r="A5805" t="str">
        <f t="shared" si="112"/>
        <v/>
      </c>
    </row>
    <row r="5806" spans="1:1" x14ac:dyDescent="0.25">
      <c r="A5806" t="str">
        <f t="shared" si="112"/>
        <v/>
      </c>
    </row>
    <row r="5807" spans="1:1" x14ac:dyDescent="0.25">
      <c r="A5807" t="str">
        <f t="shared" si="112"/>
        <v/>
      </c>
    </row>
    <row r="5808" spans="1:1" x14ac:dyDescent="0.25">
      <c r="A5808" t="str">
        <f t="shared" si="112"/>
        <v/>
      </c>
    </row>
    <row r="5809" spans="1:1" x14ac:dyDescent="0.25">
      <c r="A5809" t="str">
        <f t="shared" si="112"/>
        <v/>
      </c>
    </row>
    <row r="5810" spans="1:1" x14ac:dyDescent="0.25">
      <c r="A5810" t="str">
        <f t="shared" si="112"/>
        <v/>
      </c>
    </row>
    <row r="5811" spans="1:1" x14ac:dyDescent="0.25">
      <c r="A5811" t="str">
        <f t="shared" si="112"/>
        <v/>
      </c>
    </row>
    <row r="5812" spans="1:1" x14ac:dyDescent="0.25">
      <c r="A5812" t="str">
        <f t="shared" si="112"/>
        <v/>
      </c>
    </row>
    <row r="5813" spans="1:1" x14ac:dyDescent="0.25">
      <c r="A5813" t="str">
        <f t="shared" si="112"/>
        <v/>
      </c>
    </row>
    <row r="5814" spans="1:1" x14ac:dyDescent="0.25">
      <c r="A5814" t="str">
        <f t="shared" si="112"/>
        <v/>
      </c>
    </row>
    <row r="5815" spans="1:1" x14ac:dyDescent="0.25">
      <c r="A5815" t="str">
        <f t="shared" si="112"/>
        <v/>
      </c>
    </row>
    <row r="5816" spans="1:1" x14ac:dyDescent="0.25">
      <c r="A5816" t="str">
        <f t="shared" si="112"/>
        <v/>
      </c>
    </row>
    <row r="5817" spans="1:1" x14ac:dyDescent="0.25">
      <c r="A5817" t="str">
        <f t="shared" si="112"/>
        <v/>
      </c>
    </row>
    <row r="5818" spans="1:1" x14ac:dyDescent="0.25">
      <c r="A5818" t="str">
        <f t="shared" si="112"/>
        <v/>
      </c>
    </row>
    <row r="5819" spans="1:1" x14ac:dyDescent="0.25">
      <c r="A5819" t="str">
        <f t="shared" si="112"/>
        <v/>
      </c>
    </row>
    <row r="5820" spans="1:1" x14ac:dyDescent="0.25">
      <c r="A5820" t="str">
        <f t="shared" si="112"/>
        <v/>
      </c>
    </row>
    <row r="5821" spans="1:1" x14ac:dyDescent="0.25">
      <c r="A5821" t="str">
        <f t="shared" si="112"/>
        <v/>
      </c>
    </row>
    <row r="5822" spans="1:1" x14ac:dyDescent="0.25">
      <c r="A5822" t="str">
        <f t="shared" si="112"/>
        <v/>
      </c>
    </row>
    <row r="5823" spans="1:1" x14ac:dyDescent="0.25">
      <c r="A5823" t="str">
        <f t="shared" si="112"/>
        <v/>
      </c>
    </row>
    <row r="5824" spans="1:1" x14ac:dyDescent="0.25">
      <c r="A5824" t="str">
        <f t="shared" si="112"/>
        <v/>
      </c>
    </row>
    <row r="5825" spans="1:1" x14ac:dyDescent="0.25">
      <c r="A5825" t="str">
        <f t="shared" ref="A5825:A5888" si="113">E5825&amp;C5825&amp;D5825</f>
        <v/>
      </c>
    </row>
    <row r="5826" spans="1:1" x14ac:dyDescent="0.25">
      <c r="A5826" t="str">
        <f t="shared" si="113"/>
        <v/>
      </c>
    </row>
    <row r="5827" spans="1:1" x14ac:dyDescent="0.25">
      <c r="A5827" t="str">
        <f t="shared" si="113"/>
        <v/>
      </c>
    </row>
    <row r="5828" spans="1:1" x14ac:dyDescent="0.25">
      <c r="A5828" t="str">
        <f t="shared" si="113"/>
        <v/>
      </c>
    </row>
    <row r="5829" spans="1:1" x14ac:dyDescent="0.25">
      <c r="A5829" t="str">
        <f t="shared" si="113"/>
        <v/>
      </c>
    </row>
    <row r="5830" spans="1:1" x14ac:dyDescent="0.25">
      <c r="A5830" t="str">
        <f t="shared" si="113"/>
        <v/>
      </c>
    </row>
    <row r="5831" spans="1:1" x14ac:dyDescent="0.25">
      <c r="A5831" t="str">
        <f t="shared" si="113"/>
        <v/>
      </c>
    </row>
    <row r="5832" spans="1:1" x14ac:dyDescent="0.25">
      <c r="A5832" t="str">
        <f t="shared" si="113"/>
        <v/>
      </c>
    </row>
    <row r="5833" spans="1:1" x14ac:dyDescent="0.25">
      <c r="A5833" t="str">
        <f t="shared" si="113"/>
        <v/>
      </c>
    </row>
    <row r="5834" spans="1:1" x14ac:dyDescent="0.25">
      <c r="A5834" t="str">
        <f t="shared" si="113"/>
        <v/>
      </c>
    </row>
    <row r="5835" spans="1:1" x14ac:dyDescent="0.25">
      <c r="A5835" t="str">
        <f t="shared" si="113"/>
        <v/>
      </c>
    </row>
    <row r="5836" spans="1:1" x14ac:dyDescent="0.25">
      <c r="A5836" t="str">
        <f t="shared" si="113"/>
        <v/>
      </c>
    </row>
    <row r="5837" spans="1:1" x14ac:dyDescent="0.25">
      <c r="A5837" t="str">
        <f t="shared" si="113"/>
        <v/>
      </c>
    </row>
    <row r="5838" spans="1:1" x14ac:dyDescent="0.25">
      <c r="A5838" t="str">
        <f t="shared" si="113"/>
        <v/>
      </c>
    </row>
    <row r="5839" spans="1:1" x14ac:dyDescent="0.25">
      <c r="A5839" t="str">
        <f t="shared" si="113"/>
        <v/>
      </c>
    </row>
    <row r="5840" spans="1:1" x14ac:dyDescent="0.25">
      <c r="A5840" t="str">
        <f t="shared" si="113"/>
        <v/>
      </c>
    </row>
    <row r="5841" spans="1:1" x14ac:dyDescent="0.25">
      <c r="A5841" t="str">
        <f t="shared" si="113"/>
        <v/>
      </c>
    </row>
    <row r="5842" spans="1:1" x14ac:dyDescent="0.25">
      <c r="A5842" t="str">
        <f t="shared" si="113"/>
        <v/>
      </c>
    </row>
    <row r="5843" spans="1:1" x14ac:dyDescent="0.25">
      <c r="A5843" t="str">
        <f t="shared" si="113"/>
        <v/>
      </c>
    </row>
    <row r="5844" spans="1:1" x14ac:dyDescent="0.25">
      <c r="A5844" t="str">
        <f t="shared" si="113"/>
        <v/>
      </c>
    </row>
    <row r="5845" spans="1:1" x14ac:dyDescent="0.25">
      <c r="A5845" t="str">
        <f t="shared" si="113"/>
        <v/>
      </c>
    </row>
    <row r="5846" spans="1:1" x14ac:dyDescent="0.25">
      <c r="A5846" t="str">
        <f t="shared" si="113"/>
        <v/>
      </c>
    </row>
    <row r="5847" spans="1:1" x14ac:dyDescent="0.25">
      <c r="A5847" t="str">
        <f t="shared" si="113"/>
        <v/>
      </c>
    </row>
    <row r="5848" spans="1:1" x14ac:dyDescent="0.25">
      <c r="A5848" t="str">
        <f t="shared" si="113"/>
        <v/>
      </c>
    </row>
    <row r="5849" spans="1:1" x14ac:dyDescent="0.25">
      <c r="A5849" t="str">
        <f t="shared" si="113"/>
        <v/>
      </c>
    </row>
    <row r="5850" spans="1:1" x14ac:dyDescent="0.25">
      <c r="A5850" t="str">
        <f t="shared" si="113"/>
        <v/>
      </c>
    </row>
    <row r="5851" spans="1:1" x14ac:dyDescent="0.25">
      <c r="A5851" t="str">
        <f t="shared" si="113"/>
        <v/>
      </c>
    </row>
    <row r="5852" spans="1:1" x14ac:dyDescent="0.25">
      <c r="A5852" t="str">
        <f t="shared" si="113"/>
        <v/>
      </c>
    </row>
    <row r="5853" spans="1:1" x14ac:dyDescent="0.25">
      <c r="A5853" t="str">
        <f t="shared" si="113"/>
        <v/>
      </c>
    </row>
    <row r="5854" spans="1:1" x14ac:dyDescent="0.25">
      <c r="A5854" t="str">
        <f t="shared" si="113"/>
        <v/>
      </c>
    </row>
    <row r="5855" spans="1:1" x14ac:dyDescent="0.25">
      <c r="A5855" t="str">
        <f t="shared" si="113"/>
        <v/>
      </c>
    </row>
    <row r="5856" spans="1:1" x14ac:dyDescent="0.25">
      <c r="A5856" t="str">
        <f t="shared" si="113"/>
        <v/>
      </c>
    </row>
    <row r="5857" spans="1:1" x14ac:dyDescent="0.25">
      <c r="A5857" t="str">
        <f t="shared" si="113"/>
        <v/>
      </c>
    </row>
    <row r="5858" spans="1:1" x14ac:dyDescent="0.25">
      <c r="A5858" t="str">
        <f t="shared" si="113"/>
        <v/>
      </c>
    </row>
    <row r="5859" spans="1:1" x14ac:dyDescent="0.25">
      <c r="A5859" t="str">
        <f t="shared" si="113"/>
        <v/>
      </c>
    </row>
    <row r="5860" spans="1:1" x14ac:dyDescent="0.25">
      <c r="A5860" t="str">
        <f t="shared" si="113"/>
        <v/>
      </c>
    </row>
    <row r="5861" spans="1:1" x14ac:dyDescent="0.25">
      <c r="A5861" t="str">
        <f t="shared" si="113"/>
        <v/>
      </c>
    </row>
    <row r="5862" spans="1:1" x14ac:dyDescent="0.25">
      <c r="A5862" t="str">
        <f t="shared" si="113"/>
        <v/>
      </c>
    </row>
    <row r="5863" spans="1:1" x14ac:dyDescent="0.25">
      <c r="A5863" t="str">
        <f t="shared" si="113"/>
        <v/>
      </c>
    </row>
    <row r="5864" spans="1:1" x14ac:dyDescent="0.25">
      <c r="A5864" t="str">
        <f t="shared" si="113"/>
        <v/>
      </c>
    </row>
    <row r="5865" spans="1:1" x14ac:dyDescent="0.25">
      <c r="A5865" t="str">
        <f t="shared" si="113"/>
        <v/>
      </c>
    </row>
    <row r="5866" spans="1:1" x14ac:dyDescent="0.25">
      <c r="A5866" t="str">
        <f t="shared" si="113"/>
        <v/>
      </c>
    </row>
    <row r="5867" spans="1:1" x14ac:dyDescent="0.25">
      <c r="A5867" t="str">
        <f t="shared" si="113"/>
        <v/>
      </c>
    </row>
    <row r="5868" spans="1:1" x14ac:dyDescent="0.25">
      <c r="A5868" t="str">
        <f t="shared" si="113"/>
        <v/>
      </c>
    </row>
    <row r="5869" spans="1:1" x14ac:dyDescent="0.25">
      <c r="A5869" t="str">
        <f t="shared" si="113"/>
        <v/>
      </c>
    </row>
    <row r="5870" spans="1:1" x14ac:dyDescent="0.25">
      <c r="A5870" t="str">
        <f t="shared" si="113"/>
        <v/>
      </c>
    </row>
    <row r="5871" spans="1:1" x14ac:dyDescent="0.25">
      <c r="A5871" t="str">
        <f t="shared" si="113"/>
        <v/>
      </c>
    </row>
    <row r="5872" spans="1:1" x14ac:dyDescent="0.25">
      <c r="A5872" t="str">
        <f t="shared" si="113"/>
        <v/>
      </c>
    </row>
    <row r="5873" spans="1:1" x14ac:dyDescent="0.25">
      <c r="A5873" t="str">
        <f t="shared" si="113"/>
        <v/>
      </c>
    </row>
    <row r="5874" spans="1:1" x14ac:dyDescent="0.25">
      <c r="A5874" t="str">
        <f t="shared" si="113"/>
        <v/>
      </c>
    </row>
    <row r="5875" spans="1:1" x14ac:dyDescent="0.25">
      <c r="A5875" t="str">
        <f t="shared" si="113"/>
        <v/>
      </c>
    </row>
    <row r="5876" spans="1:1" x14ac:dyDescent="0.25">
      <c r="A5876" t="str">
        <f t="shared" si="113"/>
        <v/>
      </c>
    </row>
    <row r="5877" spans="1:1" x14ac:dyDescent="0.25">
      <c r="A5877" t="str">
        <f t="shared" si="113"/>
        <v/>
      </c>
    </row>
    <row r="5878" spans="1:1" x14ac:dyDescent="0.25">
      <c r="A5878" t="str">
        <f t="shared" si="113"/>
        <v/>
      </c>
    </row>
    <row r="5879" spans="1:1" x14ac:dyDescent="0.25">
      <c r="A5879" t="str">
        <f t="shared" si="113"/>
        <v/>
      </c>
    </row>
    <row r="5880" spans="1:1" x14ac:dyDescent="0.25">
      <c r="A5880" t="str">
        <f t="shared" si="113"/>
        <v/>
      </c>
    </row>
    <row r="5881" spans="1:1" x14ac:dyDescent="0.25">
      <c r="A5881" t="str">
        <f t="shared" si="113"/>
        <v/>
      </c>
    </row>
    <row r="5882" spans="1:1" x14ac:dyDescent="0.25">
      <c r="A5882" t="str">
        <f t="shared" si="113"/>
        <v/>
      </c>
    </row>
    <row r="5883" spans="1:1" x14ac:dyDescent="0.25">
      <c r="A5883" t="str">
        <f t="shared" si="113"/>
        <v/>
      </c>
    </row>
    <row r="5884" spans="1:1" x14ac:dyDescent="0.25">
      <c r="A5884" t="str">
        <f t="shared" si="113"/>
        <v/>
      </c>
    </row>
    <row r="5885" spans="1:1" x14ac:dyDescent="0.25">
      <c r="A5885" t="str">
        <f t="shared" si="113"/>
        <v/>
      </c>
    </row>
    <row r="5886" spans="1:1" x14ac:dyDescent="0.25">
      <c r="A5886" t="str">
        <f t="shared" si="113"/>
        <v/>
      </c>
    </row>
    <row r="5887" spans="1:1" x14ac:dyDescent="0.25">
      <c r="A5887" t="str">
        <f t="shared" si="113"/>
        <v/>
      </c>
    </row>
    <row r="5888" spans="1:1" x14ac:dyDescent="0.25">
      <c r="A5888" t="str">
        <f t="shared" si="113"/>
        <v/>
      </c>
    </row>
    <row r="5889" spans="1:1" x14ac:dyDescent="0.25">
      <c r="A5889" t="str">
        <f t="shared" ref="A5889:A5952" si="114">E5889&amp;C5889&amp;D5889</f>
        <v/>
      </c>
    </row>
    <row r="5890" spans="1:1" x14ac:dyDescent="0.25">
      <c r="A5890" t="str">
        <f t="shared" si="114"/>
        <v/>
      </c>
    </row>
    <row r="5891" spans="1:1" x14ac:dyDescent="0.25">
      <c r="A5891" t="str">
        <f t="shared" si="114"/>
        <v/>
      </c>
    </row>
    <row r="5892" spans="1:1" x14ac:dyDescent="0.25">
      <c r="A5892" t="str">
        <f t="shared" si="114"/>
        <v/>
      </c>
    </row>
    <row r="5893" spans="1:1" x14ac:dyDescent="0.25">
      <c r="A5893" t="str">
        <f t="shared" si="114"/>
        <v/>
      </c>
    </row>
    <row r="5894" spans="1:1" x14ac:dyDescent="0.25">
      <c r="A5894" t="str">
        <f t="shared" si="114"/>
        <v/>
      </c>
    </row>
    <row r="5895" spans="1:1" x14ac:dyDescent="0.25">
      <c r="A5895" t="str">
        <f t="shared" si="114"/>
        <v/>
      </c>
    </row>
    <row r="5896" spans="1:1" x14ac:dyDescent="0.25">
      <c r="A5896" t="str">
        <f t="shared" si="114"/>
        <v/>
      </c>
    </row>
    <row r="5897" spans="1:1" x14ac:dyDescent="0.25">
      <c r="A5897" t="str">
        <f t="shared" si="114"/>
        <v/>
      </c>
    </row>
    <row r="5898" spans="1:1" x14ac:dyDescent="0.25">
      <c r="A5898" t="str">
        <f t="shared" si="114"/>
        <v/>
      </c>
    </row>
    <row r="5899" spans="1:1" x14ac:dyDescent="0.25">
      <c r="A5899" t="str">
        <f t="shared" si="114"/>
        <v/>
      </c>
    </row>
    <row r="5900" spans="1:1" x14ac:dyDescent="0.25">
      <c r="A5900" t="str">
        <f t="shared" si="114"/>
        <v/>
      </c>
    </row>
    <row r="5901" spans="1:1" x14ac:dyDescent="0.25">
      <c r="A5901" t="str">
        <f t="shared" si="114"/>
        <v/>
      </c>
    </row>
    <row r="5902" spans="1:1" x14ac:dyDescent="0.25">
      <c r="A5902" t="str">
        <f t="shared" si="114"/>
        <v/>
      </c>
    </row>
    <row r="5903" spans="1:1" x14ac:dyDescent="0.25">
      <c r="A5903" t="str">
        <f t="shared" si="114"/>
        <v/>
      </c>
    </row>
    <row r="5904" spans="1:1" x14ac:dyDescent="0.25">
      <c r="A5904" t="str">
        <f t="shared" si="114"/>
        <v/>
      </c>
    </row>
    <row r="5905" spans="1:1" x14ac:dyDescent="0.25">
      <c r="A5905" t="str">
        <f t="shared" si="114"/>
        <v/>
      </c>
    </row>
    <row r="5906" spans="1:1" x14ac:dyDescent="0.25">
      <c r="A5906" t="str">
        <f t="shared" si="114"/>
        <v/>
      </c>
    </row>
    <row r="5907" spans="1:1" x14ac:dyDescent="0.25">
      <c r="A5907" t="str">
        <f t="shared" si="114"/>
        <v/>
      </c>
    </row>
    <row r="5908" spans="1:1" x14ac:dyDescent="0.25">
      <c r="A5908" t="str">
        <f t="shared" si="114"/>
        <v/>
      </c>
    </row>
    <row r="5909" spans="1:1" x14ac:dyDescent="0.25">
      <c r="A5909" t="str">
        <f t="shared" si="114"/>
        <v/>
      </c>
    </row>
    <row r="5910" spans="1:1" x14ac:dyDescent="0.25">
      <c r="A5910" t="str">
        <f t="shared" si="114"/>
        <v/>
      </c>
    </row>
    <row r="5911" spans="1:1" x14ac:dyDescent="0.25">
      <c r="A5911" t="str">
        <f t="shared" si="114"/>
        <v/>
      </c>
    </row>
    <row r="5912" spans="1:1" x14ac:dyDescent="0.25">
      <c r="A5912" t="str">
        <f t="shared" si="114"/>
        <v/>
      </c>
    </row>
    <row r="5913" spans="1:1" x14ac:dyDescent="0.25">
      <c r="A5913" t="str">
        <f t="shared" si="114"/>
        <v/>
      </c>
    </row>
    <row r="5914" spans="1:1" x14ac:dyDescent="0.25">
      <c r="A5914" t="str">
        <f t="shared" si="114"/>
        <v/>
      </c>
    </row>
    <row r="5915" spans="1:1" x14ac:dyDescent="0.25">
      <c r="A5915" t="str">
        <f t="shared" si="114"/>
        <v/>
      </c>
    </row>
    <row r="5916" spans="1:1" x14ac:dyDescent="0.25">
      <c r="A5916" t="str">
        <f t="shared" si="114"/>
        <v/>
      </c>
    </row>
    <row r="5917" spans="1:1" x14ac:dyDescent="0.25">
      <c r="A5917" t="str">
        <f t="shared" si="114"/>
        <v/>
      </c>
    </row>
    <row r="5918" spans="1:1" x14ac:dyDescent="0.25">
      <c r="A5918" t="str">
        <f t="shared" si="114"/>
        <v/>
      </c>
    </row>
    <row r="5919" spans="1:1" x14ac:dyDescent="0.25">
      <c r="A5919" t="str">
        <f t="shared" si="114"/>
        <v/>
      </c>
    </row>
    <row r="5920" spans="1:1" x14ac:dyDescent="0.25">
      <c r="A5920" t="str">
        <f t="shared" si="114"/>
        <v/>
      </c>
    </row>
    <row r="5921" spans="1:1" x14ac:dyDescent="0.25">
      <c r="A5921" t="str">
        <f t="shared" si="114"/>
        <v/>
      </c>
    </row>
    <row r="5922" spans="1:1" x14ac:dyDescent="0.25">
      <c r="A5922" t="str">
        <f t="shared" si="114"/>
        <v/>
      </c>
    </row>
    <row r="5923" spans="1:1" x14ac:dyDescent="0.25">
      <c r="A5923" t="str">
        <f t="shared" si="114"/>
        <v/>
      </c>
    </row>
    <row r="5924" spans="1:1" x14ac:dyDescent="0.25">
      <c r="A5924" t="str">
        <f t="shared" si="114"/>
        <v/>
      </c>
    </row>
    <row r="5925" spans="1:1" x14ac:dyDescent="0.25">
      <c r="A5925" t="str">
        <f t="shared" si="114"/>
        <v/>
      </c>
    </row>
    <row r="5926" spans="1:1" x14ac:dyDescent="0.25">
      <c r="A5926" t="str">
        <f t="shared" si="114"/>
        <v/>
      </c>
    </row>
    <row r="5927" spans="1:1" x14ac:dyDescent="0.25">
      <c r="A5927" t="str">
        <f t="shared" si="114"/>
        <v/>
      </c>
    </row>
    <row r="5928" spans="1:1" x14ac:dyDescent="0.25">
      <c r="A5928" t="str">
        <f t="shared" si="114"/>
        <v/>
      </c>
    </row>
    <row r="5929" spans="1:1" x14ac:dyDescent="0.25">
      <c r="A5929" t="str">
        <f t="shared" si="114"/>
        <v/>
      </c>
    </row>
    <row r="5930" spans="1:1" x14ac:dyDescent="0.25">
      <c r="A5930" t="str">
        <f t="shared" si="114"/>
        <v/>
      </c>
    </row>
    <row r="5931" spans="1:1" x14ac:dyDescent="0.25">
      <c r="A5931" t="str">
        <f t="shared" si="114"/>
        <v/>
      </c>
    </row>
    <row r="5932" spans="1:1" x14ac:dyDescent="0.25">
      <c r="A5932" t="str">
        <f t="shared" si="114"/>
        <v/>
      </c>
    </row>
    <row r="5933" spans="1:1" x14ac:dyDescent="0.25">
      <c r="A5933" t="str">
        <f t="shared" si="114"/>
        <v/>
      </c>
    </row>
    <row r="5934" spans="1:1" x14ac:dyDescent="0.25">
      <c r="A5934" t="str">
        <f t="shared" si="114"/>
        <v/>
      </c>
    </row>
    <row r="5935" spans="1:1" x14ac:dyDescent="0.25">
      <c r="A5935" t="str">
        <f t="shared" si="114"/>
        <v/>
      </c>
    </row>
    <row r="5936" spans="1:1" x14ac:dyDescent="0.25">
      <c r="A5936" t="str">
        <f t="shared" si="114"/>
        <v/>
      </c>
    </row>
    <row r="5937" spans="1:1" x14ac:dyDescent="0.25">
      <c r="A5937" t="str">
        <f t="shared" si="114"/>
        <v/>
      </c>
    </row>
    <row r="5938" spans="1:1" x14ac:dyDescent="0.25">
      <c r="A5938" t="str">
        <f t="shared" si="114"/>
        <v/>
      </c>
    </row>
    <row r="5939" spans="1:1" x14ac:dyDescent="0.25">
      <c r="A5939" t="str">
        <f t="shared" si="114"/>
        <v/>
      </c>
    </row>
    <row r="5940" spans="1:1" x14ac:dyDescent="0.25">
      <c r="A5940" t="str">
        <f t="shared" si="114"/>
        <v/>
      </c>
    </row>
    <row r="5941" spans="1:1" x14ac:dyDescent="0.25">
      <c r="A5941" t="str">
        <f t="shared" si="114"/>
        <v/>
      </c>
    </row>
    <row r="5942" spans="1:1" x14ac:dyDescent="0.25">
      <c r="A5942" t="str">
        <f t="shared" si="114"/>
        <v/>
      </c>
    </row>
    <row r="5943" spans="1:1" x14ac:dyDescent="0.25">
      <c r="A5943" t="str">
        <f t="shared" si="114"/>
        <v/>
      </c>
    </row>
    <row r="5944" spans="1:1" x14ac:dyDescent="0.25">
      <c r="A5944" t="str">
        <f t="shared" si="114"/>
        <v/>
      </c>
    </row>
    <row r="5945" spans="1:1" x14ac:dyDescent="0.25">
      <c r="A5945" t="str">
        <f t="shared" si="114"/>
        <v/>
      </c>
    </row>
    <row r="5946" spans="1:1" x14ac:dyDescent="0.25">
      <c r="A5946" t="str">
        <f t="shared" si="114"/>
        <v/>
      </c>
    </row>
    <row r="5947" spans="1:1" x14ac:dyDescent="0.25">
      <c r="A5947" t="str">
        <f t="shared" si="114"/>
        <v/>
      </c>
    </row>
    <row r="5948" spans="1:1" x14ac:dyDescent="0.25">
      <c r="A5948" t="str">
        <f t="shared" si="114"/>
        <v/>
      </c>
    </row>
    <row r="5949" spans="1:1" x14ac:dyDescent="0.25">
      <c r="A5949" t="str">
        <f t="shared" si="114"/>
        <v/>
      </c>
    </row>
    <row r="5950" spans="1:1" x14ac:dyDescent="0.25">
      <c r="A5950" t="str">
        <f t="shared" si="114"/>
        <v/>
      </c>
    </row>
    <row r="5951" spans="1:1" x14ac:dyDescent="0.25">
      <c r="A5951" t="str">
        <f t="shared" si="114"/>
        <v/>
      </c>
    </row>
    <row r="5952" spans="1:1" x14ac:dyDescent="0.25">
      <c r="A5952" t="str">
        <f t="shared" si="114"/>
        <v/>
      </c>
    </row>
    <row r="5953" spans="1:1" x14ac:dyDescent="0.25">
      <c r="A5953" t="str">
        <f t="shared" ref="A5953:A6016" si="115">E5953&amp;C5953&amp;D5953</f>
        <v/>
      </c>
    </row>
    <row r="5954" spans="1:1" x14ac:dyDescent="0.25">
      <c r="A5954" t="str">
        <f t="shared" si="115"/>
        <v/>
      </c>
    </row>
    <row r="5955" spans="1:1" x14ac:dyDescent="0.25">
      <c r="A5955" t="str">
        <f t="shared" si="115"/>
        <v/>
      </c>
    </row>
    <row r="5956" spans="1:1" x14ac:dyDescent="0.25">
      <c r="A5956" t="str">
        <f t="shared" si="115"/>
        <v/>
      </c>
    </row>
    <row r="5957" spans="1:1" x14ac:dyDescent="0.25">
      <c r="A5957" t="str">
        <f t="shared" si="115"/>
        <v/>
      </c>
    </row>
    <row r="5958" spans="1:1" x14ac:dyDescent="0.25">
      <c r="A5958" t="str">
        <f t="shared" si="115"/>
        <v/>
      </c>
    </row>
    <row r="5959" spans="1:1" x14ac:dyDescent="0.25">
      <c r="A5959" t="str">
        <f t="shared" si="115"/>
        <v/>
      </c>
    </row>
    <row r="5960" spans="1:1" x14ac:dyDescent="0.25">
      <c r="A5960" t="str">
        <f t="shared" si="115"/>
        <v/>
      </c>
    </row>
    <row r="5961" spans="1:1" x14ac:dyDescent="0.25">
      <c r="A5961" t="str">
        <f t="shared" si="115"/>
        <v/>
      </c>
    </row>
    <row r="5962" spans="1:1" x14ac:dyDescent="0.25">
      <c r="A5962" t="str">
        <f t="shared" si="115"/>
        <v/>
      </c>
    </row>
    <row r="5963" spans="1:1" x14ac:dyDescent="0.25">
      <c r="A5963" t="str">
        <f t="shared" si="115"/>
        <v/>
      </c>
    </row>
    <row r="5964" spans="1:1" x14ac:dyDescent="0.25">
      <c r="A5964" t="str">
        <f t="shared" si="115"/>
        <v/>
      </c>
    </row>
    <row r="5965" spans="1:1" x14ac:dyDescent="0.25">
      <c r="A5965" t="str">
        <f t="shared" si="115"/>
        <v/>
      </c>
    </row>
    <row r="5966" spans="1:1" x14ac:dyDescent="0.25">
      <c r="A5966" t="str">
        <f t="shared" si="115"/>
        <v/>
      </c>
    </row>
    <row r="5967" spans="1:1" x14ac:dyDescent="0.25">
      <c r="A5967" t="str">
        <f t="shared" si="115"/>
        <v/>
      </c>
    </row>
    <row r="5968" spans="1:1" x14ac:dyDescent="0.25">
      <c r="A5968" t="str">
        <f t="shared" si="115"/>
        <v/>
      </c>
    </row>
    <row r="5969" spans="1:1" x14ac:dyDescent="0.25">
      <c r="A5969" t="str">
        <f t="shared" si="115"/>
        <v/>
      </c>
    </row>
    <row r="5970" spans="1:1" x14ac:dyDescent="0.25">
      <c r="A5970" t="str">
        <f t="shared" si="115"/>
        <v/>
      </c>
    </row>
    <row r="5971" spans="1:1" x14ac:dyDescent="0.25">
      <c r="A5971" t="str">
        <f t="shared" si="115"/>
        <v/>
      </c>
    </row>
    <row r="5972" spans="1:1" x14ac:dyDescent="0.25">
      <c r="A5972" t="str">
        <f t="shared" si="115"/>
        <v/>
      </c>
    </row>
    <row r="5973" spans="1:1" x14ac:dyDescent="0.25">
      <c r="A5973" t="str">
        <f t="shared" si="115"/>
        <v/>
      </c>
    </row>
    <row r="5974" spans="1:1" x14ac:dyDescent="0.25">
      <c r="A5974" t="str">
        <f t="shared" si="115"/>
        <v/>
      </c>
    </row>
    <row r="5975" spans="1:1" x14ac:dyDescent="0.25">
      <c r="A5975" t="str">
        <f t="shared" si="115"/>
        <v/>
      </c>
    </row>
    <row r="5976" spans="1:1" x14ac:dyDescent="0.25">
      <c r="A5976" t="str">
        <f t="shared" si="115"/>
        <v/>
      </c>
    </row>
    <row r="5977" spans="1:1" x14ac:dyDescent="0.25">
      <c r="A5977" t="str">
        <f t="shared" si="115"/>
        <v/>
      </c>
    </row>
    <row r="5978" spans="1:1" x14ac:dyDescent="0.25">
      <c r="A5978" t="str">
        <f t="shared" si="115"/>
        <v/>
      </c>
    </row>
    <row r="5979" spans="1:1" x14ac:dyDescent="0.25">
      <c r="A5979" t="str">
        <f t="shared" si="115"/>
        <v/>
      </c>
    </row>
    <row r="5980" spans="1:1" x14ac:dyDescent="0.25">
      <c r="A5980" t="str">
        <f t="shared" si="115"/>
        <v/>
      </c>
    </row>
    <row r="5981" spans="1:1" x14ac:dyDescent="0.25">
      <c r="A5981" t="str">
        <f t="shared" si="115"/>
        <v/>
      </c>
    </row>
    <row r="5982" spans="1:1" x14ac:dyDescent="0.25">
      <c r="A5982" t="str">
        <f t="shared" si="115"/>
        <v/>
      </c>
    </row>
    <row r="5983" spans="1:1" x14ac:dyDescent="0.25">
      <c r="A5983" t="str">
        <f t="shared" si="115"/>
        <v/>
      </c>
    </row>
    <row r="5984" spans="1:1" x14ac:dyDescent="0.25">
      <c r="A5984" t="str">
        <f t="shared" si="115"/>
        <v/>
      </c>
    </row>
    <row r="5985" spans="1:1" x14ac:dyDescent="0.25">
      <c r="A5985" t="str">
        <f t="shared" si="115"/>
        <v/>
      </c>
    </row>
    <row r="5986" spans="1:1" x14ac:dyDescent="0.25">
      <c r="A5986" t="str">
        <f t="shared" si="115"/>
        <v/>
      </c>
    </row>
    <row r="5987" spans="1:1" x14ac:dyDescent="0.25">
      <c r="A5987" t="str">
        <f t="shared" si="115"/>
        <v/>
      </c>
    </row>
    <row r="5988" spans="1:1" x14ac:dyDescent="0.25">
      <c r="A5988" t="str">
        <f t="shared" si="115"/>
        <v/>
      </c>
    </row>
    <row r="5989" spans="1:1" x14ac:dyDescent="0.25">
      <c r="A5989" t="str">
        <f t="shared" si="115"/>
        <v/>
      </c>
    </row>
    <row r="5990" spans="1:1" x14ac:dyDescent="0.25">
      <c r="A5990" t="str">
        <f t="shared" si="115"/>
        <v/>
      </c>
    </row>
    <row r="5991" spans="1:1" x14ac:dyDescent="0.25">
      <c r="A5991" t="str">
        <f t="shared" si="115"/>
        <v/>
      </c>
    </row>
    <row r="5992" spans="1:1" x14ac:dyDescent="0.25">
      <c r="A5992" t="str">
        <f t="shared" si="115"/>
        <v/>
      </c>
    </row>
    <row r="5993" spans="1:1" x14ac:dyDescent="0.25">
      <c r="A5993" t="str">
        <f t="shared" si="115"/>
        <v/>
      </c>
    </row>
    <row r="5994" spans="1:1" x14ac:dyDescent="0.25">
      <c r="A5994" t="str">
        <f t="shared" si="115"/>
        <v/>
      </c>
    </row>
    <row r="5995" spans="1:1" x14ac:dyDescent="0.25">
      <c r="A5995" t="str">
        <f t="shared" si="115"/>
        <v/>
      </c>
    </row>
    <row r="5996" spans="1:1" x14ac:dyDescent="0.25">
      <c r="A5996" t="str">
        <f t="shared" si="115"/>
        <v/>
      </c>
    </row>
    <row r="5997" spans="1:1" x14ac:dyDescent="0.25">
      <c r="A5997" t="str">
        <f t="shared" si="115"/>
        <v/>
      </c>
    </row>
    <row r="5998" spans="1:1" x14ac:dyDescent="0.25">
      <c r="A5998" t="str">
        <f t="shared" si="115"/>
        <v/>
      </c>
    </row>
    <row r="5999" spans="1:1" x14ac:dyDescent="0.25">
      <c r="A5999" t="str">
        <f t="shared" si="115"/>
        <v/>
      </c>
    </row>
    <row r="6000" spans="1:1" x14ac:dyDescent="0.25">
      <c r="A6000" t="str">
        <f t="shared" si="115"/>
        <v/>
      </c>
    </row>
    <row r="6001" spans="1:1" x14ac:dyDescent="0.25">
      <c r="A6001" t="str">
        <f t="shared" si="115"/>
        <v/>
      </c>
    </row>
    <row r="6002" spans="1:1" x14ac:dyDescent="0.25">
      <c r="A6002" t="str">
        <f t="shared" si="115"/>
        <v/>
      </c>
    </row>
    <row r="6003" spans="1:1" x14ac:dyDescent="0.25">
      <c r="A6003" t="str">
        <f t="shared" si="115"/>
        <v/>
      </c>
    </row>
    <row r="6004" spans="1:1" x14ac:dyDescent="0.25">
      <c r="A6004" t="str">
        <f t="shared" si="115"/>
        <v/>
      </c>
    </row>
    <row r="6005" spans="1:1" x14ac:dyDescent="0.25">
      <c r="A6005" t="str">
        <f t="shared" si="115"/>
        <v/>
      </c>
    </row>
    <row r="6006" spans="1:1" x14ac:dyDescent="0.25">
      <c r="A6006" t="str">
        <f t="shared" si="115"/>
        <v/>
      </c>
    </row>
    <row r="6007" spans="1:1" x14ac:dyDescent="0.25">
      <c r="A6007" t="str">
        <f t="shared" si="115"/>
        <v/>
      </c>
    </row>
    <row r="6008" spans="1:1" x14ac:dyDescent="0.25">
      <c r="A6008" t="str">
        <f t="shared" si="115"/>
        <v/>
      </c>
    </row>
    <row r="6009" spans="1:1" x14ac:dyDescent="0.25">
      <c r="A6009" t="str">
        <f t="shared" si="115"/>
        <v/>
      </c>
    </row>
    <row r="6010" spans="1:1" x14ac:dyDescent="0.25">
      <c r="A6010" t="str">
        <f t="shared" si="115"/>
        <v/>
      </c>
    </row>
    <row r="6011" spans="1:1" x14ac:dyDescent="0.25">
      <c r="A6011" t="str">
        <f t="shared" si="115"/>
        <v/>
      </c>
    </row>
    <row r="6012" spans="1:1" x14ac:dyDescent="0.25">
      <c r="A6012" t="str">
        <f t="shared" si="115"/>
        <v/>
      </c>
    </row>
    <row r="6013" spans="1:1" x14ac:dyDescent="0.25">
      <c r="A6013" t="str">
        <f t="shared" si="115"/>
        <v/>
      </c>
    </row>
    <row r="6014" spans="1:1" x14ac:dyDescent="0.25">
      <c r="A6014" t="str">
        <f t="shared" si="115"/>
        <v/>
      </c>
    </row>
    <row r="6015" spans="1:1" x14ac:dyDescent="0.25">
      <c r="A6015" t="str">
        <f t="shared" si="115"/>
        <v/>
      </c>
    </row>
    <row r="6016" spans="1:1" x14ac:dyDescent="0.25">
      <c r="A6016" t="str">
        <f t="shared" si="115"/>
        <v/>
      </c>
    </row>
    <row r="6017" spans="1:1" x14ac:dyDescent="0.25">
      <c r="A6017" t="str">
        <f t="shared" ref="A6017:A6080" si="116">E6017&amp;C6017&amp;D6017</f>
        <v/>
      </c>
    </row>
    <row r="6018" spans="1:1" x14ac:dyDescent="0.25">
      <c r="A6018" t="str">
        <f t="shared" si="116"/>
        <v/>
      </c>
    </row>
    <row r="6019" spans="1:1" x14ac:dyDescent="0.25">
      <c r="A6019" t="str">
        <f t="shared" si="116"/>
        <v/>
      </c>
    </row>
    <row r="6020" spans="1:1" x14ac:dyDescent="0.25">
      <c r="A6020" t="str">
        <f t="shared" si="116"/>
        <v/>
      </c>
    </row>
    <row r="6021" spans="1:1" x14ac:dyDescent="0.25">
      <c r="A6021" t="str">
        <f t="shared" si="116"/>
        <v/>
      </c>
    </row>
    <row r="6022" spans="1:1" x14ac:dyDescent="0.25">
      <c r="A6022" t="str">
        <f t="shared" si="116"/>
        <v/>
      </c>
    </row>
    <row r="6023" spans="1:1" x14ac:dyDescent="0.25">
      <c r="A6023" t="str">
        <f t="shared" si="116"/>
        <v/>
      </c>
    </row>
    <row r="6024" spans="1:1" x14ac:dyDescent="0.25">
      <c r="A6024" t="str">
        <f t="shared" si="116"/>
        <v/>
      </c>
    </row>
    <row r="6025" spans="1:1" x14ac:dyDescent="0.25">
      <c r="A6025" t="str">
        <f t="shared" si="116"/>
        <v/>
      </c>
    </row>
    <row r="6026" spans="1:1" x14ac:dyDescent="0.25">
      <c r="A6026" t="str">
        <f t="shared" si="116"/>
        <v/>
      </c>
    </row>
    <row r="6027" spans="1:1" x14ac:dyDescent="0.25">
      <c r="A6027" t="str">
        <f t="shared" si="116"/>
        <v/>
      </c>
    </row>
    <row r="6028" spans="1:1" x14ac:dyDescent="0.25">
      <c r="A6028" t="str">
        <f t="shared" si="116"/>
        <v/>
      </c>
    </row>
    <row r="6029" spans="1:1" x14ac:dyDescent="0.25">
      <c r="A6029" t="str">
        <f t="shared" si="116"/>
        <v/>
      </c>
    </row>
    <row r="6030" spans="1:1" x14ac:dyDescent="0.25">
      <c r="A6030" t="str">
        <f t="shared" si="116"/>
        <v/>
      </c>
    </row>
    <row r="6031" spans="1:1" x14ac:dyDescent="0.25">
      <c r="A6031" t="str">
        <f t="shared" si="116"/>
        <v/>
      </c>
    </row>
    <row r="6032" spans="1:1" x14ac:dyDescent="0.25">
      <c r="A6032" t="str">
        <f t="shared" si="116"/>
        <v/>
      </c>
    </row>
    <row r="6033" spans="1:1" x14ac:dyDescent="0.25">
      <c r="A6033" t="str">
        <f t="shared" si="116"/>
        <v/>
      </c>
    </row>
    <row r="6034" spans="1:1" x14ac:dyDescent="0.25">
      <c r="A6034" t="str">
        <f t="shared" si="116"/>
        <v/>
      </c>
    </row>
    <row r="6035" spans="1:1" x14ac:dyDescent="0.25">
      <c r="A6035" t="str">
        <f t="shared" si="116"/>
        <v/>
      </c>
    </row>
    <row r="6036" spans="1:1" x14ac:dyDescent="0.25">
      <c r="A6036" t="str">
        <f t="shared" si="116"/>
        <v/>
      </c>
    </row>
    <row r="6037" spans="1:1" x14ac:dyDescent="0.25">
      <c r="A6037" t="str">
        <f t="shared" si="116"/>
        <v/>
      </c>
    </row>
    <row r="6038" spans="1:1" x14ac:dyDescent="0.25">
      <c r="A6038" t="str">
        <f t="shared" si="116"/>
        <v/>
      </c>
    </row>
    <row r="6039" spans="1:1" x14ac:dyDescent="0.25">
      <c r="A6039" t="str">
        <f t="shared" si="116"/>
        <v/>
      </c>
    </row>
    <row r="6040" spans="1:1" x14ac:dyDescent="0.25">
      <c r="A6040" t="str">
        <f t="shared" si="116"/>
        <v/>
      </c>
    </row>
    <row r="6041" spans="1:1" x14ac:dyDescent="0.25">
      <c r="A6041" t="str">
        <f t="shared" si="116"/>
        <v/>
      </c>
    </row>
    <row r="6042" spans="1:1" x14ac:dyDescent="0.25">
      <c r="A6042" t="str">
        <f t="shared" si="116"/>
        <v/>
      </c>
    </row>
    <row r="6043" spans="1:1" x14ac:dyDescent="0.25">
      <c r="A6043" t="str">
        <f t="shared" si="116"/>
        <v/>
      </c>
    </row>
    <row r="6044" spans="1:1" x14ac:dyDescent="0.25">
      <c r="A6044" t="str">
        <f t="shared" si="116"/>
        <v/>
      </c>
    </row>
    <row r="6045" spans="1:1" x14ac:dyDescent="0.25">
      <c r="A6045" t="str">
        <f t="shared" si="116"/>
        <v/>
      </c>
    </row>
    <row r="6046" spans="1:1" x14ac:dyDescent="0.25">
      <c r="A6046" t="str">
        <f t="shared" si="116"/>
        <v/>
      </c>
    </row>
    <row r="6047" spans="1:1" x14ac:dyDescent="0.25">
      <c r="A6047" t="str">
        <f t="shared" si="116"/>
        <v/>
      </c>
    </row>
    <row r="6048" spans="1:1" x14ac:dyDescent="0.25">
      <c r="A6048" t="str">
        <f t="shared" si="116"/>
        <v/>
      </c>
    </row>
    <row r="6049" spans="1:1" x14ac:dyDescent="0.25">
      <c r="A6049" t="str">
        <f t="shared" si="116"/>
        <v/>
      </c>
    </row>
    <row r="6050" spans="1:1" x14ac:dyDescent="0.25">
      <c r="A6050" t="str">
        <f t="shared" si="116"/>
        <v/>
      </c>
    </row>
    <row r="6051" spans="1:1" x14ac:dyDescent="0.25">
      <c r="A6051" t="str">
        <f t="shared" si="116"/>
        <v/>
      </c>
    </row>
    <row r="6052" spans="1:1" x14ac:dyDescent="0.25">
      <c r="A6052" t="str">
        <f t="shared" si="116"/>
        <v/>
      </c>
    </row>
    <row r="6053" spans="1:1" x14ac:dyDescent="0.25">
      <c r="A6053" t="str">
        <f t="shared" si="116"/>
        <v/>
      </c>
    </row>
    <row r="6054" spans="1:1" x14ac:dyDescent="0.25">
      <c r="A6054" t="str">
        <f t="shared" si="116"/>
        <v/>
      </c>
    </row>
    <row r="6055" spans="1:1" x14ac:dyDescent="0.25">
      <c r="A6055" t="str">
        <f t="shared" si="116"/>
        <v/>
      </c>
    </row>
    <row r="6056" spans="1:1" x14ac:dyDescent="0.25">
      <c r="A6056" t="str">
        <f t="shared" si="116"/>
        <v/>
      </c>
    </row>
    <row r="6057" spans="1:1" x14ac:dyDescent="0.25">
      <c r="A6057" t="str">
        <f t="shared" si="116"/>
        <v/>
      </c>
    </row>
    <row r="6058" spans="1:1" x14ac:dyDescent="0.25">
      <c r="A6058" t="str">
        <f t="shared" si="116"/>
        <v/>
      </c>
    </row>
    <row r="6059" spans="1:1" x14ac:dyDescent="0.25">
      <c r="A6059" t="str">
        <f t="shared" si="116"/>
        <v/>
      </c>
    </row>
    <row r="6060" spans="1:1" x14ac:dyDescent="0.25">
      <c r="A6060" t="str">
        <f t="shared" si="116"/>
        <v/>
      </c>
    </row>
    <row r="6061" spans="1:1" x14ac:dyDescent="0.25">
      <c r="A6061" t="str">
        <f t="shared" si="116"/>
        <v/>
      </c>
    </row>
    <row r="6062" spans="1:1" x14ac:dyDescent="0.25">
      <c r="A6062" t="str">
        <f t="shared" si="116"/>
        <v/>
      </c>
    </row>
    <row r="6063" spans="1:1" x14ac:dyDescent="0.25">
      <c r="A6063" t="str">
        <f t="shared" si="116"/>
        <v/>
      </c>
    </row>
    <row r="6064" spans="1:1" x14ac:dyDescent="0.25">
      <c r="A6064" t="str">
        <f t="shared" si="116"/>
        <v/>
      </c>
    </row>
    <row r="6065" spans="1:1" x14ac:dyDescent="0.25">
      <c r="A6065" t="str">
        <f t="shared" si="116"/>
        <v/>
      </c>
    </row>
    <row r="6066" spans="1:1" x14ac:dyDescent="0.25">
      <c r="A6066" t="str">
        <f t="shared" si="116"/>
        <v/>
      </c>
    </row>
    <row r="6067" spans="1:1" x14ac:dyDescent="0.25">
      <c r="A6067" t="str">
        <f t="shared" si="116"/>
        <v/>
      </c>
    </row>
    <row r="6068" spans="1:1" x14ac:dyDescent="0.25">
      <c r="A6068" t="str">
        <f t="shared" si="116"/>
        <v/>
      </c>
    </row>
    <row r="6069" spans="1:1" x14ac:dyDescent="0.25">
      <c r="A6069" t="str">
        <f t="shared" si="116"/>
        <v/>
      </c>
    </row>
    <row r="6070" spans="1:1" x14ac:dyDescent="0.25">
      <c r="A6070" t="str">
        <f t="shared" si="116"/>
        <v/>
      </c>
    </row>
    <row r="6071" spans="1:1" x14ac:dyDescent="0.25">
      <c r="A6071" t="str">
        <f t="shared" si="116"/>
        <v/>
      </c>
    </row>
    <row r="6072" spans="1:1" x14ac:dyDescent="0.25">
      <c r="A6072" t="str">
        <f t="shared" si="116"/>
        <v/>
      </c>
    </row>
    <row r="6073" spans="1:1" x14ac:dyDescent="0.25">
      <c r="A6073" t="str">
        <f t="shared" si="116"/>
        <v/>
      </c>
    </row>
    <row r="6074" spans="1:1" x14ac:dyDescent="0.25">
      <c r="A6074" t="str">
        <f t="shared" si="116"/>
        <v/>
      </c>
    </row>
    <row r="6075" spans="1:1" x14ac:dyDescent="0.25">
      <c r="A6075" t="str">
        <f t="shared" si="116"/>
        <v/>
      </c>
    </row>
    <row r="6076" spans="1:1" x14ac:dyDescent="0.25">
      <c r="A6076" t="str">
        <f t="shared" si="116"/>
        <v/>
      </c>
    </row>
    <row r="6077" spans="1:1" x14ac:dyDescent="0.25">
      <c r="A6077" t="str">
        <f t="shared" si="116"/>
        <v/>
      </c>
    </row>
    <row r="6078" spans="1:1" x14ac:dyDescent="0.25">
      <c r="A6078" t="str">
        <f t="shared" si="116"/>
        <v/>
      </c>
    </row>
    <row r="6079" spans="1:1" x14ac:dyDescent="0.25">
      <c r="A6079" t="str">
        <f t="shared" si="116"/>
        <v/>
      </c>
    </row>
    <row r="6080" spans="1:1" x14ac:dyDescent="0.25">
      <c r="A6080" t="str">
        <f t="shared" si="116"/>
        <v/>
      </c>
    </row>
    <row r="6081" spans="1:1" x14ac:dyDescent="0.25">
      <c r="A6081" t="str">
        <f t="shared" ref="A6081:A6144" si="117">E6081&amp;C6081&amp;D6081</f>
        <v/>
      </c>
    </row>
    <row r="6082" spans="1:1" x14ac:dyDescent="0.25">
      <c r="A6082" t="str">
        <f t="shared" si="117"/>
        <v/>
      </c>
    </row>
    <row r="6083" spans="1:1" x14ac:dyDescent="0.25">
      <c r="A6083" t="str">
        <f t="shared" si="117"/>
        <v/>
      </c>
    </row>
    <row r="6084" spans="1:1" x14ac:dyDescent="0.25">
      <c r="A6084" t="str">
        <f t="shared" si="117"/>
        <v/>
      </c>
    </row>
    <row r="6085" spans="1:1" x14ac:dyDescent="0.25">
      <c r="A6085" t="str">
        <f t="shared" si="117"/>
        <v/>
      </c>
    </row>
    <row r="6086" spans="1:1" x14ac:dyDescent="0.25">
      <c r="A6086" t="str">
        <f t="shared" si="117"/>
        <v/>
      </c>
    </row>
    <row r="6087" spans="1:1" x14ac:dyDescent="0.25">
      <c r="A6087" t="str">
        <f t="shared" si="117"/>
        <v/>
      </c>
    </row>
    <row r="6088" spans="1:1" x14ac:dyDescent="0.25">
      <c r="A6088" t="str">
        <f t="shared" si="117"/>
        <v/>
      </c>
    </row>
    <row r="6089" spans="1:1" x14ac:dyDescent="0.25">
      <c r="A6089" t="str">
        <f t="shared" si="117"/>
        <v/>
      </c>
    </row>
    <row r="6090" spans="1:1" x14ac:dyDescent="0.25">
      <c r="A6090" t="str">
        <f t="shared" si="117"/>
        <v/>
      </c>
    </row>
    <row r="6091" spans="1:1" x14ac:dyDescent="0.25">
      <c r="A6091" t="str">
        <f t="shared" si="117"/>
        <v/>
      </c>
    </row>
    <row r="6092" spans="1:1" x14ac:dyDescent="0.25">
      <c r="A6092" t="str">
        <f t="shared" si="117"/>
        <v/>
      </c>
    </row>
    <row r="6093" spans="1:1" x14ac:dyDescent="0.25">
      <c r="A6093" t="str">
        <f t="shared" si="117"/>
        <v/>
      </c>
    </row>
    <row r="6094" spans="1:1" x14ac:dyDescent="0.25">
      <c r="A6094" t="str">
        <f t="shared" si="117"/>
        <v/>
      </c>
    </row>
    <row r="6095" spans="1:1" x14ac:dyDescent="0.25">
      <c r="A6095" t="str">
        <f t="shared" si="117"/>
        <v/>
      </c>
    </row>
    <row r="6096" spans="1:1" x14ac:dyDescent="0.25">
      <c r="A6096" t="str">
        <f t="shared" si="117"/>
        <v/>
      </c>
    </row>
    <row r="6097" spans="1:1" x14ac:dyDescent="0.25">
      <c r="A6097" t="str">
        <f t="shared" si="117"/>
        <v/>
      </c>
    </row>
    <row r="6098" spans="1:1" x14ac:dyDescent="0.25">
      <c r="A6098" t="str">
        <f t="shared" si="117"/>
        <v/>
      </c>
    </row>
    <row r="6099" spans="1:1" x14ac:dyDescent="0.25">
      <c r="A6099" t="str">
        <f t="shared" si="117"/>
        <v/>
      </c>
    </row>
    <row r="6100" spans="1:1" x14ac:dyDescent="0.25">
      <c r="A6100" t="str">
        <f t="shared" si="117"/>
        <v/>
      </c>
    </row>
    <row r="6101" spans="1:1" x14ac:dyDescent="0.25">
      <c r="A6101" t="str">
        <f t="shared" si="117"/>
        <v/>
      </c>
    </row>
    <row r="6102" spans="1:1" x14ac:dyDescent="0.25">
      <c r="A6102" t="str">
        <f t="shared" si="117"/>
        <v/>
      </c>
    </row>
    <row r="6103" spans="1:1" x14ac:dyDescent="0.25">
      <c r="A6103" t="str">
        <f t="shared" si="117"/>
        <v/>
      </c>
    </row>
    <row r="6104" spans="1:1" x14ac:dyDescent="0.25">
      <c r="A6104" t="str">
        <f t="shared" si="117"/>
        <v/>
      </c>
    </row>
    <row r="6105" spans="1:1" x14ac:dyDescent="0.25">
      <c r="A6105" t="str">
        <f t="shared" si="117"/>
        <v/>
      </c>
    </row>
    <row r="6106" spans="1:1" x14ac:dyDescent="0.25">
      <c r="A6106" t="str">
        <f t="shared" si="117"/>
        <v/>
      </c>
    </row>
    <row r="6107" spans="1:1" x14ac:dyDescent="0.25">
      <c r="A6107" t="str">
        <f t="shared" si="117"/>
        <v/>
      </c>
    </row>
    <row r="6108" spans="1:1" x14ac:dyDescent="0.25">
      <c r="A6108" t="str">
        <f t="shared" si="117"/>
        <v/>
      </c>
    </row>
    <row r="6109" spans="1:1" x14ac:dyDescent="0.25">
      <c r="A6109" t="str">
        <f t="shared" si="117"/>
        <v/>
      </c>
    </row>
    <row r="6110" spans="1:1" x14ac:dyDescent="0.25">
      <c r="A6110" t="str">
        <f t="shared" si="117"/>
        <v/>
      </c>
    </row>
    <row r="6111" spans="1:1" x14ac:dyDescent="0.25">
      <c r="A6111" t="str">
        <f t="shared" si="117"/>
        <v/>
      </c>
    </row>
    <row r="6112" spans="1:1" x14ac:dyDescent="0.25">
      <c r="A6112" t="str">
        <f t="shared" si="117"/>
        <v/>
      </c>
    </row>
    <row r="6113" spans="1:1" x14ac:dyDescent="0.25">
      <c r="A6113" t="str">
        <f t="shared" si="117"/>
        <v/>
      </c>
    </row>
    <row r="6114" spans="1:1" x14ac:dyDescent="0.25">
      <c r="A6114" t="str">
        <f t="shared" si="117"/>
        <v/>
      </c>
    </row>
    <row r="6115" spans="1:1" x14ac:dyDescent="0.25">
      <c r="A6115" t="str">
        <f t="shared" si="117"/>
        <v/>
      </c>
    </row>
    <row r="6116" spans="1:1" x14ac:dyDescent="0.25">
      <c r="A6116" t="str">
        <f t="shared" si="117"/>
        <v/>
      </c>
    </row>
    <row r="6117" spans="1:1" x14ac:dyDescent="0.25">
      <c r="A6117" t="str">
        <f t="shared" si="117"/>
        <v/>
      </c>
    </row>
    <row r="6118" spans="1:1" x14ac:dyDescent="0.25">
      <c r="A6118" t="str">
        <f t="shared" si="117"/>
        <v/>
      </c>
    </row>
    <row r="6119" spans="1:1" x14ac:dyDescent="0.25">
      <c r="A6119" t="str">
        <f t="shared" si="117"/>
        <v/>
      </c>
    </row>
    <row r="6120" spans="1:1" x14ac:dyDescent="0.25">
      <c r="A6120" t="str">
        <f t="shared" si="117"/>
        <v/>
      </c>
    </row>
    <row r="6121" spans="1:1" x14ac:dyDescent="0.25">
      <c r="A6121" t="str">
        <f t="shared" si="117"/>
        <v/>
      </c>
    </row>
    <row r="6122" spans="1:1" x14ac:dyDescent="0.25">
      <c r="A6122" t="str">
        <f t="shared" si="117"/>
        <v/>
      </c>
    </row>
    <row r="6123" spans="1:1" x14ac:dyDescent="0.25">
      <c r="A6123" t="str">
        <f t="shared" si="117"/>
        <v/>
      </c>
    </row>
    <row r="6124" spans="1:1" x14ac:dyDescent="0.25">
      <c r="A6124" t="str">
        <f t="shared" si="117"/>
        <v/>
      </c>
    </row>
    <row r="6125" spans="1:1" x14ac:dyDescent="0.25">
      <c r="A6125" t="str">
        <f t="shared" si="117"/>
        <v/>
      </c>
    </row>
    <row r="6126" spans="1:1" x14ac:dyDescent="0.25">
      <c r="A6126" t="str">
        <f t="shared" si="117"/>
        <v/>
      </c>
    </row>
    <row r="6127" spans="1:1" x14ac:dyDescent="0.25">
      <c r="A6127" t="str">
        <f t="shared" si="117"/>
        <v/>
      </c>
    </row>
    <row r="6128" spans="1:1" x14ac:dyDescent="0.25">
      <c r="A6128" t="str">
        <f t="shared" si="117"/>
        <v/>
      </c>
    </row>
    <row r="6129" spans="1:1" x14ac:dyDescent="0.25">
      <c r="A6129" t="str">
        <f t="shared" si="117"/>
        <v/>
      </c>
    </row>
    <row r="6130" spans="1:1" x14ac:dyDescent="0.25">
      <c r="A6130" t="str">
        <f t="shared" si="117"/>
        <v/>
      </c>
    </row>
    <row r="6131" spans="1:1" x14ac:dyDescent="0.25">
      <c r="A6131" t="str">
        <f t="shared" si="117"/>
        <v/>
      </c>
    </row>
    <row r="6132" spans="1:1" x14ac:dyDescent="0.25">
      <c r="A6132" t="str">
        <f t="shared" si="117"/>
        <v/>
      </c>
    </row>
    <row r="6133" spans="1:1" x14ac:dyDescent="0.25">
      <c r="A6133" t="str">
        <f t="shared" si="117"/>
        <v/>
      </c>
    </row>
    <row r="6134" spans="1:1" x14ac:dyDescent="0.25">
      <c r="A6134" t="str">
        <f t="shared" si="117"/>
        <v/>
      </c>
    </row>
    <row r="6135" spans="1:1" x14ac:dyDescent="0.25">
      <c r="A6135" t="str">
        <f t="shared" si="117"/>
        <v/>
      </c>
    </row>
    <row r="6136" spans="1:1" x14ac:dyDescent="0.25">
      <c r="A6136" t="str">
        <f t="shared" si="117"/>
        <v/>
      </c>
    </row>
    <row r="6137" spans="1:1" x14ac:dyDescent="0.25">
      <c r="A6137" t="str">
        <f t="shared" si="117"/>
        <v/>
      </c>
    </row>
    <row r="6138" spans="1:1" x14ac:dyDescent="0.25">
      <c r="A6138" t="str">
        <f t="shared" si="117"/>
        <v/>
      </c>
    </row>
    <row r="6139" spans="1:1" x14ac:dyDescent="0.25">
      <c r="A6139" t="str">
        <f t="shared" si="117"/>
        <v/>
      </c>
    </row>
    <row r="6140" spans="1:1" x14ac:dyDescent="0.25">
      <c r="A6140" t="str">
        <f t="shared" si="117"/>
        <v/>
      </c>
    </row>
    <row r="6141" spans="1:1" x14ac:dyDescent="0.25">
      <c r="A6141" t="str">
        <f t="shared" si="117"/>
        <v/>
      </c>
    </row>
    <row r="6142" spans="1:1" x14ac:dyDescent="0.25">
      <c r="A6142" t="str">
        <f t="shared" si="117"/>
        <v/>
      </c>
    </row>
    <row r="6143" spans="1:1" x14ac:dyDescent="0.25">
      <c r="A6143" t="str">
        <f t="shared" si="117"/>
        <v/>
      </c>
    </row>
    <row r="6144" spans="1:1" x14ac:dyDescent="0.25">
      <c r="A6144" t="str">
        <f t="shared" si="117"/>
        <v/>
      </c>
    </row>
    <row r="6145" spans="1:1" x14ac:dyDescent="0.25">
      <c r="A6145" t="str">
        <f t="shared" ref="A6145:A6208" si="118">E6145&amp;C6145&amp;D6145</f>
        <v/>
      </c>
    </row>
    <row r="6146" spans="1:1" x14ac:dyDescent="0.25">
      <c r="A6146" t="str">
        <f t="shared" si="118"/>
        <v/>
      </c>
    </row>
    <row r="6147" spans="1:1" x14ac:dyDescent="0.25">
      <c r="A6147" t="str">
        <f t="shared" si="118"/>
        <v/>
      </c>
    </row>
    <row r="6148" spans="1:1" x14ac:dyDescent="0.25">
      <c r="A6148" t="str">
        <f t="shared" si="118"/>
        <v/>
      </c>
    </row>
    <row r="6149" spans="1:1" x14ac:dyDescent="0.25">
      <c r="A6149" t="str">
        <f t="shared" si="118"/>
        <v/>
      </c>
    </row>
    <row r="6150" spans="1:1" x14ac:dyDescent="0.25">
      <c r="A6150" t="str">
        <f t="shared" si="118"/>
        <v/>
      </c>
    </row>
    <row r="6151" spans="1:1" x14ac:dyDescent="0.25">
      <c r="A6151" t="str">
        <f t="shared" si="118"/>
        <v/>
      </c>
    </row>
    <row r="6152" spans="1:1" x14ac:dyDescent="0.25">
      <c r="A6152" t="str">
        <f t="shared" si="118"/>
        <v/>
      </c>
    </row>
    <row r="6153" spans="1:1" x14ac:dyDescent="0.25">
      <c r="A6153" t="str">
        <f t="shared" si="118"/>
        <v/>
      </c>
    </row>
    <row r="6154" spans="1:1" x14ac:dyDescent="0.25">
      <c r="A6154" t="str">
        <f t="shared" si="118"/>
        <v/>
      </c>
    </row>
    <row r="6155" spans="1:1" x14ac:dyDescent="0.25">
      <c r="A6155" t="str">
        <f t="shared" si="118"/>
        <v/>
      </c>
    </row>
    <row r="6156" spans="1:1" x14ac:dyDescent="0.25">
      <c r="A6156" t="str">
        <f t="shared" si="118"/>
        <v/>
      </c>
    </row>
    <row r="6157" spans="1:1" x14ac:dyDescent="0.25">
      <c r="A6157" t="str">
        <f t="shared" si="118"/>
        <v/>
      </c>
    </row>
    <row r="6158" spans="1:1" x14ac:dyDescent="0.25">
      <c r="A6158" t="str">
        <f t="shared" si="118"/>
        <v/>
      </c>
    </row>
    <row r="6159" spans="1:1" x14ac:dyDescent="0.25">
      <c r="A6159" t="str">
        <f t="shared" si="118"/>
        <v/>
      </c>
    </row>
    <row r="6160" spans="1:1" x14ac:dyDescent="0.25">
      <c r="A6160" t="str">
        <f t="shared" si="118"/>
        <v/>
      </c>
    </row>
    <row r="6161" spans="1:1" x14ac:dyDescent="0.25">
      <c r="A6161" t="str">
        <f t="shared" si="118"/>
        <v/>
      </c>
    </row>
    <row r="6162" spans="1:1" x14ac:dyDescent="0.25">
      <c r="A6162" t="str">
        <f t="shared" si="118"/>
        <v/>
      </c>
    </row>
    <row r="6163" spans="1:1" x14ac:dyDescent="0.25">
      <c r="A6163" t="str">
        <f t="shared" si="118"/>
        <v/>
      </c>
    </row>
    <row r="6164" spans="1:1" x14ac:dyDescent="0.25">
      <c r="A6164" t="str">
        <f t="shared" si="118"/>
        <v/>
      </c>
    </row>
    <row r="6165" spans="1:1" x14ac:dyDescent="0.25">
      <c r="A6165" t="str">
        <f t="shared" si="118"/>
        <v/>
      </c>
    </row>
    <row r="6166" spans="1:1" x14ac:dyDescent="0.25">
      <c r="A6166" t="str">
        <f t="shared" si="118"/>
        <v/>
      </c>
    </row>
    <row r="6167" spans="1:1" x14ac:dyDescent="0.25">
      <c r="A6167" t="str">
        <f t="shared" si="118"/>
        <v/>
      </c>
    </row>
    <row r="6168" spans="1:1" x14ac:dyDescent="0.25">
      <c r="A6168" t="str">
        <f t="shared" si="118"/>
        <v/>
      </c>
    </row>
    <row r="6169" spans="1:1" x14ac:dyDescent="0.25">
      <c r="A6169" t="str">
        <f t="shared" si="118"/>
        <v/>
      </c>
    </row>
    <row r="6170" spans="1:1" x14ac:dyDescent="0.25">
      <c r="A6170" t="str">
        <f t="shared" si="118"/>
        <v/>
      </c>
    </row>
    <row r="6171" spans="1:1" x14ac:dyDescent="0.25">
      <c r="A6171" t="str">
        <f t="shared" si="118"/>
        <v/>
      </c>
    </row>
    <row r="6172" spans="1:1" x14ac:dyDescent="0.25">
      <c r="A6172" t="str">
        <f t="shared" si="118"/>
        <v/>
      </c>
    </row>
    <row r="6173" spans="1:1" x14ac:dyDescent="0.25">
      <c r="A6173" t="str">
        <f t="shared" si="118"/>
        <v/>
      </c>
    </row>
    <row r="6174" spans="1:1" x14ac:dyDescent="0.25">
      <c r="A6174" t="str">
        <f t="shared" si="118"/>
        <v/>
      </c>
    </row>
    <row r="6175" spans="1:1" x14ac:dyDescent="0.25">
      <c r="A6175" t="str">
        <f t="shared" si="118"/>
        <v/>
      </c>
    </row>
    <row r="6176" spans="1:1" x14ac:dyDescent="0.25">
      <c r="A6176" t="str">
        <f t="shared" si="118"/>
        <v/>
      </c>
    </row>
    <row r="6177" spans="1:1" x14ac:dyDescent="0.25">
      <c r="A6177" t="str">
        <f t="shared" si="118"/>
        <v/>
      </c>
    </row>
    <row r="6178" spans="1:1" x14ac:dyDescent="0.25">
      <c r="A6178" t="str">
        <f t="shared" si="118"/>
        <v/>
      </c>
    </row>
    <row r="6179" spans="1:1" x14ac:dyDescent="0.25">
      <c r="A6179" t="str">
        <f t="shared" si="118"/>
        <v/>
      </c>
    </row>
    <row r="6180" spans="1:1" x14ac:dyDescent="0.25">
      <c r="A6180" t="str">
        <f t="shared" si="118"/>
        <v/>
      </c>
    </row>
    <row r="6181" spans="1:1" x14ac:dyDescent="0.25">
      <c r="A6181" t="str">
        <f t="shared" si="118"/>
        <v/>
      </c>
    </row>
    <row r="6182" spans="1:1" x14ac:dyDescent="0.25">
      <c r="A6182" t="str">
        <f t="shared" si="118"/>
        <v/>
      </c>
    </row>
    <row r="6183" spans="1:1" x14ac:dyDescent="0.25">
      <c r="A6183" t="str">
        <f t="shared" si="118"/>
        <v/>
      </c>
    </row>
    <row r="6184" spans="1:1" x14ac:dyDescent="0.25">
      <c r="A6184" t="str">
        <f t="shared" si="118"/>
        <v/>
      </c>
    </row>
    <row r="6185" spans="1:1" x14ac:dyDescent="0.25">
      <c r="A6185" t="str">
        <f t="shared" si="118"/>
        <v/>
      </c>
    </row>
    <row r="6186" spans="1:1" x14ac:dyDescent="0.25">
      <c r="A6186" t="str">
        <f t="shared" si="118"/>
        <v/>
      </c>
    </row>
    <row r="6187" spans="1:1" x14ac:dyDescent="0.25">
      <c r="A6187" t="str">
        <f t="shared" si="118"/>
        <v/>
      </c>
    </row>
    <row r="6188" spans="1:1" x14ac:dyDescent="0.25">
      <c r="A6188" t="str">
        <f t="shared" si="118"/>
        <v/>
      </c>
    </row>
    <row r="6189" spans="1:1" x14ac:dyDescent="0.25">
      <c r="A6189" t="str">
        <f t="shared" si="118"/>
        <v/>
      </c>
    </row>
    <row r="6190" spans="1:1" x14ac:dyDescent="0.25">
      <c r="A6190" t="str">
        <f t="shared" si="118"/>
        <v/>
      </c>
    </row>
    <row r="6191" spans="1:1" x14ac:dyDescent="0.25">
      <c r="A6191" t="str">
        <f t="shared" si="118"/>
        <v/>
      </c>
    </row>
    <row r="6192" spans="1:1" x14ac:dyDescent="0.25">
      <c r="A6192" t="str">
        <f t="shared" si="118"/>
        <v/>
      </c>
    </row>
    <row r="6193" spans="1:1" x14ac:dyDescent="0.25">
      <c r="A6193" t="str">
        <f t="shared" si="118"/>
        <v/>
      </c>
    </row>
    <row r="6194" spans="1:1" x14ac:dyDescent="0.25">
      <c r="A6194" t="str">
        <f t="shared" si="118"/>
        <v/>
      </c>
    </row>
    <row r="6195" spans="1:1" x14ac:dyDescent="0.25">
      <c r="A6195" t="str">
        <f t="shared" si="118"/>
        <v/>
      </c>
    </row>
    <row r="6196" spans="1:1" x14ac:dyDescent="0.25">
      <c r="A6196" t="str">
        <f t="shared" si="118"/>
        <v/>
      </c>
    </row>
    <row r="6197" spans="1:1" x14ac:dyDescent="0.25">
      <c r="A6197" t="str">
        <f t="shared" si="118"/>
        <v/>
      </c>
    </row>
    <row r="6198" spans="1:1" x14ac:dyDescent="0.25">
      <c r="A6198" t="str">
        <f t="shared" si="118"/>
        <v/>
      </c>
    </row>
    <row r="6199" spans="1:1" x14ac:dyDescent="0.25">
      <c r="A6199" t="str">
        <f t="shared" si="118"/>
        <v/>
      </c>
    </row>
    <row r="6200" spans="1:1" x14ac:dyDescent="0.25">
      <c r="A6200" t="str">
        <f t="shared" si="118"/>
        <v/>
      </c>
    </row>
    <row r="6201" spans="1:1" x14ac:dyDescent="0.25">
      <c r="A6201" t="str">
        <f t="shared" si="118"/>
        <v/>
      </c>
    </row>
    <row r="6202" spans="1:1" x14ac:dyDescent="0.25">
      <c r="A6202" t="str">
        <f t="shared" si="118"/>
        <v/>
      </c>
    </row>
    <row r="6203" spans="1:1" x14ac:dyDescent="0.25">
      <c r="A6203" t="str">
        <f t="shared" si="118"/>
        <v/>
      </c>
    </row>
    <row r="6204" spans="1:1" x14ac:dyDescent="0.25">
      <c r="A6204" t="str">
        <f t="shared" si="118"/>
        <v/>
      </c>
    </row>
    <row r="6205" spans="1:1" x14ac:dyDescent="0.25">
      <c r="A6205" t="str">
        <f t="shared" si="118"/>
        <v/>
      </c>
    </row>
    <row r="6206" spans="1:1" x14ac:dyDescent="0.25">
      <c r="A6206" t="str">
        <f t="shared" si="118"/>
        <v/>
      </c>
    </row>
    <row r="6207" spans="1:1" x14ac:dyDescent="0.25">
      <c r="A6207" t="str">
        <f t="shared" si="118"/>
        <v/>
      </c>
    </row>
    <row r="6208" spans="1:1" x14ac:dyDescent="0.25">
      <c r="A6208" t="str">
        <f t="shared" si="118"/>
        <v/>
      </c>
    </row>
    <row r="6209" spans="1:1" x14ac:dyDescent="0.25">
      <c r="A6209" t="str">
        <f t="shared" ref="A6209:A6272" si="119">E6209&amp;C6209&amp;D6209</f>
        <v/>
      </c>
    </row>
    <row r="6210" spans="1:1" x14ac:dyDescent="0.25">
      <c r="A6210" t="str">
        <f t="shared" si="119"/>
        <v/>
      </c>
    </row>
    <row r="6211" spans="1:1" x14ac:dyDescent="0.25">
      <c r="A6211" t="str">
        <f t="shared" si="119"/>
        <v/>
      </c>
    </row>
    <row r="6212" spans="1:1" x14ac:dyDescent="0.25">
      <c r="A6212" t="str">
        <f t="shared" si="119"/>
        <v/>
      </c>
    </row>
    <row r="6213" spans="1:1" x14ac:dyDescent="0.25">
      <c r="A6213" t="str">
        <f t="shared" si="119"/>
        <v/>
      </c>
    </row>
    <row r="6214" spans="1:1" x14ac:dyDescent="0.25">
      <c r="A6214" t="str">
        <f t="shared" si="119"/>
        <v/>
      </c>
    </row>
    <row r="6215" spans="1:1" x14ac:dyDescent="0.25">
      <c r="A6215" t="str">
        <f t="shared" si="119"/>
        <v/>
      </c>
    </row>
    <row r="6216" spans="1:1" x14ac:dyDescent="0.25">
      <c r="A6216" t="str">
        <f t="shared" si="119"/>
        <v/>
      </c>
    </row>
    <row r="6217" spans="1:1" x14ac:dyDescent="0.25">
      <c r="A6217" t="str">
        <f t="shared" si="119"/>
        <v/>
      </c>
    </row>
    <row r="6218" spans="1:1" x14ac:dyDescent="0.25">
      <c r="A6218" t="str">
        <f t="shared" si="119"/>
        <v/>
      </c>
    </row>
    <row r="6219" spans="1:1" x14ac:dyDescent="0.25">
      <c r="A6219" t="str">
        <f t="shared" si="119"/>
        <v/>
      </c>
    </row>
    <row r="6220" spans="1:1" x14ac:dyDescent="0.25">
      <c r="A6220" t="str">
        <f t="shared" si="119"/>
        <v/>
      </c>
    </row>
    <row r="6221" spans="1:1" x14ac:dyDescent="0.25">
      <c r="A6221" t="str">
        <f t="shared" si="119"/>
        <v/>
      </c>
    </row>
    <row r="6222" spans="1:1" x14ac:dyDescent="0.25">
      <c r="A6222" t="str">
        <f t="shared" si="119"/>
        <v/>
      </c>
    </row>
    <row r="6223" spans="1:1" x14ac:dyDescent="0.25">
      <c r="A6223" t="str">
        <f t="shared" si="119"/>
        <v/>
      </c>
    </row>
    <row r="6224" spans="1:1" x14ac:dyDescent="0.25">
      <c r="A6224" t="str">
        <f t="shared" si="119"/>
        <v/>
      </c>
    </row>
    <row r="6225" spans="1:1" x14ac:dyDescent="0.25">
      <c r="A6225" t="str">
        <f t="shared" si="119"/>
        <v/>
      </c>
    </row>
    <row r="6226" spans="1:1" x14ac:dyDescent="0.25">
      <c r="A6226" t="str">
        <f t="shared" si="119"/>
        <v/>
      </c>
    </row>
    <row r="6227" spans="1:1" x14ac:dyDescent="0.25">
      <c r="A6227" t="str">
        <f t="shared" si="119"/>
        <v/>
      </c>
    </row>
    <row r="6228" spans="1:1" x14ac:dyDescent="0.25">
      <c r="A6228" t="str">
        <f t="shared" si="119"/>
        <v/>
      </c>
    </row>
    <row r="6229" spans="1:1" x14ac:dyDescent="0.25">
      <c r="A6229" t="str">
        <f t="shared" si="119"/>
        <v/>
      </c>
    </row>
    <row r="6230" spans="1:1" x14ac:dyDescent="0.25">
      <c r="A6230" t="str">
        <f t="shared" si="119"/>
        <v/>
      </c>
    </row>
    <row r="6231" spans="1:1" x14ac:dyDescent="0.25">
      <c r="A6231" t="str">
        <f t="shared" si="119"/>
        <v/>
      </c>
    </row>
    <row r="6232" spans="1:1" x14ac:dyDescent="0.25">
      <c r="A6232" t="str">
        <f t="shared" si="119"/>
        <v/>
      </c>
    </row>
    <row r="6233" spans="1:1" x14ac:dyDescent="0.25">
      <c r="A6233" t="str">
        <f t="shared" si="119"/>
        <v/>
      </c>
    </row>
    <row r="6234" spans="1:1" x14ac:dyDescent="0.25">
      <c r="A6234" t="str">
        <f t="shared" si="119"/>
        <v/>
      </c>
    </row>
    <row r="6235" spans="1:1" x14ac:dyDescent="0.25">
      <c r="A6235" t="str">
        <f t="shared" si="119"/>
        <v/>
      </c>
    </row>
    <row r="6236" spans="1:1" x14ac:dyDescent="0.25">
      <c r="A6236" t="str">
        <f t="shared" si="119"/>
        <v/>
      </c>
    </row>
    <row r="6237" spans="1:1" x14ac:dyDescent="0.25">
      <c r="A6237" t="str">
        <f t="shared" si="119"/>
        <v/>
      </c>
    </row>
    <row r="6238" spans="1:1" x14ac:dyDescent="0.25">
      <c r="A6238" t="str">
        <f t="shared" si="119"/>
        <v/>
      </c>
    </row>
    <row r="6239" spans="1:1" x14ac:dyDescent="0.25">
      <c r="A6239" t="str">
        <f t="shared" si="119"/>
        <v/>
      </c>
    </row>
    <row r="6240" spans="1:1" x14ac:dyDescent="0.25">
      <c r="A6240" t="str">
        <f t="shared" si="119"/>
        <v/>
      </c>
    </row>
    <row r="6241" spans="1:1" x14ac:dyDescent="0.25">
      <c r="A6241" t="str">
        <f t="shared" si="119"/>
        <v/>
      </c>
    </row>
    <row r="6242" spans="1:1" x14ac:dyDescent="0.25">
      <c r="A6242" t="str">
        <f t="shared" si="119"/>
        <v/>
      </c>
    </row>
    <row r="6243" spans="1:1" x14ac:dyDescent="0.25">
      <c r="A6243" t="str">
        <f t="shared" si="119"/>
        <v/>
      </c>
    </row>
    <row r="6244" spans="1:1" x14ac:dyDescent="0.25">
      <c r="A6244" t="str">
        <f t="shared" si="119"/>
        <v/>
      </c>
    </row>
    <row r="6245" spans="1:1" x14ac:dyDescent="0.25">
      <c r="A6245" t="str">
        <f t="shared" si="119"/>
        <v/>
      </c>
    </row>
    <row r="6246" spans="1:1" x14ac:dyDescent="0.25">
      <c r="A6246" t="str">
        <f t="shared" si="119"/>
        <v/>
      </c>
    </row>
    <row r="6247" spans="1:1" x14ac:dyDescent="0.25">
      <c r="A6247" t="str">
        <f t="shared" si="119"/>
        <v/>
      </c>
    </row>
    <row r="6248" spans="1:1" x14ac:dyDescent="0.25">
      <c r="A6248" t="str">
        <f t="shared" si="119"/>
        <v/>
      </c>
    </row>
    <row r="6249" spans="1:1" x14ac:dyDescent="0.25">
      <c r="A6249" t="str">
        <f t="shared" si="119"/>
        <v/>
      </c>
    </row>
    <row r="6250" spans="1:1" x14ac:dyDescent="0.25">
      <c r="A6250" t="str">
        <f t="shared" si="119"/>
        <v/>
      </c>
    </row>
    <row r="6251" spans="1:1" x14ac:dyDescent="0.25">
      <c r="A6251" t="str">
        <f t="shared" si="119"/>
        <v/>
      </c>
    </row>
    <row r="6252" spans="1:1" x14ac:dyDescent="0.25">
      <c r="A6252" t="str">
        <f t="shared" si="119"/>
        <v/>
      </c>
    </row>
    <row r="6253" spans="1:1" x14ac:dyDescent="0.25">
      <c r="A6253" t="str">
        <f t="shared" si="119"/>
        <v/>
      </c>
    </row>
    <row r="6254" spans="1:1" x14ac:dyDescent="0.25">
      <c r="A6254" t="str">
        <f t="shared" si="119"/>
        <v/>
      </c>
    </row>
    <row r="6255" spans="1:1" x14ac:dyDescent="0.25">
      <c r="A6255" t="str">
        <f t="shared" si="119"/>
        <v/>
      </c>
    </row>
    <row r="6256" spans="1:1" x14ac:dyDescent="0.25">
      <c r="A6256" t="str">
        <f t="shared" si="119"/>
        <v/>
      </c>
    </row>
    <row r="6257" spans="1:1" x14ac:dyDescent="0.25">
      <c r="A6257" t="str">
        <f t="shared" si="119"/>
        <v/>
      </c>
    </row>
    <row r="6258" spans="1:1" x14ac:dyDescent="0.25">
      <c r="A6258" t="str">
        <f t="shared" si="119"/>
        <v/>
      </c>
    </row>
    <row r="6259" spans="1:1" x14ac:dyDescent="0.25">
      <c r="A6259" t="str">
        <f t="shared" si="119"/>
        <v/>
      </c>
    </row>
    <row r="6260" spans="1:1" x14ac:dyDescent="0.25">
      <c r="A6260" t="str">
        <f t="shared" si="119"/>
        <v/>
      </c>
    </row>
    <row r="6261" spans="1:1" x14ac:dyDescent="0.25">
      <c r="A6261" t="str">
        <f t="shared" si="119"/>
        <v/>
      </c>
    </row>
    <row r="6262" spans="1:1" x14ac:dyDescent="0.25">
      <c r="A6262" t="str">
        <f t="shared" si="119"/>
        <v/>
      </c>
    </row>
    <row r="6263" spans="1:1" x14ac:dyDescent="0.25">
      <c r="A6263" t="str">
        <f t="shared" si="119"/>
        <v/>
      </c>
    </row>
    <row r="6264" spans="1:1" x14ac:dyDescent="0.25">
      <c r="A6264" t="str">
        <f t="shared" si="119"/>
        <v/>
      </c>
    </row>
    <row r="6265" spans="1:1" x14ac:dyDescent="0.25">
      <c r="A6265" t="str">
        <f t="shared" si="119"/>
        <v/>
      </c>
    </row>
    <row r="6266" spans="1:1" x14ac:dyDescent="0.25">
      <c r="A6266" t="str">
        <f t="shared" si="119"/>
        <v/>
      </c>
    </row>
    <row r="6267" spans="1:1" x14ac:dyDescent="0.25">
      <c r="A6267" t="str">
        <f t="shared" si="119"/>
        <v/>
      </c>
    </row>
    <row r="6268" spans="1:1" x14ac:dyDescent="0.25">
      <c r="A6268" t="str">
        <f t="shared" si="119"/>
        <v/>
      </c>
    </row>
    <row r="6269" spans="1:1" x14ac:dyDescent="0.25">
      <c r="A6269" t="str">
        <f t="shared" si="119"/>
        <v/>
      </c>
    </row>
    <row r="6270" spans="1:1" x14ac:dyDescent="0.25">
      <c r="A6270" t="str">
        <f t="shared" si="119"/>
        <v/>
      </c>
    </row>
    <row r="6271" spans="1:1" x14ac:dyDescent="0.25">
      <c r="A6271" t="str">
        <f t="shared" si="119"/>
        <v/>
      </c>
    </row>
    <row r="6272" spans="1:1" x14ac:dyDescent="0.25">
      <c r="A6272" t="str">
        <f t="shared" si="119"/>
        <v/>
      </c>
    </row>
    <row r="6273" spans="1:1" x14ac:dyDescent="0.25">
      <c r="A6273" t="str">
        <f t="shared" ref="A6273:A6336" si="120">E6273&amp;C6273&amp;D6273</f>
        <v/>
      </c>
    </row>
    <row r="6274" spans="1:1" x14ac:dyDescent="0.25">
      <c r="A6274" t="str">
        <f t="shared" si="120"/>
        <v/>
      </c>
    </row>
    <row r="6275" spans="1:1" x14ac:dyDescent="0.25">
      <c r="A6275" t="str">
        <f t="shared" si="120"/>
        <v/>
      </c>
    </row>
    <row r="6276" spans="1:1" x14ac:dyDescent="0.25">
      <c r="A6276" t="str">
        <f t="shared" si="120"/>
        <v/>
      </c>
    </row>
    <row r="6277" spans="1:1" x14ac:dyDescent="0.25">
      <c r="A6277" t="str">
        <f t="shared" si="120"/>
        <v/>
      </c>
    </row>
    <row r="6278" spans="1:1" x14ac:dyDescent="0.25">
      <c r="A6278" t="str">
        <f t="shared" si="120"/>
        <v/>
      </c>
    </row>
    <row r="6279" spans="1:1" x14ac:dyDescent="0.25">
      <c r="A6279" t="str">
        <f t="shared" si="120"/>
        <v/>
      </c>
    </row>
    <row r="6280" spans="1:1" x14ac:dyDescent="0.25">
      <c r="A6280" t="str">
        <f t="shared" si="120"/>
        <v/>
      </c>
    </row>
    <row r="6281" spans="1:1" x14ac:dyDescent="0.25">
      <c r="A6281" t="str">
        <f t="shared" si="120"/>
        <v/>
      </c>
    </row>
    <row r="6282" spans="1:1" x14ac:dyDescent="0.25">
      <c r="A6282" t="str">
        <f t="shared" si="120"/>
        <v/>
      </c>
    </row>
    <row r="6283" spans="1:1" x14ac:dyDescent="0.25">
      <c r="A6283" t="str">
        <f t="shared" si="120"/>
        <v/>
      </c>
    </row>
    <row r="6284" spans="1:1" x14ac:dyDescent="0.25">
      <c r="A6284" t="str">
        <f t="shared" si="120"/>
        <v/>
      </c>
    </row>
    <row r="6285" spans="1:1" x14ac:dyDescent="0.25">
      <c r="A6285" t="str">
        <f t="shared" si="120"/>
        <v/>
      </c>
    </row>
    <row r="6286" spans="1:1" x14ac:dyDescent="0.25">
      <c r="A6286" t="str">
        <f t="shared" si="120"/>
        <v/>
      </c>
    </row>
    <row r="6287" spans="1:1" x14ac:dyDescent="0.25">
      <c r="A6287" t="str">
        <f t="shared" si="120"/>
        <v/>
      </c>
    </row>
    <row r="6288" spans="1:1" x14ac:dyDescent="0.25">
      <c r="A6288" t="str">
        <f t="shared" si="120"/>
        <v/>
      </c>
    </row>
    <row r="6289" spans="1:1" x14ac:dyDescent="0.25">
      <c r="A6289" t="str">
        <f t="shared" si="120"/>
        <v/>
      </c>
    </row>
    <row r="6290" spans="1:1" x14ac:dyDescent="0.25">
      <c r="A6290" t="str">
        <f t="shared" si="120"/>
        <v/>
      </c>
    </row>
    <row r="6291" spans="1:1" x14ac:dyDescent="0.25">
      <c r="A6291" t="str">
        <f t="shared" si="120"/>
        <v/>
      </c>
    </row>
    <row r="6292" spans="1:1" x14ac:dyDescent="0.25">
      <c r="A6292" t="str">
        <f t="shared" si="120"/>
        <v/>
      </c>
    </row>
    <row r="6293" spans="1:1" x14ac:dyDescent="0.25">
      <c r="A6293" t="str">
        <f t="shared" si="120"/>
        <v/>
      </c>
    </row>
    <row r="6294" spans="1:1" x14ac:dyDescent="0.25">
      <c r="A6294" t="str">
        <f t="shared" si="120"/>
        <v/>
      </c>
    </row>
    <row r="6295" spans="1:1" x14ac:dyDescent="0.25">
      <c r="A6295" t="str">
        <f t="shared" si="120"/>
        <v/>
      </c>
    </row>
    <row r="6296" spans="1:1" x14ac:dyDescent="0.25">
      <c r="A6296" t="str">
        <f t="shared" si="120"/>
        <v/>
      </c>
    </row>
    <row r="6297" spans="1:1" x14ac:dyDescent="0.25">
      <c r="A6297" t="str">
        <f t="shared" si="120"/>
        <v/>
      </c>
    </row>
    <row r="6298" spans="1:1" x14ac:dyDescent="0.25">
      <c r="A6298" t="str">
        <f t="shared" si="120"/>
        <v/>
      </c>
    </row>
    <row r="6299" spans="1:1" x14ac:dyDescent="0.25">
      <c r="A6299" t="str">
        <f t="shared" si="120"/>
        <v/>
      </c>
    </row>
    <row r="6300" spans="1:1" x14ac:dyDescent="0.25">
      <c r="A6300" t="str">
        <f t="shared" si="120"/>
        <v/>
      </c>
    </row>
    <row r="6301" spans="1:1" x14ac:dyDescent="0.25">
      <c r="A6301" t="str">
        <f t="shared" si="120"/>
        <v/>
      </c>
    </row>
    <row r="6302" spans="1:1" x14ac:dyDescent="0.25">
      <c r="A6302" t="str">
        <f t="shared" si="120"/>
        <v/>
      </c>
    </row>
    <row r="6303" spans="1:1" x14ac:dyDescent="0.25">
      <c r="A6303" t="str">
        <f t="shared" si="120"/>
        <v/>
      </c>
    </row>
    <row r="6304" spans="1:1" x14ac:dyDescent="0.25">
      <c r="A6304" t="str">
        <f t="shared" si="120"/>
        <v/>
      </c>
    </row>
    <row r="6305" spans="1:1" x14ac:dyDescent="0.25">
      <c r="A6305" t="str">
        <f t="shared" si="120"/>
        <v/>
      </c>
    </row>
    <row r="6306" spans="1:1" x14ac:dyDescent="0.25">
      <c r="A6306" t="str">
        <f t="shared" si="120"/>
        <v/>
      </c>
    </row>
    <row r="6307" spans="1:1" x14ac:dyDescent="0.25">
      <c r="A6307" t="str">
        <f t="shared" si="120"/>
        <v/>
      </c>
    </row>
    <row r="6308" spans="1:1" x14ac:dyDescent="0.25">
      <c r="A6308" t="str">
        <f t="shared" si="120"/>
        <v/>
      </c>
    </row>
    <row r="6309" spans="1:1" x14ac:dyDescent="0.25">
      <c r="A6309" t="str">
        <f t="shared" si="120"/>
        <v/>
      </c>
    </row>
    <row r="6310" spans="1:1" x14ac:dyDescent="0.25">
      <c r="A6310" t="str">
        <f t="shared" si="120"/>
        <v/>
      </c>
    </row>
    <row r="6311" spans="1:1" x14ac:dyDescent="0.25">
      <c r="A6311" t="str">
        <f t="shared" si="120"/>
        <v/>
      </c>
    </row>
    <row r="6312" spans="1:1" x14ac:dyDescent="0.25">
      <c r="A6312" t="str">
        <f t="shared" si="120"/>
        <v/>
      </c>
    </row>
    <row r="6313" spans="1:1" x14ac:dyDescent="0.25">
      <c r="A6313" t="str">
        <f t="shared" si="120"/>
        <v/>
      </c>
    </row>
    <row r="6314" spans="1:1" x14ac:dyDescent="0.25">
      <c r="A6314" t="str">
        <f t="shared" si="120"/>
        <v/>
      </c>
    </row>
    <row r="6315" spans="1:1" x14ac:dyDescent="0.25">
      <c r="A6315" t="str">
        <f t="shared" si="120"/>
        <v/>
      </c>
    </row>
    <row r="6316" spans="1:1" x14ac:dyDescent="0.25">
      <c r="A6316" t="str">
        <f t="shared" si="120"/>
        <v/>
      </c>
    </row>
    <row r="6317" spans="1:1" x14ac:dyDescent="0.25">
      <c r="A6317" t="str">
        <f t="shared" si="120"/>
        <v/>
      </c>
    </row>
    <row r="6318" spans="1:1" x14ac:dyDescent="0.25">
      <c r="A6318" t="str">
        <f t="shared" si="120"/>
        <v/>
      </c>
    </row>
    <row r="6319" spans="1:1" x14ac:dyDescent="0.25">
      <c r="A6319" t="str">
        <f t="shared" si="120"/>
        <v/>
      </c>
    </row>
    <row r="6320" spans="1:1" x14ac:dyDescent="0.25">
      <c r="A6320" t="str">
        <f t="shared" si="120"/>
        <v/>
      </c>
    </row>
    <row r="6321" spans="1:1" x14ac:dyDescent="0.25">
      <c r="A6321" t="str">
        <f t="shared" si="120"/>
        <v/>
      </c>
    </row>
    <row r="6322" spans="1:1" x14ac:dyDescent="0.25">
      <c r="A6322" t="str">
        <f t="shared" si="120"/>
        <v/>
      </c>
    </row>
    <row r="6323" spans="1:1" x14ac:dyDescent="0.25">
      <c r="A6323" t="str">
        <f t="shared" si="120"/>
        <v/>
      </c>
    </row>
    <row r="6324" spans="1:1" x14ac:dyDescent="0.25">
      <c r="A6324" t="str">
        <f t="shared" si="120"/>
        <v/>
      </c>
    </row>
    <row r="6325" spans="1:1" x14ac:dyDescent="0.25">
      <c r="A6325" t="str">
        <f t="shared" si="120"/>
        <v/>
      </c>
    </row>
    <row r="6326" spans="1:1" x14ac:dyDescent="0.25">
      <c r="A6326" t="str">
        <f t="shared" si="120"/>
        <v/>
      </c>
    </row>
    <row r="6327" spans="1:1" x14ac:dyDescent="0.25">
      <c r="A6327" t="str">
        <f t="shared" si="120"/>
        <v/>
      </c>
    </row>
    <row r="6328" spans="1:1" x14ac:dyDescent="0.25">
      <c r="A6328" t="str">
        <f t="shared" si="120"/>
        <v/>
      </c>
    </row>
    <row r="6329" spans="1:1" x14ac:dyDescent="0.25">
      <c r="A6329" t="str">
        <f t="shared" si="120"/>
        <v/>
      </c>
    </row>
    <row r="6330" spans="1:1" x14ac:dyDescent="0.25">
      <c r="A6330" t="str">
        <f t="shared" si="120"/>
        <v/>
      </c>
    </row>
    <row r="6331" spans="1:1" x14ac:dyDescent="0.25">
      <c r="A6331" t="str">
        <f t="shared" si="120"/>
        <v/>
      </c>
    </row>
    <row r="6332" spans="1:1" x14ac:dyDescent="0.25">
      <c r="A6332" t="str">
        <f t="shared" si="120"/>
        <v/>
      </c>
    </row>
    <row r="6333" spans="1:1" x14ac:dyDescent="0.25">
      <c r="A6333" t="str">
        <f t="shared" si="120"/>
        <v/>
      </c>
    </row>
    <row r="6334" spans="1:1" x14ac:dyDescent="0.25">
      <c r="A6334" t="str">
        <f t="shared" si="120"/>
        <v/>
      </c>
    </row>
    <row r="6335" spans="1:1" x14ac:dyDescent="0.25">
      <c r="A6335" t="str">
        <f t="shared" si="120"/>
        <v/>
      </c>
    </row>
    <row r="6336" spans="1:1" x14ac:dyDescent="0.25">
      <c r="A6336" t="str">
        <f t="shared" si="120"/>
        <v/>
      </c>
    </row>
    <row r="6337" spans="1:1" x14ac:dyDescent="0.25">
      <c r="A6337" t="str">
        <f t="shared" ref="A6337:A6400" si="121">E6337&amp;C6337&amp;D6337</f>
        <v/>
      </c>
    </row>
    <row r="6338" spans="1:1" x14ac:dyDescent="0.25">
      <c r="A6338" t="str">
        <f t="shared" si="121"/>
        <v/>
      </c>
    </row>
    <row r="6339" spans="1:1" x14ac:dyDescent="0.25">
      <c r="A6339" t="str">
        <f t="shared" si="121"/>
        <v/>
      </c>
    </row>
    <row r="6340" spans="1:1" x14ac:dyDescent="0.25">
      <c r="A6340" t="str">
        <f t="shared" si="121"/>
        <v/>
      </c>
    </row>
    <row r="6341" spans="1:1" x14ac:dyDescent="0.25">
      <c r="A6341" t="str">
        <f t="shared" si="121"/>
        <v/>
      </c>
    </row>
    <row r="6342" spans="1:1" x14ac:dyDescent="0.25">
      <c r="A6342" t="str">
        <f t="shared" si="121"/>
        <v/>
      </c>
    </row>
    <row r="6343" spans="1:1" x14ac:dyDescent="0.25">
      <c r="A6343" t="str">
        <f t="shared" si="121"/>
        <v/>
      </c>
    </row>
    <row r="6344" spans="1:1" x14ac:dyDescent="0.25">
      <c r="A6344" t="str">
        <f t="shared" si="121"/>
        <v/>
      </c>
    </row>
    <row r="6345" spans="1:1" x14ac:dyDescent="0.25">
      <c r="A6345" t="str">
        <f t="shared" si="121"/>
        <v/>
      </c>
    </row>
    <row r="6346" spans="1:1" x14ac:dyDescent="0.25">
      <c r="A6346" t="str">
        <f t="shared" si="121"/>
        <v/>
      </c>
    </row>
    <row r="6347" spans="1:1" x14ac:dyDescent="0.25">
      <c r="A6347" t="str">
        <f t="shared" si="121"/>
        <v/>
      </c>
    </row>
    <row r="6348" spans="1:1" x14ac:dyDescent="0.25">
      <c r="A6348" t="str">
        <f t="shared" si="121"/>
        <v/>
      </c>
    </row>
    <row r="6349" spans="1:1" x14ac:dyDescent="0.25">
      <c r="A6349" t="str">
        <f t="shared" si="121"/>
        <v/>
      </c>
    </row>
    <row r="6350" spans="1:1" x14ac:dyDescent="0.25">
      <c r="A6350" t="str">
        <f t="shared" si="121"/>
        <v/>
      </c>
    </row>
    <row r="6351" spans="1:1" x14ac:dyDescent="0.25">
      <c r="A6351" t="str">
        <f t="shared" si="121"/>
        <v/>
      </c>
    </row>
    <row r="6352" spans="1:1" x14ac:dyDescent="0.25">
      <c r="A6352" t="str">
        <f t="shared" si="121"/>
        <v/>
      </c>
    </row>
    <row r="6353" spans="1:1" x14ac:dyDescent="0.25">
      <c r="A6353" t="str">
        <f t="shared" si="121"/>
        <v/>
      </c>
    </row>
    <row r="6354" spans="1:1" x14ac:dyDescent="0.25">
      <c r="A6354" t="str">
        <f t="shared" si="121"/>
        <v/>
      </c>
    </row>
    <row r="6355" spans="1:1" x14ac:dyDescent="0.25">
      <c r="A6355" t="str">
        <f t="shared" si="121"/>
        <v/>
      </c>
    </row>
    <row r="6356" spans="1:1" x14ac:dyDescent="0.25">
      <c r="A6356" t="str">
        <f t="shared" si="121"/>
        <v/>
      </c>
    </row>
    <row r="6357" spans="1:1" x14ac:dyDescent="0.25">
      <c r="A6357" t="str">
        <f t="shared" si="121"/>
        <v/>
      </c>
    </row>
    <row r="6358" spans="1:1" x14ac:dyDescent="0.25">
      <c r="A6358" t="str">
        <f t="shared" si="121"/>
        <v/>
      </c>
    </row>
    <row r="6359" spans="1:1" x14ac:dyDescent="0.25">
      <c r="A6359" t="str">
        <f t="shared" si="121"/>
        <v/>
      </c>
    </row>
    <row r="6360" spans="1:1" x14ac:dyDescent="0.25">
      <c r="A6360" t="str">
        <f t="shared" si="121"/>
        <v/>
      </c>
    </row>
    <row r="6361" spans="1:1" x14ac:dyDescent="0.25">
      <c r="A6361" t="str">
        <f t="shared" si="121"/>
        <v/>
      </c>
    </row>
    <row r="6362" spans="1:1" x14ac:dyDescent="0.25">
      <c r="A6362" t="str">
        <f t="shared" si="121"/>
        <v/>
      </c>
    </row>
    <row r="6363" spans="1:1" x14ac:dyDescent="0.25">
      <c r="A6363" t="str">
        <f t="shared" si="121"/>
        <v/>
      </c>
    </row>
    <row r="6364" spans="1:1" x14ac:dyDescent="0.25">
      <c r="A6364" t="str">
        <f t="shared" si="121"/>
        <v/>
      </c>
    </row>
    <row r="6365" spans="1:1" x14ac:dyDescent="0.25">
      <c r="A6365" t="str">
        <f t="shared" si="121"/>
        <v/>
      </c>
    </row>
    <row r="6366" spans="1:1" x14ac:dyDescent="0.25">
      <c r="A6366" t="str">
        <f t="shared" si="121"/>
        <v/>
      </c>
    </row>
    <row r="6367" spans="1:1" x14ac:dyDescent="0.25">
      <c r="A6367" t="str">
        <f t="shared" si="121"/>
        <v/>
      </c>
    </row>
    <row r="6368" spans="1:1" x14ac:dyDescent="0.25">
      <c r="A6368" t="str">
        <f t="shared" si="121"/>
        <v/>
      </c>
    </row>
    <row r="6369" spans="1:1" x14ac:dyDescent="0.25">
      <c r="A6369" t="str">
        <f t="shared" si="121"/>
        <v/>
      </c>
    </row>
    <row r="6370" spans="1:1" x14ac:dyDescent="0.25">
      <c r="A6370" t="str">
        <f t="shared" si="121"/>
        <v/>
      </c>
    </row>
    <row r="6371" spans="1:1" x14ac:dyDescent="0.25">
      <c r="A6371" t="str">
        <f t="shared" si="121"/>
        <v/>
      </c>
    </row>
    <row r="6372" spans="1:1" x14ac:dyDescent="0.25">
      <c r="A6372" t="str">
        <f t="shared" si="121"/>
        <v/>
      </c>
    </row>
    <row r="6373" spans="1:1" x14ac:dyDescent="0.25">
      <c r="A6373" t="str">
        <f t="shared" si="121"/>
        <v/>
      </c>
    </row>
    <row r="6374" spans="1:1" x14ac:dyDescent="0.25">
      <c r="A6374" t="str">
        <f t="shared" si="121"/>
        <v/>
      </c>
    </row>
    <row r="6375" spans="1:1" x14ac:dyDescent="0.25">
      <c r="A6375" t="str">
        <f t="shared" si="121"/>
        <v/>
      </c>
    </row>
    <row r="6376" spans="1:1" x14ac:dyDescent="0.25">
      <c r="A6376" t="str">
        <f t="shared" si="121"/>
        <v/>
      </c>
    </row>
    <row r="6377" spans="1:1" x14ac:dyDescent="0.25">
      <c r="A6377" t="str">
        <f t="shared" si="121"/>
        <v/>
      </c>
    </row>
    <row r="6378" spans="1:1" x14ac:dyDescent="0.25">
      <c r="A6378" t="str">
        <f t="shared" si="121"/>
        <v/>
      </c>
    </row>
    <row r="6379" spans="1:1" x14ac:dyDescent="0.25">
      <c r="A6379" t="str">
        <f t="shared" si="121"/>
        <v/>
      </c>
    </row>
    <row r="6380" spans="1:1" x14ac:dyDescent="0.25">
      <c r="A6380" t="str">
        <f t="shared" si="121"/>
        <v/>
      </c>
    </row>
    <row r="6381" spans="1:1" x14ac:dyDescent="0.25">
      <c r="A6381" t="str">
        <f t="shared" si="121"/>
        <v/>
      </c>
    </row>
    <row r="6382" spans="1:1" x14ac:dyDescent="0.25">
      <c r="A6382" t="str">
        <f t="shared" si="121"/>
        <v/>
      </c>
    </row>
    <row r="6383" spans="1:1" x14ac:dyDescent="0.25">
      <c r="A6383" t="str">
        <f t="shared" si="121"/>
        <v/>
      </c>
    </row>
    <row r="6384" spans="1:1" x14ac:dyDescent="0.25">
      <c r="A6384" t="str">
        <f t="shared" si="121"/>
        <v/>
      </c>
    </row>
    <row r="6385" spans="1:1" x14ac:dyDescent="0.25">
      <c r="A6385" t="str">
        <f t="shared" si="121"/>
        <v/>
      </c>
    </row>
    <row r="6386" spans="1:1" x14ac:dyDescent="0.25">
      <c r="A6386" t="str">
        <f t="shared" si="121"/>
        <v/>
      </c>
    </row>
    <row r="6387" spans="1:1" x14ac:dyDescent="0.25">
      <c r="A6387" t="str">
        <f t="shared" si="121"/>
        <v/>
      </c>
    </row>
    <row r="6388" spans="1:1" x14ac:dyDescent="0.25">
      <c r="A6388" t="str">
        <f t="shared" si="121"/>
        <v/>
      </c>
    </row>
    <row r="6389" spans="1:1" x14ac:dyDescent="0.25">
      <c r="A6389" t="str">
        <f t="shared" si="121"/>
        <v/>
      </c>
    </row>
    <row r="6390" spans="1:1" x14ac:dyDescent="0.25">
      <c r="A6390" t="str">
        <f t="shared" si="121"/>
        <v/>
      </c>
    </row>
    <row r="6391" spans="1:1" x14ac:dyDescent="0.25">
      <c r="A6391" t="str">
        <f t="shared" si="121"/>
        <v/>
      </c>
    </row>
    <row r="6392" spans="1:1" x14ac:dyDescent="0.25">
      <c r="A6392" t="str">
        <f t="shared" si="121"/>
        <v/>
      </c>
    </row>
    <row r="6393" spans="1:1" x14ac:dyDescent="0.25">
      <c r="A6393" t="str">
        <f t="shared" si="121"/>
        <v/>
      </c>
    </row>
    <row r="6394" spans="1:1" x14ac:dyDescent="0.25">
      <c r="A6394" t="str">
        <f t="shared" si="121"/>
        <v/>
      </c>
    </row>
    <row r="6395" spans="1:1" x14ac:dyDescent="0.25">
      <c r="A6395" t="str">
        <f t="shared" si="121"/>
        <v/>
      </c>
    </row>
    <row r="6396" spans="1:1" x14ac:dyDescent="0.25">
      <c r="A6396" t="str">
        <f t="shared" si="121"/>
        <v/>
      </c>
    </row>
    <row r="6397" spans="1:1" x14ac:dyDescent="0.25">
      <c r="A6397" t="str">
        <f t="shared" si="121"/>
        <v/>
      </c>
    </row>
    <row r="6398" spans="1:1" x14ac:dyDescent="0.25">
      <c r="A6398" t="str">
        <f t="shared" si="121"/>
        <v/>
      </c>
    </row>
    <row r="6399" spans="1:1" x14ac:dyDescent="0.25">
      <c r="A6399" t="str">
        <f t="shared" si="121"/>
        <v/>
      </c>
    </row>
    <row r="6400" spans="1:1" x14ac:dyDescent="0.25">
      <c r="A6400" t="str">
        <f t="shared" si="121"/>
        <v/>
      </c>
    </row>
    <row r="6401" spans="1:1" x14ac:dyDescent="0.25">
      <c r="A6401" t="str">
        <f t="shared" ref="A6401:A6464" si="122">E6401&amp;C6401&amp;D6401</f>
        <v/>
      </c>
    </row>
    <row r="6402" spans="1:1" x14ac:dyDescent="0.25">
      <c r="A6402" t="str">
        <f t="shared" si="122"/>
        <v/>
      </c>
    </row>
    <row r="6403" spans="1:1" x14ac:dyDescent="0.25">
      <c r="A6403" t="str">
        <f t="shared" si="122"/>
        <v/>
      </c>
    </row>
    <row r="6404" spans="1:1" x14ac:dyDescent="0.25">
      <c r="A6404" t="str">
        <f t="shared" si="122"/>
        <v/>
      </c>
    </row>
    <row r="6405" spans="1:1" x14ac:dyDescent="0.25">
      <c r="A6405" t="str">
        <f t="shared" si="122"/>
        <v/>
      </c>
    </row>
    <row r="6406" spans="1:1" x14ac:dyDescent="0.25">
      <c r="A6406" t="str">
        <f t="shared" si="122"/>
        <v/>
      </c>
    </row>
    <row r="6407" spans="1:1" x14ac:dyDescent="0.25">
      <c r="A6407" t="str">
        <f t="shared" si="122"/>
        <v/>
      </c>
    </row>
    <row r="6408" spans="1:1" x14ac:dyDescent="0.25">
      <c r="A6408" t="str">
        <f t="shared" si="122"/>
        <v/>
      </c>
    </row>
    <row r="6409" spans="1:1" x14ac:dyDescent="0.25">
      <c r="A6409" t="str">
        <f t="shared" si="122"/>
        <v/>
      </c>
    </row>
    <row r="6410" spans="1:1" x14ac:dyDescent="0.25">
      <c r="A6410" t="str">
        <f t="shared" si="122"/>
        <v/>
      </c>
    </row>
    <row r="6411" spans="1:1" x14ac:dyDescent="0.25">
      <c r="A6411" t="str">
        <f t="shared" si="122"/>
        <v/>
      </c>
    </row>
    <row r="6412" spans="1:1" x14ac:dyDescent="0.25">
      <c r="A6412" t="str">
        <f t="shared" si="122"/>
        <v/>
      </c>
    </row>
    <row r="6413" spans="1:1" x14ac:dyDescent="0.25">
      <c r="A6413" t="str">
        <f t="shared" si="122"/>
        <v/>
      </c>
    </row>
    <row r="6414" spans="1:1" x14ac:dyDescent="0.25">
      <c r="A6414" t="str">
        <f t="shared" si="122"/>
        <v/>
      </c>
    </row>
    <row r="6415" spans="1:1" x14ac:dyDescent="0.25">
      <c r="A6415" t="str">
        <f t="shared" si="122"/>
        <v/>
      </c>
    </row>
    <row r="6416" spans="1:1" x14ac:dyDescent="0.25">
      <c r="A6416" t="str">
        <f t="shared" si="122"/>
        <v/>
      </c>
    </row>
    <row r="6417" spans="1:1" x14ac:dyDescent="0.25">
      <c r="A6417" t="str">
        <f t="shared" si="122"/>
        <v/>
      </c>
    </row>
    <row r="6418" spans="1:1" x14ac:dyDescent="0.25">
      <c r="A6418" t="str">
        <f t="shared" si="122"/>
        <v/>
      </c>
    </row>
    <row r="6419" spans="1:1" x14ac:dyDescent="0.25">
      <c r="A6419" t="str">
        <f t="shared" si="122"/>
        <v/>
      </c>
    </row>
    <row r="6420" spans="1:1" x14ac:dyDescent="0.25">
      <c r="A6420" t="str">
        <f t="shared" si="122"/>
        <v/>
      </c>
    </row>
    <row r="6421" spans="1:1" x14ac:dyDescent="0.25">
      <c r="A6421" t="str">
        <f t="shared" si="122"/>
        <v/>
      </c>
    </row>
    <row r="6422" spans="1:1" x14ac:dyDescent="0.25">
      <c r="A6422" t="str">
        <f t="shared" si="122"/>
        <v/>
      </c>
    </row>
    <row r="6423" spans="1:1" x14ac:dyDescent="0.25">
      <c r="A6423" t="str">
        <f t="shared" si="122"/>
        <v/>
      </c>
    </row>
    <row r="6424" spans="1:1" x14ac:dyDescent="0.25">
      <c r="A6424" t="str">
        <f t="shared" si="122"/>
        <v/>
      </c>
    </row>
    <row r="6425" spans="1:1" x14ac:dyDescent="0.25">
      <c r="A6425" t="str">
        <f t="shared" si="122"/>
        <v/>
      </c>
    </row>
    <row r="6426" spans="1:1" x14ac:dyDescent="0.25">
      <c r="A6426" t="str">
        <f t="shared" si="122"/>
        <v/>
      </c>
    </row>
    <row r="6427" spans="1:1" x14ac:dyDescent="0.25">
      <c r="A6427" t="str">
        <f t="shared" si="122"/>
        <v/>
      </c>
    </row>
    <row r="6428" spans="1:1" x14ac:dyDescent="0.25">
      <c r="A6428" t="str">
        <f t="shared" si="122"/>
        <v/>
      </c>
    </row>
    <row r="6429" spans="1:1" x14ac:dyDescent="0.25">
      <c r="A6429" t="str">
        <f t="shared" si="122"/>
        <v/>
      </c>
    </row>
    <row r="6430" spans="1:1" x14ac:dyDescent="0.25">
      <c r="A6430" t="str">
        <f t="shared" si="122"/>
        <v/>
      </c>
    </row>
    <row r="6431" spans="1:1" x14ac:dyDescent="0.25">
      <c r="A6431" t="str">
        <f t="shared" si="122"/>
        <v/>
      </c>
    </row>
    <row r="6432" spans="1:1" x14ac:dyDescent="0.25">
      <c r="A6432" t="str">
        <f t="shared" si="122"/>
        <v/>
      </c>
    </row>
    <row r="6433" spans="1:1" x14ac:dyDescent="0.25">
      <c r="A6433" t="str">
        <f t="shared" si="122"/>
        <v/>
      </c>
    </row>
    <row r="6434" spans="1:1" x14ac:dyDescent="0.25">
      <c r="A6434" t="str">
        <f t="shared" si="122"/>
        <v/>
      </c>
    </row>
    <row r="6435" spans="1:1" x14ac:dyDescent="0.25">
      <c r="A6435" t="str">
        <f t="shared" si="122"/>
        <v/>
      </c>
    </row>
    <row r="6436" spans="1:1" x14ac:dyDescent="0.25">
      <c r="A6436" t="str">
        <f t="shared" si="122"/>
        <v/>
      </c>
    </row>
    <row r="6437" spans="1:1" x14ac:dyDescent="0.25">
      <c r="A6437" t="str">
        <f t="shared" si="122"/>
        <v/>
      </c>
    </row>
    <row r="6438" spans="1:1" x14ac:dyDescent="0.25">
      <c r="A6438" t="str">
        <f t="shared" si="122"/>
        <v/>
      </c>
    </row>
    <row r="6439" spans="1:1" x14ac:dyDescent="0.25">
      <c r="A6439" t="str">
        <f t="shared" si="122"/>
        <v/>
      </c>
    </row>
    <row r="6440" spans="1:1" x14ac:dyDescent="0.25">
      <c r="A6440" t="str">
        <f t="shared" si="122"/>
        <v/>
      </c>
    </row>
    <row r="6441" spans="1:1" x14ac:dyDescent="0.25">
      <c r="A6441" t="str">
        <f t="shared" si="122"/>
        <v/>
      </c>
    </row>
    <row r="6442" spans="1:1" x14ac:dyDescent="0.25">
      <c r="A6442" t="str">
        <f t="shared" si="122"/>
        <v/>
      </c>
    </row>
    <row r="6443" spans="1:1" x14ac:dyDescent="0.25">
      <c r="A6443" t="str">
        <f t="shared" si="122"/>
        <v/>
      </c>
    </row>
    <row r="6444" spans="1:1" x14ac:dyDescent="0.25">
      <c r="A6444" t="str">
        <f t="shared" si="122"/>
        <v/>
      </c>
    </row>
    <row r="6445" spans="1:1" x14ac:dyDescent="0.25">
      <c r="A6445" t="str">
        <f t="shared" si="122"/>
        <v/>
      </c>
    </row>
    <row r="6446" spans="1:1" x14ac:dyDescent="0.25">
      <c r="A6446" t="str">
        <f t="shared" si="122"/>
        <v/>
      </c>
    </row>
    <row r="6447" spans="1:1" x14ac:dyDescent="0.25">
      <c r="A6447" t="str">
        <f t="shared" si="122"/>
        <v/>
      </c>
    </row>
    <row r="6448" spans="1:1" x14ac:dyDescent="0.25">
      <c r="A6448" t="str">
        <f t="shared" si="122"/>
        <v/>
      </c>
    </row>
    <row r="6449" spans="1:1" x14ac:dyDescent="0.25">
      <c r="A6449" t="str">
        <f t="shared" si="122"/>
        <v/>
      </c>
    </row>
    <row r="6450" spans="1:1" x14ac:dyDescent="0.25">
      <c r="A6450" t="str">
        <f t="shared" si="122"/>
        <v/>
      </c>
    </row>
    <row r="6451" spans="1:1" x14ac:dyDescent="0.25">
      <c r="A6451" t="str">
        <f t="shared" si="122"/>
        <v/>
      </c>
    </row>
    <row r="6452" spans="1:1" x14ac:dyDescent="0.25">
      <c r="A6452" t="str">
        <f t="shared" si="122"/>
        <v/>
      </c>
    </row>
    <row r="6453" spans="1:1" x14ac:dyDescent="0.25">
      <c r="A6453" t="str">
        <f t="shared" si="122"/>
        <v/>
      </c>
    </row>
    <row r="6454" spans="1:1" x14ac:dyDescent="0.25">
      <c r="A6454" t="str">
        <f t="shared" si="122"/>
        <v/>
      </c>
    </row>
    <row r="6455" spans="1:1" x14ac:dyDescent="0.25">
      <c r="A6455" t="str">
        <f t="shared" si="122"/>
        <v/>
      </c>
    </row>
    <row r="6456" spans="1:1" x14ac:dyDescent="0.25">
      <c r="A6456" t="str">
        <f t="shared" si="122"/>
        <v/>
      </c>
    </row>
    <row r="6457" spans="1:1" x14ac:dyDescent="0.25">
      <c r="A6457" t="str">
        <f t="shared" si="122"/>
        <v/>
      </c>
    </row>
    <row r="6458" spans="1:1" x14ac:dyDescent="0.25">
      <c r="A6458" t="str">
        <f t="shared" si="122"/>
        <v/>
      </c>
    </row>
    <row r="6459" spans="1:1" x14ac:dyDescent="0.25">
      <c r="A6459" t="str">
        <f t="shared" si="122"/>
        <v/>
      </c>
    </row>
    <row r="6460" spans="1:1" x14ac:dyDescent="0.25">
      <c r="A6460" t="str">
        <f t="shared" si="122"/>
        <v/>
      </c>
    </row>
    <row r="6461" spans="1:1" x14ac:dyDescent="0.25">
      <c r="A6461" t="str">
        <f t="shared" si="122"/>
        <v/>
      </c>
    </row>
    <row r="6462" spans="1:1" x14ac:dyDescent="0.25">
      <c r="A6462" t="str">
        <f t="shared" si="122"/>
        <v/>
      </c>
    </row>
    <row r="6463" spans="1:1" x14ac:dyDescent="0.25">
      <c r="A6463" t="str">
        <f t="shared" si="122"/>
        <v/>
      </c>
    </row>
    <row r="6464" spans="1:1" x14ac:dyDescent="0.25">
      <c r="A6464" t="str">
        <f t="shared" si="122"/>
        <v/>
      </c>
    </row>
    <row r="6465" spans="1:1" x14ac:dyDescent="0.25">
      <c r="A6465" t="str">
        <f t="shared" ref="A6465:A6528" si="123">E6465&amp;C6465&amp;D6465</f>
        <v/>
      </c>
    </row>
    <row r="6466" spans="1:1" x14ac:dyDescent="0.25">
      <c r="A6466" t="str">
        <f t="shared" si="123"/>
        <v/>
      </c>
    </row>
    <row r="6467" spans="1:1" x14ac:dyDescent="0.25">
      <c r="A6467" t="str">
        <f t="shared" si="123"/>
        <v/>
      </c>
    </row>
    <row r="6468" spans="1:1" x14ac:dyDescent="0.25">
      <c r="A6468" t="str">
        <f t="shared" si="123"/>
        <v/>
      </c>
    </row>
    <row r="6469" spans="1:1" x14ac:dyDescent="0.25">
      <c r="A6469" t="str">
        <f t="shared" si="123"/>
        <v/>
      </c>
    </row>
    <row r="6470" spans="1:1" x14ac:dyDescent="0.25">
      <c r="A6470" t="str">
        <f t="shared" si="123"/>
        <v/>
      </c>
    </row>
    <row r="6471" spans="1:1" x14ac:dyDescent="0.25">
      <c r="A6471" t="str">
        <f t="shared" si="123"/>
        <v/>
      </c>
    </row>
    <row r="6472" spans="1:1" x14ac:dyDescent="0.25">
      <c r="A6472" t="str">
        <f t="shared" si="123"/>
        <v/>
      </c>
    </row>
    <row r="6473" spans="1:1" x14ac:dyDescent="0.25">
      <c r="A6473" t="str">
        <f t="shared" si="123"/>
        <v/>
      </c>
    </row>
    <row r="6474" spans="1:1" x14ac:dyDescent="0.25">
      <c r="A6474" t="str">
        <f t="shared" si="123"/>
        <v/>
      </c>
    </row>
    <row r="6475" spans="1:1" x14ac:dyDescent="0.25">
      <c r="A6475" t="str">
        <f t="shared" si="123"/>
        <v/>
      </c>
    </row>
    <row r="6476" spans="1:1" x14ac:dyDescent="0.25">
      <c r="A6476" t="str">
        <f t="shared" si="123"/>
        <v/>
      </c>
    </row>
    <row r="6477" spans="1:1" x14ac:dyDescent="0.25">
      <c r="A6477" t="str">
        <f t="shared" si="123"/>
        <v/>
      </c>
    </row>
    <row r="6478" spans="1:1" x14ac:dyDescent="0.25">
      <c r="A6478" t="str">
        <f t="shared" si="123"/>
        <v/>
      </c>
    </row>
    <row r="6479" spans="1:1" x14ac:dyDescent="0.25">
      <c r="A6479" t="str">
        <f t="shared" si="123"/>
        <v/>
      </c>
    </row>
    <row r="6480" spans="1:1" x14ac:dyDescent="0.25">
      <c r="A6480" t="str">
        <f t="shared" si="123"/>
        <v/>
      </c>
    </row>
    <row r="6481" spans="1:1" x14ac:dyDescent="0.25">
      <c r="A6481" t="str">
        <f t="shared" si="123"/>
        <v/>
      </c>
    </row>
    <row r="6482" spans="1:1" x14ac:dyDescent="0.25">
      <c r="A6482" t="str">
        <f t="shared" si="123"/>
        <v/>
      </c>
    </row>
    <row r="6483" spans="1:1" x14ac:dyDescent="0.25">
      <c r="A6483" t="str">
        <f t="shared" si="123"/>
        <v/>
      </c>
    </row>
    <row r="6484" spans="1:1" x14ac:dyDescent="0.25">
      <c r="A6484" t="str">
        <f t="shared" si="123"/>
        <v/>
      </c>
    </row>
    <row r="6485" spans="1:1" x14ac:dyDescent="0.25">
      <c r="A6485" t="str">
        <f t="shared" si="123"/>
        <v/>
      </c>
    </row>
    <row r="6486" spans="1:1" x14ac:dyDescent="0.25">
      <c r="A6486" t="str">
        <f t="shared" si="123"/>
        <v/>
      </c>
    </row>
    <row r="6487" spans="1:1" x14ac:dyDescent="0.25">
      <c r="A6487" t="str">
        <f t="shared" si="123"/>
        <v/>
      </c>
    </row>
    <row r="6488" spans="1:1" x14ac:dyDescent="0.25">
      <c r="A6488" t="str">
        <f t="shared" si="123"/>
        <v/>
      </c>
    </row>
    <row r="6489" spans="1:1" x14ac:dyDescent="0.25">
      <c r="A6489" t="str">
        <f t="shared" si="123"/>
        <v/>
      </c>
    </row>
    <row r="6490" spans="1:1" x14ac:dyDescent="0.25">
      <c r="A6490" t="str">
        <f t="shared" si="123"/>
        <v/>
      </c>
    </row>
    <row r="6491" spans="1:1" x14ac:dyDescent="0.25">
      <c r="A6491" t="str">
        <f t="shared" si="123"/>
        <v/>
      </c>
    </row>
    <row r="6492" spans="1:1" x14ac:dyDescent="0.25">
      <c r="A6492" t="str">
        <f t="shared" si="123"/>
        <v/>
      </c>
    </row>
    <row r="6493" spans="1:1" x14ac:dyDescent="0.25">
      <c r="A6493" t="str">
        <f t="shared" si="123"/>
        <v/>
      </c>
    </row>
    <row r="6494" spans="1:1" x14ac:dyDescent="0.25">
      <c r="A6494" t="str">
        <f t="shared" si="123"/>
        <v/>
      </c>
    </row>
    <row r="6495" spans="1:1" x14ac:dyDescent="0.25">
      <c r="A6495" t="str">
        <f t="shared" si="123"/>
        <v/>
      </c>
    </row>
    <row r="6496" spans="1:1" x14ac:dyDescent="0.25">
      <c r="A6496" t="str">
        <f t="shared" si="123"/>
        <v/>
      </c>
    </row>
    <row r="6497" spans="1:1" x14ac:dyDescent="0.25">
      <c r="A6497" t="str">
        <f t="shared" si="123"/>
        <v/>
      </c>
    </row>
    <row r="6498" spans="1:1" x14ac:dyDescent="0.25">
      <c r="A6498" t="str">
        <f t="shared" si="123"/>
        <v/>
      </c>
    </row>
    <row r="6499" spans="1:1" x14ac:dyDescent="0.25">
      <c r="A6499" t="str">
        <f t="shared" si="123"/>
        <v/>
      </c>
    </row>
    <row r="6500" spans="1:1" x14ac:dyDescent="0.25">
      <c r="A6500" t="str">
        <f t="shared" si="123"/>
        <v/>
      </c>
    </row>
    <row r="6501" spans="1:1" x14ac:dyDescent="0.25">
      <c r="A6501" t="str">
        <f t="shared" si="123"/>
        <v/>
      </c>
    </row>
    <row r="6502" spans="1:1" x14ac:dyDescent="0.25">
      <c r="A6502" t="str">
        <f t="shared" si="123"/>
        <v/>
      </c>
    </row>
    <row r="6503" spans="1:1" x14ac:dyDescent="0.25">
      <c r="A6503" t="str">
        <f t="shared" si="123"/>
        <v/>
      </c>
    </row>
    <row r="6504" spans="1:1" x14ac:dyDescent="0.25">
      <c r="A6504" t="str">
        <f t="shared" si="123"/>
        <v/>
      </c>
    </row>
    <row r="6505" spans="1:1" x14ac:dyDescent="0.25">
      <c r="A6505" t="str">
        <f t="shared" si="123"/>
        <v/>
      </c>
    </row>
    <row r="6506" spans="1:1" x14ac:dyDescent="0.25">
      <c r="A6506" t="str">
        <f t="shared" si="123"/>
        <v/>
      </c>
    </row>
    <row r="6507" spans="1:1" x14ac:dyDescent="0.25">
      <c r="A6507" t="str">
        <f t="shared" si="123"/>
        <v/>
      </c>
    </row>
    <row r="6508" spans="1:1" x14ac:dyDescent="0.25">
      <c r="A6508" t="str">
        <f t="shared" si="123"/>
        <v/>
      </c>
    </row>
    <row r="6509" spans="1:1" x14ac:dyDescent="0.25">
      <c r="A6509" t="str">
        <f t="shared" si="123"/>
        <v/>
      </c>
    </row>
    <row r="6510" spans="1:1" x14ac:dyDescent="0.25">
      <c r="A6510" t="str">
        <f t="shared" si="123"/>
        <v/>
      </c>
    </row>
    <row r="6511" spans="1:1" x14ac:dyDescent="0.25">
      <c r="A6511" t="str">
        <f t="shared" si="123"/>
        <v/>
      </c>
    </row>
    <row r="6512" spans="1:1" x14ac:dyDescent="0.25">
      <c r="A6512" t="str">
        <f t="shared" si="123"/>
        <v/>
      </c>
    </row>
    <row r="6513" spans="1:1" x14ac:dyDescent="0.25">
      <c r="A6513" t="str">
        <f t="shared" si="123"/>
        <v/>
      </c>
    </row>
    <row r="6514" spans="1:1" x14ac:dyDescent="0.25">
      <c r="A6514" t="str">
        <f t="shared" si="123"/>
        <v/>
      </c>
    </row>
    <row r="6515" spans="1:1" x14ac:dyDescent="0.25">
      <c r="A6515" t="str">
        <f t="shared" si="123"/>
        <v/>
      </c>
    </row>
    <row r="6516" spans="1:1" x14ac:dyDescent="0.25">
      <c r="A6516" t="str">
        <f t="shared" si="123"/>
        <v/>
      </c>
    </row>
    <row r="6517" spans="1:1" x14ac:dyDescent="0.25">
      <c r="A6517" t="str">
        <f t="shared" si="123"/>
        <v/>
      </c>
    </row>
    <row r="6518" spans="1:1" x14ac:dyDescent="0.25">
      <c r="A6518" t="str">
        <f t="shared" si="123"/>
        <v/>
      </c>
    </row>
    <row r="6519" spans="1:1" x14ac:dyDescent="0.25">
      <c r="A6519" t="str">
        <f t="shared" si="123"/>
        <v/>
      </c>
    </row>
    <row r="6520" spans="1:1" x14ac:dyDescent="0.25">
      <c r="A6520" t="str">
        <f t="shared" si="123"/>
        <v/>
      </c>
    </row>
    <row r="6521" spans="1:1" x14ac:dyDescent="0.25">
      <c r="A6521" t="str">
        <f t="shared" si="123"/>
        <v/>
      </c>
    </row>
    <row r="6522" spans="1:1" x14ac:dyDescent="0.25">
      <c r="A6522" t="str">
        <f t="shared" si="123"/>
        <v/>
      </c>
    </row>
    <row r="6523" spans="1:1" x14ac:dyDescent="0.25">
      <c r="A6523" t="str">
        <f t="shared" si="123"/>
        <v/>
      </c>
    </row>
    <row r="6524" spans="1:1" x14ac:dyDescent="0.25">
      <c r="A6524" t="str">
        <f t="shared" si="123"/>
        <v/>
      </c>
    </row>
    <row r="6525" spans="1:1" x14ac:dyDescent="0.25">
      <c r="A6525" t="str">
        <f t="shared" si="123"/>
        <v/>
      </c>
    </row>
    <row r="6526" spans="1:1" x14ac:dyDescent="0.25">
      <c r="A6526" t="str">
        <f t="shared" si="123"/>
        <v/>
      </c>
    </row>
    <row r="6527" spans="1:1" x14ac:dyDescent="0.25">
      <c r="A6527" t="str">
        <f t="shared" si="123"/>
        <v/>
      </c>
    </row>
    <row r="6528" spans="1:1" x14ac:dyDescent="0.25">
      <c r="A6528" t="str">
        <f t="shared" si="123"/>
        <v/>
      </c>
    </row>
    <row r="6529" spans="1:1" x14ac:dyDescent="0.25">
      <c r="A6529" t="str">
        <f t="shared" ref="A6529:A6592" si="124">E6529&amp;C6529&amp;D6529</f>
        <v/>
      </c>
    </row>
    <row r="6530" spans="1:1" x14ac:dyDescent="0.25">
      <c r="A6530" t="str">
        <f t="shared" si="124"/>
        <v/>
      </c>
    </row>
    <row r="6531" spans="1:1" x14ac:dyDescent="0.25">
      <c r="A6531" t="str">
        <f t="shared" si="124"/>
        <v/>
      </c>
    </row>
    <row r="6532" spans="1:1" x14ac:dyDescent="0.25">
      <c r="A6532" t="str">
        <f t="shared" si="124"/>
        <v/>
      </c>
    </row>
    <row r="6533" spans="1:1" x14ac:dyDescent="0.25">
      <c r="A6533" t="str">
        <f t="shared" si="124"/>
        <v/>
      </c>
    </row>
    <row r="6534" spans="1:1" x14ac:dyDescent="0.25">
      <c r="A6534" t="str">
        <f t="shared" si="124"/>
        <v/>
      </c>
    </row>
    <row r="6535" spans="1:1" x14ac:dyDescent="0.25">
      <c r="A6535" t="str">
        <f t="shared" si="124"/>
        <v/>
      </c>
    </row>
    <row r="6536" spans="1:1" x14ac:dyDescent="0.25">
      <c r="A6536" t="str">
        <f t="shared" si="124"/>
        <v/>
      </c>
    </row>
    <row r="6537" spans="1:1" x14ac:dyDescent="0.25">
      <c r="A6537" t="str">
        <f t="shared" si="124"/>
        <v/>
      </c>
    </row>
    <row r="6538" spans="1:1" x14ac:dyDescent="0.25">
      <c r="A6538" t="str">
        <f t="shared" si="124"/>
        <v/>
      </c>
    </row>
    <row r="6539" spans="1:1" x14ac:dyDescent="0.25">
      <c r="A6539" t="str">
        <f t="shared" si="124"/>
        <v/>
      </c>
    </row>
    <row r="6540" spans="1:1" x14ac:dyDescent="0.25">
      <c r="A6540" t="str">
        <f t="shared" si="124"/>
        <v/>
      </c>
    </row>
    <row r="6541" spans="1:1" x14ac:dyDescent="0.25">
      <c r="A6541" t="str">
        <f t="shared" si="124"/>
        <v/>
      </c>
    </row>
    <row r="6542" spans="1:1" x14ac:dyDescent="0.25">
      <c r="A6542" t="str">
        <f t="shared" si="124"/>
        <v/>
      </c>
    </row>
    <row r="6543" spans="1:1" x14ac:dyDescent="0.25">
      <c r="A6543" t="str">
        <f t="shared" si="124"/>
        <v/>
      </c>
    </row>
    <row r="6544" spans="1:1" x14ac:dyDescent="0.25">
      <c r="A6544" t="str">
        <f t="shared" si="124"/>
        <v/>
      </c>
    </row>
    <row r="6545" spans="1:1" x14ac:dyDescent="0.25">
      <c r="A6545" t="str">
        <f t="shared" si="124"/>
        <v/>
      </c>
    </row>
    <row r="6546" spans="1:1" x14ac:dyDescent="0.25">
      <c r="A6546" t="str">
        <f t="shared" si="124"/>
        <v/>
      </c>
    </row>
    <row r="6547" spans="1:1" x14ac:dyDescent="0.25">
      <c r="A6547" t="str">
        <f t="shared" si="124"/>
        <v/>
      </c>
    </row>
    <row r="6548" spans="1:1" x14ac:dyDescent="0.25">
      <c r="A6548" t="str">
        <f t="shared" si="124"/>
        <v/>
      </c>
    </row>
    <row r="6549" spans="1:1" x14ac:dyDescent="0.25">
      <c r="A6549" t="str">
        <f t="shared" si="124"/>
        <v/>
      </c>
    </row>
    <row r="6550" spans="1:1" x14ac:dyDescent="0.25">
      <c r="A6550" t="str">
        <f t="shared" si="124"/>
        <v/>
      </c>
    </row>
    <row r="6551" spans="1:1" x14ac:dyDescent="0.25">
      <c r="A6551" t="str">
        <f t="shared" si="124"/>
        <v/>
      </c>
    </row>
    <row r="6552" spans="1:1" x14ac:dyDescent="0.25">
      <c r="A6552" t="str">
        <f t="shared" si="124"/>
        <v/>
      </c>
    </row>
    <row r="6553" spans="1:1" x14ac:dyDescent="0.25">
      <c r="A6553" t="str">
        <f t="shared" si="124"/>
        <v/>
      </c>
    </row>
    <row r="6554" spans="1:1" x14ac:dyDescent="0.25">
      <c r="A6554" t="str">
        <f t="shared" si="124"/>
        <v/>
      </c>
    </row>
    <row r="6555" spans="1:1" x14ac:dyDescent="0.25">
      <c r="A6555" t="str">
        <f t="shared" si="124"/>
        <v/>
      </c>
    </row>
    <row r="6556" spans="1:1" x14ac:dyDescent="0.25">
      <c r="A6556" t="str">
        <f t="shared" si="124"/>
        <v/>
      </c>
    </row>
    <row r="6557" spans="1:1" x14ac:dyDescent="0.25">
      <c r="A6557" t="str">
        <f t="shared" si="124"/>
        <v/>
      </c>
    </row>
    <row r="6558" spans="1:1" x14ac:dyDescent="0.25">
      <c r="A6558" t="str">
        <f t="shared" si="124"/>
        <v/>
      </c>
    </row>
    <row r="6559" spans="1:1" x14ac:dyDescent="0.25">
      <c r="A6559" t="str">
        <f t="shared" si="124"/>
        <v/>
      </c>
    </row>
    <row r="6560" spans="1:1" x14ac:dyDescent="0.25">
      <c r="A6560" t="str">
        <f t="shared" si="124"/>
        <v/>
      </c>
    </row>
    <row r="6561" spans="1:1" x14ac:dyDescent="0.25">
      <c r="A6561" t="str">
        <f t="shared" si="124"/>
        <v/>
      </c>
    </row>
    <row r="6562" spans="1:1" x14ac:dyDescent="0.25">
      <c r="A6562" t="str">
        <f t="shared" si="124"/>
        <v/>
      </c>
    </row>
    <row r="6563" spans="1:1" x14ac:dyDescent="0.25">
      <c r="A6563" t="str">
        <f t="shared" si="124"/>
        <v/>
      </c>
    </row>
    <row r="6564" spans="1:1" x14ac:dyDescent="0.25">
      <c r="A6564" t="str">
        <f t="shared" si="124"/>
        <v/>
      </c>
    </row>
    <row r="6565" spans="1:1" x14ac:dyDescent="0.25">
      <c r="A6565" t="str">
        <f t="shared" si="124"/>
        <v/>
      </c>
    </row>
    <row r="6566" spans="1:1" x14ac:dyDescent="0.25">
      <c r="A6566" t="str">
        <f t="shared" si="124"/>
        <v/>
      </c>
    </row>
    <row r="6567" spans="1:1" x14ac:dyDescent="0.25">
      <c r="A6567" t="str">
        <f t="shared" si="124"/>
        <v/>
      </c>
    </row>
    <row r="6568" spans="1:1" x14ac:dyDescent="0.25">
      <c r="A6568" t="str">
        <f t="shared" si="124"/>
        <v/>
      </c>
    </row>
    <row r="6569" spans="1:1" x14ac:dyDescent="0.25">
      <c r="A6569" t="str">
        <f t="shared" si="124"/>
        <v/>
      </c>
    </row>
    <row r="6570" spans="1:1" x14ac:dyDescent="0.25">
      <c r="A6570" t="str">
        <f t="shared" si="124"/>
        <v/>
      </c>
    </row>
    <row r="6571" spans="1:1" x14ac:dyDescent="0.25">
      <c r="A6571" t="str">
        <f t="shared" si="124"/>
        <v/>
      </c>
    </row>
    <row r="6572" spans="1:1" x14ac:dyDescent="0.25">
      <c r="A6572" t="str">
        <f t="shared" si="124"/>
        <v/>
      </c>
    </row>
    <row r="6573" spans="1:1" x14ac:dyDescent="0.25">
      <c r="A6573" t="str">
        <f t="shared" si="124"/>
        <v/>
      </c>
    </row>
    <row r="6574" spans="1:1" x14ac:dyDescent="0.25">
      <c r="A6574" t="str">
        <f t="shared" si="124"/>
        <v/>
      </c>
    </row>
    <row r="6575" spans="1:1" x14ac:dyDescent="0.25">
      <c r="A6575" t="str">
        <f t="shared" si="124"/>
        <v/>
      </c>
    </row>
    <row r="6576" spans="1:1" x14ac:dyDescent="0.25">
      <c r="A6576" t="str">
        <f t="shared" si="124"/>
        <v/>
      </c>
    </row>
    <row r="6577" spans="1:1" x14ac:dyDescent="0.25">
      <c r="A6577" t="str">
        <f t="shared" si="124"/>
        <v/>
      </c>
    </row>
    <row r="6578" spans="1:1" x14ac:dyDescent="0.25">
      <c r="A6578" t="str">
        <f t="shared" si="124"/>
        <v/>
      </c>
    </row>
    <row r="6579" spans="1:1" x14ac:dyDescent="0.25">
      <c r="A6579" t="str">
        <f t="shared" si="124"/>
        <v/>
      </c>
    </row>
    <row r="6580" spans="1:1" x14ac:dyDescent="0.25">
      <c r="A6580" t="str">
        <f t="shared" si="124"/>
        <v/>
      </c>
    </row>
    <row r="6581" spans="1:1" x14ac:dyDescent="0.25">
      <c r="A6581" t="str">
        <f t="shared" si="124"/>
        <v/>
      </c>
    </row>
    <row r="6582" spans="1:1" x14ac:dyDescent="0.25">
      <c r="A6582" t="str">
        <f t="shared" si="124"/>
        <v/>
      </c>
    </row>
    <row r="6583" spans="1:1" x14ac:dyDescent="0.25">
      <c r="A6583" t="str">
        <f t="shared" si="124"/>
        <v/>
      </c>
    </row>
    <row r="6584" spans="1:1" x14ac:dyDescent="0.25">
      <c r="A6584" t="str">
        <f t="shared" si="124"/>
        <v/>
      </c>
    </row>
    <row r="6585" spans="1:1" x14ac:dyDescent="0.25">
      <c r="A6585" t="str">
        <f t="shared" si="124"/>
        <v/>
      </c>
    </row>
    <row r="6586" spans="1:1" x14ac:dyDescent="0.25">
      <c r="A6586" t="str">
        <f t="shared" si="124"/>
        <v/>
      </c>
    </row>
    <row r="6587" spans="1:1" x14ac:dyDescent="0.25">
      <c r="A6587" t="str">
        <f t="shared" si="124"/>
        <v/>
      </c>
    </row>
    <row r="6588" spans="1:1" x14ac:dyDescent="0.25">
      <c r="A6588" t="str">
        <f t="shared" si="124"/>
        <v/>
      </c>
    </row>
    <row r="6589" spans="1:1" x14ac:dyDescent="0.25">
      <c r="A6589" t="str">
        <f t="shared" si="124"/>
        <v/>
      </c>
    </row>
    <row r="6590" spans="1:1" x14ac:dyDescent="0.25">
      <c r="A6590" t="str">
        <f t="shared" si="124"/>
        <v/>
      </c>
    </row>
    <row r="6591" spans="1:1" x14ac:dyDescent="0.25">
      <c r="A6591" t="str">
        <f t="shared" si="124"/>
        <v/>
      </c>
    </row>
    <row r="6592" spans="1:1" x14ac:dyDescent="0.25">
      <c r="A6592" t="str">
        <f t="shared" si="124"/>
        <v/>
      </c>
    </row>
    <row r="6593" spans="1:1" x14ac:dyDescent="0.25">
      <c r="A6593" t="str">
        <f t="shared" ref="A6593:A6656" si="125">E6593&amp;C6593&amp;D6593</f>
        <v/>
      </c>
    </row>
    <row r="6594" spans="1:1" x14ac:dyDescent="0.25">
      <c r="A6594" t="str">
        <f t="shared" si="125"/>
        <v/>
      </c>
    </row>
    <row r="6595" spans="1:1" x14ac:dyDescent="0.25">
      <c r="A6595" t="str">
        <f t="shared" si="125"/>
        <v/>
      </c>
    </row>
    <row r="6596" spans="1:1" x14ac:dyDescent="0.25">
      <c r="A6596" t="str">
        <f t="shared" si="125"/>
        <v/>
      </c>
    </row>
    <row r="6597" spans="1:1" x14ac:dyDescent="0.25">
      <c r="A6597" t="str">
        <f t="shared" si="125"/>
        <v/>
      </c>
    </row>
    <row r="6598" spans="1:1" x14ac:dyDescent="0.25">
      <c r="A6598" t="str">
        <f t="shared" si="125"/>
        <v/>
      </c>
    </row>
    <row r="6599" spans="1:1" x14ac:dyDescent="0.25">
      <c r="A6599" t="str">
        <f t="shared" si="125"/>
        <v/>
      </c>
    </row>
    <row r="6600" spans="1:1" x14ac:dyDescent="0.25">
      <c r="A6600" t="str">
        <f t="shared" si="125"/>
        <v/>
      </c>
    </row>
    <row r="6601" spans="1:1" x14ac:dyDescent="0.25">
      <c r="A6601" t="str">
        <f t="shared" si="125"/>
        <v/>
      </c>
    </row>
    <row r="6602" spans="1:1" x14ac:dyDescent="0.25">
      <c r="A6602" t="str">
        <f t="shared" si="125"/>
        <v/>
      </c>
    </row>
    <row r="6603" spans="1:1" x14ac:dyDescent="0.25">
      <c r="A6603" t="str">
        <f t="shared" si="125"/>
        <v/>
      </c>
    </row>
    <row r="6604" spans="1:1" x14ac:dyDescent="0.25">
      <c r="A6604" t="str">
        <f t="shared" si="125"/>
        <v/>
      </c>
    </row>
    <row r="6605" spans="1:1" x14ac:dyDescent="0.25">
      <c r="A6605" t="str">
        <f t="shared" si="125"/>
        <v/>
      </c>
    </row>
    <row r="6606" spans="1:1" x14ac:dyDescent="0.25">
      <c r="A6606" t="str">
        <f t="shared" si="125"/>
        <v/>
      </c>
    </row>
    <row r="6607" spans="1:1" x14ac:dyDescent="0.25">
      <c r="A6607" t="str">
        <f t="shared" si="125"/>
        <v/>
      </c>
    </row>
    <row r="6608" spans="1:1" x14ac:dyDescent="0.25">
      <c r="A6608" t="str">
        <f t="shared" si="125"/>
        <v/>
      </c>
    </row>
    <row r="6609" spans="1:1" x14ac:dyDescent="0.25">
      <c r="A6609" t="str">
        <f t="shared" si="125"/>
        <v/>
      </c>
    </row>
    <row r="6610" spans="1:1" x14ac:dyDescent="0.25">
      <c r="A6610" t="str">
        <f t="shared" si="125"/>
        <v/>
      </c>
    </row>
    <row r="6611" spans="1:1" x14ac:dyDescent="0.25">
      <c r="A6611" t="str">
        <f t="shared" si="125"/>
        <v/>
      </c>
    </row>
    <row r="6612" spans="1:1" x14ac:dyDescent="0.25">
      <c r="A6612" t="str">
        <f t="shared" si="125"/>
        <v/>
      </c>
    </row>
    <row r="6613" spans="1:1" x14ac:dyDescent="0.25">
      <c r="A6613" t="str">
        <f t="shared" si="125"/>
        <v/>
      </c>
    </row>
    <row r="6614" spans="1:1" x14ac:dyDescent="0.25">
      <c r="A6614" t="str">
        <f t="shared" si="125"/>
        <v/>
      </c>
    </row>
    <row r="6615" spans="1:1" x14ac:dyDescent="0.25">
      <c r="A6615" t="str">
        <f t="shared" si="125"/>
        <v/>
      </c>
    </row>
    <row r="6616" spans="1:1" x14ac:dyDescent="0.25">
      <c r="A6616" t="str">
        <f t="shared" si="125"/>
        <v/>
      </c>
    </row>
    <row r="6617" spans="1:1" x14ac:dyDescent="0.25">
      <c r="A6617" t="str">
        <f t="shared" si="125"/>
        <v/>
      </c>
    </row>
    <row r="6618" spans="1:1" x14ac:dyDescent="0.25">
      <c r="A6618" t="str">
        <f t="shared" si="125"/>
        <v/>
      </c>
    </row>
    <row r="6619" spans="1:1" x14ac:dyDescent="0.25">
      <c r="A6619" t="str">
        <f t="shared" si="125"/>
        <v/>
      </c>
    </row>
    <row r="6620" spans="1:1" x14ac:dyDescent="0.25">
      <c r="A6620" t="str">
        <f t="shared" si="125"/>
        <v/>
      </c>
    </row>
    <row r="6621" spans="1:1" x14ac:dyDescent="0.25">
      <c r="A6621" t="str">
        <f t="shared" si="125"/>
        <v/>
      </c>
    </row>
    <row r="6622" spans="1:1" x14ac:dyDescent="0.25">
      <c r="A6622" t="str">
        <f t="shared" si="125"/>
        <v/>
      </c>
    </row>
    <row r="6623" spans="1:1" x14ac:dyDescent="0.25">
      <c r="A6623" t="str">
        <f t="shared" si="125"/>
        <v/>
      </c>
    </row>
    <row r="6624" spans="1:1" x14ac:dyDescent="0.25">
      <c r="A6624" t="str">
        <f t="shared" si="125"/>
        <v/>
      </c>
    </row>
    <row r="6625" spans="1:1" x14ac:dyDescent="0.25">
      <c r="A6625" t="str">
        <f t="shared" si="125"/>
        <v/>
      </c>
    </row>
    <row r="6626" spans="1:1" x14ac:dyDescent="0.25">
      <c r="A6626" t="str">
        <f t="shared" si="125"/>
        <v/>
      </c>
    </row>
    <row r="6627" spans="1:1" x14ac:dyDescent="0.25">
      <c r="A6627" t="str">
        <f t="shared" si="125"/>
        <v/>
      </c>
    </row>
    <row r="6628" spans="1:1" x14ac:dyDescent="0.25">
      <c r="A6628" t="str">
        <f t="shared" si="125"/>
        <v/>
      </c>
    </row>
    <row r="6629" spans="1:1" x14ac:dyDescent="0.25">
      <c r="A6629" t="str">
        <f t="shared" si="125"/>
        <v/>
      </c>
    </row>
    <row r="6630" spans="1:1" x14ac:dyDescent="0.25">
      <c r="A6630" t="str">
        <f t="shared" si="125"/>
        <v/>
      </c>
    </row>
    <row r="6631" spans="1:1" x14ac:dyDescent="0.25">
      <c r="A6631" t="str">
        <f t="shared" si="125"/>
        <v/>
      </c>
    </row>
    <row r="6632" spans="1:1" x14ac:dyDescent="0.25">
      <c r="A6632" t="str">
        <f t="shared" si="125"/>
        <v/>
      </c>
    </row>
    <row r="6633" spans="1:1" x14ac:dyDescent="0.25">
      <c r="A6633" t="str">
        <f t="shared" si="125"/>
        <v/>
      </c>
    </row>
    <row r="6634" spans="1:1" x14ac:dyDescent="0.25">
      <c r="A6634" t="str">
        <f t="shared" si="125"/>
        <v/>
      </c>
    </row>
    <row r="6635" spans="1:1" x14ac:dyDescent="0.25">
      <c r="A6635" t="str">
        <f t="shared" si="125"/>
        <v/>
      </c>
    </row>
    <row r="6636" spans="1:1" x14ac:dyDescent="0.25">
      <c r="A6636" t="str">
        <f t="shared" si="125"/>
        <v/>
      </c>
    </row>
    <row r="6637" spans="1:1" x14ac:dyDescent="0.25">
      <c r="A6637" t="str">
        <f t="shared" si="125"/>
        <v/>
      </c>
    </row>
    <row r="6638" spans="1:1" x14ac:dyDescent="0.25">
      <c r="A6638" t="str">
        <f t="shared" si="125"/>
        <v/>
      </c>
    </row>
    <row r="6639" spans="1:1" x14ac:dyDescent="0.25">
      <c r="A6639" t="str">
        <f t="shared" si="125"/>
        <v/>
      </c>
    </row>
    <row r="6640" spans="1:1" x14ac:dyDescent="0.25">
      <c r="A6640" t="str">
        <f t="shared" si="125"/>
        <v/>
      </c>
    </row>
    <row r="6641" spans="1:1" x14ac:dyDescent="0.25">
      <c r="A6641" t="str">
        <f t="shared" si="125"/>
        <v/>
      </c>
    </row>
    <row r="6642" spans="1:1" x14ac:dyDescent="0.25">
      <c r="A6642" t="str">
        <f t="shared" si="125"/>
        <v/>
      </c>
    </row>
    <row r="6643" spans="1:1" x14ac:dyDescent="0.25">
      <c r="A6643" t="str">
        <f t="shared" si="125"/>
        <v/>
      </c>
    </row>
    <row r="6644" spans="1:1" x14ac:dyDescent="0.25">
      <c r="A6644" t="str">
        <f t="shared" si="125"/>
        <v/>
      </c>
    </row>
    <row r="6645" spans="1:1" x14ac:dyDescent="0.25">
      <c r="A6645" t="str">
        <f t="shared" si="125"/>
        <v/>
      </c>
    </row>
    <row r="6646" spans="1:1" x14ac:dyDescent="0.25">
      <c r="A6646" t="str">
        <f t="shared" si="125"/>
        <v/>
      </c>
    </row>
    <row r="6647" spans="1:1" x14ac:dyDescent="0.25">
      <c r="A6647" t="str">
        <f t="shared" si="125"/>
        <v/>
      </c>
    </row>
    <row r="6648" spans="1:1" x14ac:dyDescent="0.25">
      <c r="A6648" t="str">
        <f t="shared" si="125"/>
        <v/>
      </c>
    </row>
    <row r="6649" spans="1:1" x14ac:dyDescent="0.25">
      <c r="A6649" t="str">
        <f t="shared" si="125"/>
        <v/>
      </c>
    </row>
    <row r="6650" spans="1:1" x14ac:dyDescent="0.25">
      <c r="A6650" t="str">
        <f t="shared" si="125"/>
        <v/>
      </c>
    </row>
    <row r="6651" spans="1:1" x14ac:dyDescent="0.25">
      <c r="A6651" t="str">
        <f t="shared" si="125"/>
        <v/>
      </c>
    </row>
    <row r="6652" spans="1:1" x14ac:dyDescent="0.25">
      <c r="A6652" t="str">
        <f t="shared" si="125"/>
        <v/>
      </c>
    </row>
    <row r="6653" spans="1:1" x14ac:dyDescent="0.25">
      <c r="A6653" t="str">
        <f t="shared" si="125"/>
        <v/>
      </c>
    </row>
    <row r="6654" spans="1:1" x14ac:dyDescent="0.25">
      <c r="A6654" t="str">
        <f t="shared" si="125"/>
        <v/>
      </c>
    </row>
    <row r="6655" spans="1:1" x14ac:dyDescent="0.25">
      <c r="A6655" t="str">
        <f t="shared" si="125"/>
        <v/>
      </c>
    </row>
    <row r="6656" spans="1:1" x14ac:dyDescent="0.25">
      <c r="A6656" t="str">
        <f t="shared" si="125"/>
        <v/>
      </c>
    </row>
    <row r="6657" spans="1:1" x14ac:dyDescent="0.25">
      <c r="A6657" t="str">
        <f t="shared" ref="A6657:A6720" si="126">E6657&amp;C6657&amp;D6657</f>
        <v/>
      </c>
    </row>
    <row r="6658" spans="1:1" x14ac:dyDescent="0.25">
      <c r="A6658" t="str">
        <f t="shared" si="126"/>
        <v/>
      </c>
    </row>
    <row r="6659" spans="1:1" x14ac:dyDescent="0.25">
      <c r="A6659" t="str">
        <f t="shared" si="126"/>
        <v/>
      </c>
    </row>
    <row r="6660" spans="1:1" x14ac:dyDescent="0.25">
      <c r="A6660" t="str">
        <f t="shared" si="126"/>
        <v/>
      </c>
    </row>
    <row r="6661" spans="1:1" x14ac:dyDescent="0.25">
      <c r="A6661" t="str">
        <f t="shared" si="126"/>
        <v/>
      </c>
    </row>
    <row r="6662" spans="1:1" x14ac:dyDescent="0.25">
      <c r="A6662" t="str">
        <f t="shared" si="126"/>
        <v/>
      </c>
    </row>
    <row r="6663" spans="1:1" x14ac:dyDescent="0.25">
      <c r="A6663" t="str">
        <f t="shared" si="126"/>
        <v/>
      </c>
    </row>
    <row r="6664" spans="1:1" x14ac:dyDescent="0.25">
      <c r="A6664" t="str">
        <f t="shared" si="126"/>
        <v/>
      </c>
    </row>
    <row r="6665" spans="1:1" x14ac:dyDescent="0.25">
      <c r="A6665" t="str">
        <f t="shared" si="126"/>
        <v/>
      </c>
    </row>
    <row r="6666" spans="1:1" x14ac:dyDescent="0.25">
      <c r="A6666" t="str">
        <f t="shared" si="126"/>
        <v/>
      </c>
    </row>
    <row r="6667" spans="1:1" x14ac:dyDescent="0.25">
      <c r="A6667" t="str">
        <f t="shared" si="126"/>
        <v/>
      </c>
    </row>
    <row r="6668" spans="1:1" x14ac:dyDescent="0.25">
      <c r="A6668" t="str">
        <f t="shared" si="126"/>
        <v/>
      </c>
    </row>
    <row r="6669" spans="1:1" x14ac:dyDescent="0.25">
      <c r="A6669" t="str">
        <f t="shared" si="126"/>
        <v/>
      </c>
    </row>
    <row r="6670" spans="1:1" x14ac:dyDescent="0.25">
      <c r="A6670" t="str">
        <f t="shared" si="126"/>
        <v/>
      </c>
    </row>
    <row r="6671" spans="1:1" x14ac:dyDescent="0.25">
      <c r="A6671" t="str">
        <f t="shared" si="126"/>
        <v/>
      </c>
    </row>
    <row r="6672" spans="1:1" x14ac:dyDescent="0.25">
      <c r="A6672" t="str">
        <f t="shared" si="126"/>
        <v/>
      </c>
    </row>
    <row r="6673" spans="1:1" x14ac:dyDescent="0.25">
      <c r="A6673" t="str">
        <f t="shared" si="126"/>
        <v/>
      </c>
    </row>
    <row r="6674" spans="1:1" x14ac:dyDescent="0.25">
      <c r="A6674" t="str">
        <f t="shared" si="126"/>
        <v/>
      </c>
    </row>
    <row r="6675" spans="1:1" x14ac:dyDescent="0.25">
      <c r="A6675" t="str">
        <f t="shared" si="126"/>
        <v/>
      </c>
    </row>
    <row r="6676" spans="1:1" x14ac:dyDescent="0.25">
      <c r="A6676" t="str">
        <f t="shared" si="126"/>
        <v/>
      </c>
    </row>
    <row r="6677" spans="1:1" x14ac:dyDescent="0.25">
      <c r="A6677" t="str">
        <f t="shared" si="126"/>
        <v/>
      </c>
    </row>
    <row r="6678" spans="1:1" x14ac:dyDescent="0.25">
      <c r="A6678" t="str">
        <f t="shared" si="126"/>
        <v/>
      </c>
    </row>
    <row r="6679" spans="1:1" x14ac:dyDescent="0.25">
      <c r="A6679" t="str">
        <f t="shared" si="126"/>
        <v/>
      </c>
    </row>
    <row r="6680" spans="1:1" x14ac:dyDescent="0.25">
      <c r="A6680" t="str">
        <f t="shared" si="126"/>
        <v/>
      </c>
    </row>
    <row r="6681" spans="1:1" x14ac:dyDescent="0.25">
      <c r="A6681" t="str">
        <f t="shared" si="126"/>
        <v/>
      </c>
    </row>
    <row r="6682" spans="1:1" x14ac:dyDescent="0.25">
      <c r="A6682" t="str">
        <f t="shared" si="126"/>
        <v/>
      </c>
    </row>
    <row r="6683" spans="1:1" x14ac:dyDescent="0.25">
      <c r="A6683" t="str">
        <f t="shared" si="126"/>
        <v/>
      </c>
    </row>
    <row r="6684" spans="1:1" x14ac:dyDescent="0.25">
      <c r="A6684" t="str">
        <f t="shared" si="126"/>
        <v/>
      </c>
    </row>
    <row r="6685" spans="1:1" x14ac:dyDescent="0.25">
      <c r="A6685" t="str">
        <f t="shared" si="126"/>
        <v/>
      </c>
    </row>
    <row r="6686" spans="1:1" x14ac:dyDescent="0.25">
      <c r="A6686" t="str">
        <f t="shared" si="126"/>
        <v/>
      </c>
    </row>
    <row r="6687" spans="1:1" x14ac:dyDescent="0.25">
      <c r="A6687" t="str">
        <f t="shared" si="126"/>
        <v/>
      </c>
    </row>
    <row r="6688" spans="1:1" x14ac:dyDescent="0.25">
      <c r="A6688" t="str">
        <f t="shared" si="126"/>
        <v/>
      </c>
    </row>
    <row r="6689" spans="1:1" x14ac:dyDescent="0.25">
      <c r="A6689" t="str">
        <f t="shared" si="126"/>
        <v/>
      </c>
    </row>
    <row r="6690" spans="1:1" x14ac:dyDescent="0.25">
      <c r="A6690" t="str">
        <f t="shared" si="126"/>
        <v/>
      </c>
    </row>
    <row r="6691" spans="1:1" x14ac:dyDescent="0.25">
      <c r="A6691" t="str">
        <f t="shared" si="126"/>
        <v/>
      </c>
    </row>
    <row r="6692" spans="1:1" x14ac:dyDescent="0.25">
      <c r="A6692" t="str">
        <f t="shared" si="126"/>
        <v/>
      </c>
    </row>
    <row r="6693" spans="1:1" x14ac:dyDescent="0.25">
      <c r="A6693" t="str">
        <f t="shared" si="126"/>
        <v/>
      </c>
    </row>
    <row r="6694" spans="1:1" x14ac:dyDescent="0.25">
      <c r="A6694" t="str">
        <f t="shared" si="126"/>
        <v/>
      </c>
    </row>
    <row r="6695" spans="1:1" x14ac:dyDescent="0.25">
      <c r="A6695" t="str">
        <f t="shared" si="126"/>
        <v/>
      </c>
    </row>
    <row r="6696" spans="1:1" x14ac:dyDescent="0.25">
      <c r="A6696" t="str">
        <f t="shared" si="126"/>
        <v/>
      </c>
    </row>
    <row r="6697" spans="1:1" x14ac:dyDescent="0.25">
      <c r="A6697" t="str">
        <f t="shared" si="126"/>
        <v/>
      </c>
    </row>
    <row r="6698" spans="1:1" x14ac:dyDescent="0.25">
      <c r="A6698" t="str">
        <f t="shared" si="126"/>
        <v/>
      </c>
    </row>
    <row r="6699" spans="1:1" x14ac:dyDescent="0.25">
      <c r="A6699" t="str">
        <f t="shared" si="126"/>
        <v/>
      </c>
    </row>
    <row r="6700" spans="1:1" x14ac:dyDescent="0.25">
      <c r="A6700" t="str">
        <f t="shared" si="126"/>
        <v/>
      </c>
    </row>
    <row r="6701" spans="1:1" x14ac:dyDescent="0.25">
      <c r="A6701" t="str">
        <f t="shared" si="126"/>
        <v/>
      </c>
    </row>
    <row r="6702" spans="1:1" x14ac:dyDescent="0.25">
      <c r="A6702" t="str">
        <f t="shared" si="126"/>
        <v/>
      </c>
    </row>
    <row r="6703" spans="1:1" x14ac:dyDescent="0.25">
      <c r="A6703" t="str">
        <f t="shared" si="126"/>
        <v/>
      </c>
    </row>
    <row r="6704" spans="1:1" x14ac:dyDescent="0.25">
      <c r="A6704" t="str">
        <f t="shared" si="126"/>
        <v/>
      </c>
    </row>
    <row r="6705" spans="1:1" x14ac:dyDescent="0.25">
      <c r="A6705" t="str">
        <f t="shared" si="126"/>
        <v/>
      </c>
    </row>
    <row r="6706" spans="1:1" x14ac:dyDescent="0.25">
      <c r="A6706" t="str">
        <f t="shared" si="126"/>
        <v/>
      </c>
    </row>
    <row r="6707" spans="1:1" x14ac:dyDescent="0.25">
      <c r="A6707" t="str">
        <f t="shared" si="126"/>
        <v/>
      </c>
    </row>
    <row r="6708" spans="1:1" x14ac:dyDescent="0.25">
      <c r="A6708" t="str">
        <f t="shared" si="126"/>
        <v/>
      </c>
    </row>
    <row r="6709" spans="1:1" x14ac:dyDescent="0.25">
      <c r="A6709" t="str">
        <f t="shared" si="126"/>
        <v/>
      </c>
    </row>
    <row r="6710" spans="1:1" x14ac:dyDescent="0.25">
      <c r="A6710" t="str">
        <f t="shared" si="126"/>
        <v/>
      </c>
    </row>
    <row r="6711" spans="1:1" x14ac:dyDescent="0.25">
      <c r="A6711" t="str">
        <f t="shared" si="126"/>
        <v/>
      </c>
    </row>
    <row r="6712" spans="1:1" x14ac:dyDescent="0.25">
      <c r="A6712" t="str">
        <f t="shared" si="126"/>
        <v/>
      </c>
    </row>
    <row r="6713" spans="1:1" x14ac:dyDescent="0.25">
      <c r="A6713" t="str">
        <f t="shared" si="126"/>
        <v/>
      </c>
    </row>
    <row r="6714" spans="1:1" x14ac:dyDescent="0.25">
      <c r="A6714" t="str">
        <f t="shared" si="126"/>
        <v/>
      </c>
    </row>
    <row r="6715" spans="1:1" x14ac:dyDescent="0.25">
      <c r="A6715" t="str">
        <f t="shared" si="126"/>
        <v/>
      </c>
    </row>
    <row r="6716" spans="1:1" x14ac:dyDescent="0.25">
      <c r="A6716" t="str">
        <f t="shared" si="126"/>
        <v/>
      </c>
    </row>
    <row r="6717" spans="1:1" x14ac:dyDescent="0.25">
      <c r="A6717" t="str">
        <f t="shared" si="126"/>
        <v/>
      </c>
    </row>
    <row r="6718" spans="1:1" x14ac:dyDescent="0.25">
      <c r="A6718" t="str">
        <f t="shared" si="126"/>
        <v/>
      </c>
    </row>
    <row r="6719" spans="1:1" x14ac:dyDescent="0.25">
      <c r="A6719" t="str">
        <f t="shared" si="126"/>
        <v/>
      </c>
    </row>
    <row r="6720" spans="1:1" x14ac:dyDescent="0.25">
      <c r="A6720" t="str">
        <f t="shared" si="126"/>
        <v/>
      </c>
    </row>
    <row r="6721" spans="1:1" x14ac:dyDescent="0.25">
      <c r="A6721" t="str">
        <f t="shared" ref="A6721:A6784" si="127">E6721&amp;C6721&amp;D6721</f>
        <v/>
      </c>
    </row>
    <row r="6722" spans="1:1" x14ac:dyDescent="0.25">
      <c r="A6722" t="str">
        <f t="shared" si="127"/>
        <v/>
      </c>
    </row>
    <row r="6723" spans="1:1" x14ac:dyDescent="0.25">
      <c r="A6723" t="str">
        <f t="shared" si="127"/>
        <v/>
      </c>
    </row>
    <row r="6724" spans="1:1" x14ac:dyDescent="0.25">
      <c r="A6724" t="str">
        <f t="shared" si="127"/>
        <v/>
      </c>
    </row>
    <row r="6725" spans="1:1" x14ac:dyDescent="0.25">
      <c r="A6725" t="str">
        <f t="shared" si="127"/>
        <v/>
      </c>
    </row>
    <row r="6726" spans="1:1" x14ac:dyDescent="0.25">
      <c r="A6726" t="str">
        <f t="shared" si="127"/>
        <v/>
      </c>
    </row>
    <row r="6727" spans="1:1" x14ac:dyDescent="0.25">
      <c r="A6727" t="str">
        <f t="shared" si="127"/>
        <v/>
      </c>
    </row>
    <row r="6728" spans="1:1" x14ac:dyDescent="0.25">
      <c r="A6728" t="str">
        <f t="shared" si="127"/>
        <v/>
      </c>
    </row>
    <row r="6729" spans="1:1" x14ac:dyDescent="0.25">
      <c r="A6729" t="str">
        <f t="shared" si="127"/>
        <v/>
      </c>
    </row>
    <row r="6730" spans="1:1" x14ac:dyDescent="0.25">
      <c r="A6730" t="str">
        <f t="shared" si="127"/>
        <v/>
      </c>
    </row>
    <row r="6731" spans="1:1" x14ac:dyDescent="0.25">
      <c r="A6731" t="str">
        <f t="shared" si="127"/>
        <v/>
      </c>
    </row>
    <row r="6732" spans="1:1" x14ac:dyDescent="0.25">
      <c r="A6732" t="str">
        <f t="shared" si="127"/>
        <v/>
      </c>
    </row>
    <row r="6733" spans="1:1" x14ac:dyDescent="0.25">
      <c r="A6733" t="str">
        <f t="shared" si="127"/>
        <v/>
      </c>
    </row>
    <row r="6734" spans="1:1" x14ac:dyDescent="0.25">
      <c r="A6734" t="str">
        <f t="shared" si="127"/>
        <v/>
      </c>
    </row>
    <row r="6735" spans="1:1" x14ac:dyDescent="0.25">
      <c r="A6735" t="str">
        <f t="shared" si="127"/>
        <v/>
      </c>
    </row>
    <row r="6736" spans="1:1" x14ac:dyDescent="0.25">
      <c r="A6736" t="str">
        <f t="shared" si="127"/>
        <v/>
      </c>
    </row>
    <row r="6737" spans="1:1" x14ac:dyDescent="0.25">
      <c r="A6737" t="str">
        <f t="shared" si="127"/>
        <v/>
      </c>
    </row>
    <row r="6738" spans="1:1" x14ac:dyDescent="0.25">
      <c r="A6738" t="str">
        <f t="shared" si="127"/>
        <v/>
      </c>
    </row>
    <row r="6739" spans="1:1" x14ac:dyDescent="0.25">
      <c r="A6739" t="str">
        <f t="shared" si="127"/>
        <v/>
      </c>
    </row>
    <row r="6740" spans="1:1" x14ac:dyDescent="0.25">
      <c r="A6740" t="str">
        <f t="shared" si="127"/>
        <v/>
      </c>
    </row>
    <row r="6741" spans="1:1" x14ac:dyDescent="0.25">
      <c r="A6741" t="str">
        <f t="shared" si="127"/>
        <v/>
      </c>
    </row>
    <row r="6742" spans="1:1" x14ac:dyDescent="0.25">
      <c r="A6742" t="str">
        <f t="shared" si="127"/>
        <v/>
      </c>
    </row>
    <row r="6743" spans="1:1" x14ac:dyDescent="0.25">
      <c r="A6743" t="str">
        <f t="shared" si="127"/>
        <v/>
      </c>
    </row>
    <row r="6744" spans="1:1" x14ac:dyDescent="0.25">
      <c r="A6744" t="str">
        <f t="shared" si="127"/>
        <v/>
      </c>
    </row>
    <row r="6745" spans="1:1" x14ac:dyDescent="0.25">
      <c r="A6745" t="str">
        <f t="shared" si="127"/>
        <v/>
      </c>
    </row>
    <row r="6746" spans="1:1" x14ac:dyDescent="0.25">
      <c r="A6746" t="str">
        <f t="shared" si="127"/>
        <v/>
      </c>
    </row>
    <row r="6747" spans="1:1" x14ac:dyDescent="0.25">
      <c r="A6747" t="str">
        <f t="shared" si="127"/>
        <v/>
      </c>
    </row>
    <row r="6748" spans="1:1" x14ac:dyDescent="0.25">
      <c r="A6748" t="str">
        <f t="shared" si="127"/>
        <v/>
      </c>
    </row>
    <row r="6749" spans="1:1" x14ac:dyDescent="0.25">
      <c r="A6749" t="str">
        <f t="shared" si="127"/>
        <v/>
      </c>
    </row>
    <row r="6750" spans="1:1" x14ac:dyDescent="0.25">
      <c r="A6750" t="str">
        <f t="shared" si="127"/>
        <v/>
      </c>
    </row>
    <row r="6751" spans="1:1" x14ac:dyDescent="0.25">
      <c r="A6751" t="str">
        <f t="shared" si="127"/>
        <v/>
      </c>
    </row>
    <row r="6752" spans="1:1" x14ac:dyDescent="0.25">
      <c r="A6752" t="str">
        <f t="shared" si="127"/>
        <v/>
      </c>
    </row>
    <row r="6753" spans="1:1" x14ac:dyDescent="0.25">
      <c r="A6753" t="str">
        <f t="shared" si="127"/>
        <v/>
      </c>
    </row>
    <row r="6754" spans="1:1" x14ac:dyDescent="0.25">
      <c r="A6754" t="str">
        <f t="shared" si="127"/>
        <v/>
      </c>
    </row>
    <row r="6755" spans="1:1" x14ac:dyDescent="0.25">
      <c r="A6755" t="str">
        <f t="shared" si="127"/>
        <v/>
      </c>
    </row>
    <row r="6756" spans="1:1" x14ac:dyDescent="0.25">
      <c r="A6756" t="str">
        <f t="shared" si="127"/>
        <v/>
      </c>
    </row>
    <row r="6757" spans="1:1" x14ac:dyDescent="0.25">
      <c r="A6757" t="str">
        <f t="shared" si="127"/>
        <v/>
      </c>
    </row>
    <row r="6758" spans="1:1" x14ac:dyDescent="0.25">
      <c r="A6758" t="str">
        <f t="shared" si="127"/>
        <v/>
      </c>
    </row>
    <row r="6759" spans="1:1" x14ac:dyDescent="0.25">
      <c r="A6759" t="str">
        <f t="shared" si="127"/>
        <v/>
      </c>
    </row>
    <row r="6760" spans="1:1" x14ac:dyDescent="0.25">
      <c r="A6760" t="str">
        <f t="shared" si="127"/>
        <v/>
      </c>
    </row>
    <row r="6761" spans="1:1" x14ac:dyDescent="0.25">
      <c r="A6761" t="str">
        <f t="shared" si="127"/>
        <v/>
      </c>
    </row>
    <row r="6762" spans="1:1" x14ac:dyDescent="0.25">
      <c r="A6762" t="str">
        <f t="shared" si="127"/>
        <v/>
      </c>
    </row>
    <row r="6763" spans="1:1" x14ac:dyDescent="0.25">
      <c r="A6763" t="str">
        <f t="shared" si="127"/>
        <v/>
      </c>
    </row>
    <row r="6764" spans="1:1" x14ac:dyDescent="0.25">
      <c r="A6764" t="str">
        <f t="shared" si="127"/>
        <v/>
      </c>
    </row>
    <row r="6765" spans="1:1" x14ac:dyDescent="0.25">
      <c r="A6765" t="str">
        <f t="shared" si="127"/>
        <v/>
      </c>
    </row>
    <row r="6766" spans="1:1" x14ac:dyDescent="0.25">
      <c r="A6766" t="str">
        <f t="shared" si="127"/>
        <v/>
      </c>
    </row>
    <row r="6767" spans="1:1" x14ac:dyDescent="0.25">
      <c r="A6767" t="str">
        <f t="shared" si="127"/>
        <v/>
      </c>
    </row>
    <row r="6768" spans="1:1" x14ac:dyDescent="0.25">
      <c r="A6768" t="str">
        <f t="shared" si="127"/>
        <v/>
      </c>
    </row>
    <row r="6769" spans="1:1" x14ac:dyDescent="0.25">
      <c r="A6769" t="str">
        <f t="shared" si="127"/>
        <v/>
      </c>
    </row>
    <row r="6770" spans="1:1" x14ac:dyDescent="0.25">
      <c r="A6770" t="str">
        <f t="shared" si="127"/>
        <v/>
      </c>
    </row>
    <row r="6771" spans="1:1" x14ac:dyDescent="0.25">
      <c r="A6771" t="str">
        <f t="shared" si="127"/>
        <v/>
      </c>
    </row>
    <row r="6772" spans="1:1" x14ac:dyDescent="0.25">
      <c r="A6772" t="str">
        <f t="shared" si="127"/>
        <v/>
      </c>
    </row>
    <row r="6773" spans="1:1" x14ac:dyDescent="0.25">
      <c r="A6773" t="str">
        <f t="shared" si="127"/>
        <v/>
      </c>
    </row>
    <row r="6774" spans="1:1" x14ac:dyDescent="0.25">
      <c r="A6774" t="str">
        <f t="shared" si="127"/>
        <v/>
      </c>
    </row>
    <row r="6775" spans="1:1" x14ac:dyDescent="0.25">
      <c r="A6775" t="str">
        <f t="shared" si="127"/>
        <v/>
      </c>
    </row>
    <row r="6776" spans="1:1" x14ac:dyDescent="0.25">
      <c r="A6776" t="str">
        <f t="shared" si="127"/>
        <v/>
      </c>
    </row>
    <row r="6777" spans="1:1" x14ac:dyDescent="0.25">
      <c r="A6777" t="str">
        <f t="shared" si="127"/>
        <v/>
      </c>
    </row>
    <row r="6778" spans="1:1" x14ac:dyDescent="0.25">
      <c r="A6778" t="str">
        <f t="shared" si="127"/>
        <v/>
      </c>
    </row>
    <row r="6779" spans="1:1" x14ac:dyDescent="0.25">
      <c r="A6779" t="str">
        <f t="shared" si="127"/>
        <v/>
      </c>
    </row>
    <row r="6780" spans="1:1" x14ac:dyDescent="0.25">
      <c r="A6780" t="str">
        <f t="shared" si="127"/>
        <v/>
      </c>
    </row>
    <row r="6781" spans="1:1" x14ac:dyDescent="0.25">
      <c r="A6781" t="str">
        <f t="shared" si="127"/>
        <v/>
      </c>
    </row>
    <row r="6782" spans="1:1" x14ac:dyDescent="0.25">
      <c r="A6782" t="str">
        <f t="shared" si="127"/>
        <v/>
      </c>
    </row>
    <row r="6783" spans="1:1" x14ac:dyDescent="0.25">
      <c r="A6783" t="str">
        <f t="shared" si="127"/>
        <v/>
      </c>
    </row>
    <row r="6784" spans="1:1" x14ac:dyDescent="0.25">
      <c r="A6784" t="str">
        <f t="shared" si="127"/>
        <v/>
      </c>
    </row>
    <row r="6785" spans="1:1" x14ac:dyDescent="0.25">
      <c r="A6785" t="str">
        <f t="shared" ref="A6785:A6848" si="128">E6785&amp;C6785&amp;D6785</f>
        <v/>
      </c>
    </row>
    <row r="6786" spans="1:1" x14ac:dyDescent="0.25">
      <c r="A6786" t="str">
        <f t="shared" si="128"/>
        <v/>
      </c>
    </row>
    <row r="6787" spans="1:1" x14ac:dyDescent="0.25">
      <c r="A6787" t="str">
        <f t="shared" si="128"/>
        <v/>
      </c>
    </row>
    <row r="6788" spans="1:1" x14ac:dyDescent="0.25">
      <c r="A6788" t="str">
        <f t="shared" si="128"/>
        <v/>
      </c>
    </row>
    <row r="6789" spans="1:1" x14ac:dyDescent="0.25">
      <c r="A6789" t="str">
        <f t="shared" si="128"/>
        <v/>
      </c>
    </row>
    <row r="6790" spans="1:1" x14ac:dyDescent="0.25">
      <c r="A6790" t="str">
        <f t="shared" si="128"/>
        <v/>
      </c>
    </row>
    <row r="6791" spans="1:1" x14ac:dyDescent="0.25">
      <c r="A6791" t="str">
        <f t="shared" si="128"/>
        <v/>
      </c>
    </row>
    <row r="6792" spans="1:1" x14ac:dyDescent="0.25">
      <c r="A6792" t="str">
        <f t="shared" si="128"/>
        <v/>
      </c>
    </row>
    <row r="6793" spans="1:1" x14ac:dyDescent="0.25">
      <c r="A6793" t="str">
        <f t="shared" si="128"/>
        <v/>
      </c>
    </row>
    <row r="6794" spans="1:1" x14ac:dyDescent="0.25">
      <c r="A6794" t="str">
        <f t="shared" si="128"/>
        <v/>
      </c>
    </row>
    <row r="6795" spans="1:1" x14ac:dyDescent="0.25">
      <c r="A6795" t="str">
        <f t="shared" si="128"/>
        <v/>
      </c>
    </row>
    <row r="6796" spans="1:1" x14ac:dyDescent="0.25">
      <c r="A6796" t="str">
        <f t="shared" si="128"/>
        <v/>
      </c>
    </row>
    <row r="6797" spans="1:1" x14ac:dyDescent="0.25">
      <c r="A6797" t="str">
        <f t="shared" si="128"/>
        <v/>
      </c>
    </row>
    <row r="6798" spans="1:1" x14ac:dyDescent="0.25">
      <c r="A6798" t="str">
        <f t="shared" si="128"/>
        <v/>
      </c>
    </row>
    <row r="6799" spans="1:1" x14ac:dyDescent="0.25">
      <c r="A6799" t="str">
        <f t="shared" si="128"/>
        <v/>
      </c>
    </row>
    <row r="6800" spans="1:1" x14ac:dyDescent="0.25">
      <c r="A6800" t="str">
        <f t="shared" si="128"/>
        <v/>
      </c>
    </row>
    <row r="6801" spans="1:1" x14ac:dyDescent="0.25">
      <c r="A6801" t="str">
        <f t="shared" si="128"/>
        <v/>
      </c>
    </row>
    <row r="6802" spans="1:1" x14ac:dyDescent="0.25">
      <c r="A6802" t="str">
        <f t="shared" si="128"/>
        <v/>
      </c>
    </row>
    <row r="6803" spans="1:1" x14ac:dyDescent="0.25">
      <c r="A6803" t="str">
        <f t="shared" si="128"/>
        <v/>
      </c>
    </row>
    <row r="6804" spans="1:1" x14ac:dyDescent="0.25">
      <c r="A6804" t="str">
        <f t="shared" si="128"/>
        <v/>
      </c>
    </row>
    <row r="6805" spans="1:1" x14ac:dyDescent="0.25">
      <c r="A6805" t="str">
        <f t="shared" si="128"/>
        <v/>
      </c>
    </row>
    <row r="6806" spans="1:1" x14ac:dyDescent="0.25">
      <c r="A6806" t="str">
        <f t="shared" si="128"/>
        <v/>
      </c>
    </row>
    <row r="6807" spans="1:1" x14ac:dyDescent="0.25">
      <c r="A6807" t="str">
        <f t="shared" si="128"/>
        <v/>
      </c>
    </row>
    <row r="6808" spans="1:1" x14ac:dyDescent="0.25">
      <c r="A6808" t="str">
        <f t="shared" si="128"/>
        <v/>
      </c>
    </row>
    <row r="6809" spans="1:1" x14ac:dyDescent="0.25">
      <c r="A6809" t="str">
        <f t="shared" si="128"/>
        <v/>
      </c>
    </row>
    <row r="6810" spans="1:1" x14ac:dyDescent="0.25">
      <c r="A6810" t="str">
        <f t="shared" si="128"/>
        <v/>
      </c>
    </row>
    <row r="6811" spans="1:1" x14ac:dyDescent="0.25">
      <c r="A6811" t="str">
        <f t="shared" si="128"/>
        <v/>
      </c>
    </row>
    <row r="6812" spans="1:1" x14ac:dyDescent="0.25">
      <c r="A6812" t="str">
        <f t="shared" si="128"/>
        <v/>
      </c>
    </row>
    <row r="6813" spans="1:1" x14ac:dyDescent="0.25">
      <c r="A6813" t="str">
        <f t="shared" si="128"/>
        <v/>
      </c>
    </row>
    <row r="6814" spans="1:1" x14ac:dyDescent="0.25">
      <c r="A6814" t="str">
        <f t="shared" si="128"/>
        <v/>
      </c>
    </row>
    <row r="6815" spans="1:1" x14ac:dyDescent="0.25">
      <c r="A6815" t="str">
        <f t="shared" si="128"/>
        <v/>
      </c>
    </row>
    <row r="6816" spans="1:1" x14ac:dyDescent="0.25">
      <c r="A6816" t="str">
        <f t="shared" si="128"/>
        <v/>
      </c>
    </row>
    <row r="6817" spans="1:1" x14ac:dyDescent="0.25">
      <c r="A6817" t="str">
        <f t="shared" si="128"/>
        <v/>
      </c>
    </row>
    <row r="6818" spans="1:1" x14ac:dyDescent="0.25">
      <c r="A6818" t="str">
        <f t="shared" si="128"/>
        <v/>
      </c>
    </row>
    <row r="6819" spans="1:1" x14ac:dyDescent="0.25">
      <c r="A6819" t="str">
        <f t="shared" si="128"/>
        <v/>
      </c>
    </row>
    <row r="6820" spans="1:1" x14ac:dyDescent="0.25">
      <c r="A6820" t="str">
        <f t="shared" si="128"/>
        <v/>
      </c>
    </row>
    <row r="6821" spans="1:1" x14ac:dyDescent="0.25">
      <c r="A6821" t="str">
        <f t="shared" si="128"/>
        <v/>
      </c>
    </row>
    <row r="6822" spans="1:1" x14ac:dyDescent="0.25">
      <c r="A6822" t="str">
        <f t="shared" si="128"/>
        <v/>
      </c>
    </row>
    <row r="6823" spans="1:1" x14ac:dyDescent="0.25">
      <c r="A6823" t="str">
        <f t="shared" si="128"/>
        <v/>
      </c>
    </row>
    <row r="6824" spans="1:1" x14ac:dyDescent="0.25">
      <c r="A6824" t="str">
        <f t="shared" si="128"/>
        <v/>
      </c>
    </row>
    <row r="6825" spans="1:1" x14ac:dyDescent="0.25">
      <c r="A6825" t="str">
        <f t="shared" si="128"/>
        <v/>
      </c>
    </row>
    <row r="6826" spans="1:1" x14ac:dyDescent="0.25">
      <c r="A6826" t="str">
        <f t="shared" si="128"/>
        <v/>
      </c>
    </row>
    <row r="6827" spans="1:1" x14ac:dyDescent="0.25">
      <c r="A6827" t="str">
        <f t="shared" si="128"/>
        <v/>
      </c>
    </row>
    <row r="6828" spans="1:1" x14ac:dyDescent="0.25">
      <c r="A6828" t="str">
        <f t="shared" si="128"/>
        <v/>
      </c>
    </row>
    <row r="6829" spans="1:1" x14ac:dyDescent="0.25">
      <c r="A6829" t="str">
        <f t="shared" si="128"/>
        <v/>
      </c>
    </row>
    <row r="6830" spans="1:1" x14ac:dyDescent="0.25">
      <c r="A6830" t="str">
        <f t="shared" si="128"/>
        <v/>
      </c>
    </row>
    <row r="6831" spans="1:1" x14ac:dyDescent="0.25">
      <c r="A6831" t="str">
        <f t="shared" si="128"/>
        <v/>
      </c>
    </row>
    <row r="6832" spans="1:1" x14ac:dyDescent="0.25">
      <c r="A6832" t="str">
        <f t="shared" si="128"/>
        <v/>
      </c>
    </row>
    <row r="6833" spans="1:1" x14ac:dyDescent="0.25">
      <c r="A6833" t="str">
        <f t="shared" si="128"/>
        <v/>
      </c>
    </row>
    <row r="6834" spans="1:1" x14ac:dyDescent="0.25">
      <c r="A6834" t="str">
        <f t="shared" si="128"/>
        <v/>
      </c>
    </row>
    <row r="6835" spans="1:1" x14ac:dyDescent="0.25">
      <c r="A6835" t="str">
        <f t="shared" si="128"/>
        <v/>
      </c>
    </row>
    <row r="6836" spans="1:1" x14ac:dyDescent="0.25">
      <c r="A6836" t="str">
        <f t="shared" si="128"/>
        <v/>
      </c>
    </row>
    <row r="6837" spans="1:1" x14ac:dyDescent="0.25">
      <c r="A6837" t="str">
        <f t="shared" si="128"/>
        <v/>
      </c>
    </row>
    <row r="6838" spans="1:1" x14ac:dyDescent="0.25">
      <c r="A6838" t="str">
        <f t="shared" si="128"/>
        <v/>
      </c>
    </row>
    <row r="6839" spans="1:1" x14ac:dyDescent="0.25">
      <c r="A6839" t="str">
        <f t="shared" si="128"/>
        <v/>
      </c>
    </row>
    <row r="6840" spans="1:1" x14ac:dyDescent="0.25">
      <c r="A6840" t="str">
        <f t="shared" si="128"/>
        <v/>
      </c>
    </row>
    <row r="6841" spans="1:1" x14ac:dyDescent="0.25">
      <c r="A6841" t="str">
        <f t="shared" si="128"/>
        <v/>
      </c>
    </row>
    <row r="6842" spans="1:1" x14ac:dyDescent="0.25">
      <c r="A6842" t="str">
        <f t="shared" si="128"/>
        <v/>
      </c>
    </row>
    <row r="6843" spans="1:1" x14ac:dyDescent="0.25">
      <c r="A6843" t="str">
        <f t="shared" si="128"/>
        <v/>
      </c>
    </row>
    <row r="6844" spans="1:1" x14ac:dyDescent="0.25">
      <c r="A6844" t="str">
        <f t="shared" si="128"/>
        <v/>
      </c>
    </row>
    <row r="6845" spans="1:1" x14ac:dyDescent="0.25">
      <c r="A6845" t="str">
        <f t="shared" si="128"/>
        <v/>
      </c>
    </row>
    <row r="6846" spans="1:1" x14ac:dyDescent="0.25">
      <c r="A6846" t="str">
        <f t="shared" si="128"/>
        <v/>
      </c>
    </row>
    <row r="6847" spans="1:1" x14ac:dyDescent="0.25">
      <c r="A6847" t="str">
        <f t="shared" si="128"/>
        <v/>
      </c>
    </row>
    <row r="6848" spans="1:1" x14ac:dyDescent="0.25">
      <c r="A6848" t="str">
        <f t="shared" si="128"/>
        <v/>
      </c>
    </row>
    <row r="6849" spans="1:1" x14ac:dyDescent="0.25">
      <c r="A6849" t="str">
        <f t="shared" ref="A6849:A6912" si="129">E6849&amp;C6849&amp;D6849</f>
        <v/>
      </c>
    </row>
    <row r="6850" spans="1:1" x14ac:dyDescent="0.25">
      <c r="A6850" t="str">
        <f t="shared" si="129"/>
        <v/>
      </c>
    </row>
    <row r="6851" spans="1:1" x14ac:dyDescent="0.25">
      <c r="A6851" t="str">
        <f t="shared" si="129"/>
        <v/>
      </c>
    </row>
    <row r="6852" spans="1:1" x14ac:dyDescent="0.25">
      <c r="A6852" t="str">
        <f t="shared" si="129"/>
        <v/>
      </c>
    </row>
    <row r="6853" spans="1:1" x14ac:dyDescent="0.25">
      <c r="A6853" t="str">
        <f t="shared" si="129"/>
        <v/>
      </c>
    </row>
    <row r="6854" spans="1:1" x14ac:dyDescent="0.25">
      <c r="A6854" t="str">
        <f t="shared" si="129"/>
        <v/>
      </c>
    </row>
    <row r="6855" spans="1:1" x14ac:dyDescent="0.25">
      <c r="A6855" t="str">
        <f t="shared" si="129"/>
        <v/>
      </c>
    </row>
    <row r="6856" spans="1:1" x14ac:dyDescent="0.25">
      <c r="A6856" t="str">
        <f t="shared" si="129"/>
        <v/>
      </c>
    </row>
    <row r="6857" spans="1:1" x14ac:dyDescent="0.25">
      <c r="A6857" t="str">
        <f t="shared" si="129"/>
        <v/>
      </c>
    </row>
    <row r="6858" spans="1:1" x14ac:dyDescent="0.25">
      <c r="A6858" t="str">
        <f t="shared" si="129"/>
        <v/>
      </c>
    </row>
    <row r="6859" spans="1:1" x14ac:dyDescent="0.25">
      <c r="A6859" t="str">
        <f t="shared" si="129"/>
        <v/>
      </c>
    </row>
    <row r="6860" spans="1:1" x14ac:dyDescent="0.25">
      <c r="A6860" t="str">
        <f t="shared" si="129"/>
        <v/>
      </c>
    </row>
    <row r="6861" spans="1:1" x14ac:dyDescent="0.25">
      <c r="A6861" t="str">
        <f t="shared" si="129"/>
        <v/>
      </c>
    </row>
    <row r="6862" spans="1:1" x14ac:dyDescent="0.25">
      <c r="A6862" t="str">
        <f t="shared" si="129"/>
        <v/>
      </c>
    </row>
    <row r="6863" spans="1:1" x14ac:dyDescent="0.25">
      <c r="A6863" t="str">
        <f t="shared" si="129"/>
        <v/>
      </c>
    </row>
    <row r="6864" spans="1:1" x14ac:dyDescent="0.25">
      <c r="A6864" t="str">
        <f t="shared" si="129"/>
        <v/>
      </c>
    </row>
    <row r="6865" spans="1:1" x14ac:dyDescent="0.25">
      <c r="A6865" t="str">
        <f t="shared" si="129"/>
        <v/>
      </c>
    </row>
    <row r="6866" spans="1:1" x14ac:dyDescent="0.25">
      <c r="A6866" t="str">
        <f t="shared" si="129"/>
        <v/>
      </c>
    </row>
    <row r="6867" spans="1:1" x14ac:dyDescent="0.25">
      <c r="A6867" t="str">
        <f t="shared" si="129"/>
        <v/>
      </c>
    </row>
    <row r="6868" spans="1:1" x14ac:dyDescent="0.25">
      <c r="A6868" t="str">
        <f t="shared" si="129"/>
        <v/>
      </c>
    </row>
    <row r="6869" spans="1:1" x14ac:dyDescent="0.25">
      <c r="A6869" t="str">
        <f t="shared" si="129"/>
        <v/>
      </c>
    </row>
    <row r="6870" spans="1:1" x14ac:dyDescent="0.25">
      <c r="A6870" t="str">
        <f t="shared" si="129"/>
        <v/>
      </c>
    </row>
    <row r="6871" spans="1:1" x14ac:dyDescent="0.25">
      <c r="A6871" t="str">
        <f t="shared" si="129"/>
        <v/>
      </c>
    </row>
    <row r="6872" spans="1:1" x14ac:dyDescent="0.25">
      <c r="A6872" t="str">
        <f t="shared" si="129"/>
        <v/>
      </c>
    </row>
    <row r="6873" spans="1:1" x14ac:dyDescent="0.25">
      <c r="A6873" t="str">
        <f t="shared" si="129"/>
        <v/>
      </c>
    </row>
    <row r="6874" spans="1:1" x14ac:dyDescent="0.25">
      <c r="A6874" t="str">
        <f t="shared" si="129"/>
        <v/>
      </c>
    </row>
    <row r="6875" spans="1:1" x14ac:dyDescent="0.25">
      <c r="A6875" t="str">
        <f t="shared" si="129"/>
        <v/>
      </c>
    </row>
    <row r="6876" spans="1:1" x14ac:dyDescent="0.25">
      <c r="A6876" t="str">
        <f t="shared" si="129"/>
        <v/>
      </c>
    </row>
    <row r="6877" spans="1:1" x14ac:dyDescent="0.25">
      <c r="A6877" t="str">
        <f t="shared" si="129"/>
        <v/>
      </c>
    </row>
    <row r="6878" spans="1:1" x14ac:dyDescent="0.25">
      <c r="A6878" t="str">
        <f t="shared" si="129"/>
        <v/>
      </c>
    </row>
    <row r="6879" spans="1:1" x14ac:dyDescent="0.25">
      <c r="A6879" t="str">
        <f t="shared" si="129"/>
        <v/>
      </c>
    </row>
    <row r="6880" spans="1:1" x14ac:dyDescent="0.25">
      <c r="A6880" t="str">
        <f t="shared" si="129"/>
        <v/>
      </c>
    </row>
    <row r="6881" spans="1:1" x14ac:dyDescent="0.25">
      <c r="A6881" t="str">
        <f t="shared" si="129"/>
        <v/>
      </c>
    </row>
    <row r="6882" spans="1:1" x14ac:dyDescent="0.25">
      <c r="A6882" t="str">
        <f t="shared" si="129"/>
        <v/>
      </c>
    </row>
    <row r="6883" spans="1:1" x14ac:dyDescent="0.25">
      <c r="A6883" t="str">
        <f t="shared" si="129"/>
        <v/>
      </c>
    </row>
    <row r="6884" spans="1:1" x14ac:dyDescent="0.25">
      <c r="A6884" t="str">
        <f t="shared" si="129"/>
        <v/>
      </c>
    </row>
    <row r="6885" spans="1:1" x14ac:dyDescent="0.25">
      <c r="A6885" t="str">
        <f t="shared" si="129"/>
        <v/>
      </c>
    </row>
    <row r="6886" spans="1:1" x14ac:dyDescent="0.25">
      <c r="A6886" t="str">
        <f t="shared" si="129"/>
        <v/>
      </c>
    </row>
    <row r="6887" spans="1:1" x14ac:dyDescent="0.25">
      <c r="A6887" t="str">
        <f t="shared" si="129"/>
        <v/>
      </c>
    </row>
    <row r="6888" spans="1:1" x14ac:dyDescent="0.25">
      <c r="A6888" t="str">
        <f t="shared" si="129"/>
        <v/>
      </c>
    </row>
    <row r="6889" spans="1:1" x14ac:dyDescent="0.25">
      <c r="A6889" t="str">
        <f t="shared" si="129"/>
        <v/>
      </c>
    </row>
    <row r="6890" spans="1:1" x14ac:dyDescent="0.25">
      <c r="A6890" t="str">
        <f t="shared" si="129"/>
        <v/>
      </c>
    </row>
    <row r="6891" spans="1:1" x14ac:dyDescent="0.25">
      <c r="A6891" t="str">
        <f t="shared" si="129"/>
        <v/>
      </c>
    </row>
    <row r="6892" spans="1:1" x14ac:dyDescent="0.25">
      <c r="A6892" t="str">
        <f t="shared" si="129"/>
        <v/>
      </c>
    </row>
    <row r="6893" spans="1:1" x14ac:dyDescent="0.25">
      <c r="A6893" t="str">
        <f t="shared" si="129"/>
        <v/>
      </c>
    </row>
    <row r="6894" spans="1:1" x14ac:dyDescent="0.25">
      <c r="A6894" t="str">
        <f t="shared" si="129"/>
        <v/>
      </c>
    </row>
    <row r="6895" spans="1:1" x14ac:dyDescent="0.25">
      <c r="A6895" t="str">
        <f t="shared" si="129"/>
        <v/>
      </c>
    </row>
    <row r="6896" spans="1:1" x14ac:dyDescent="0.25">
      <c r="A6896" t="str">
        <f t="shared" si="129"/>
        <v/>
      </c>
    </row>
    <row r="6897" spans="1:1" x14ac:dyDescent="0.25">
      <c r="A6897" t="str">
        <f t="shared" si="129"/>
        <v/>
      </c>
    </row>
    <row r="6898" spans="1:1" x14ac:dyDescent="0.25">
      <c r="A6898" t="str">
        <f t="shared" si="129"/>
        <v/>
      </c>
    </row>
    <row r="6899" spans="1:1" x14ac:dyDescent="0.25">
      <c r="A6899" t="str">
        <f t="shared" si="129"/>
        <v/>
      </c>
    </row>
    <row r="6900" spans="1:1" x14ac:dyDescent="0.25">
      <c r="A6900" t="str">
        <f t="shared" si="129"/>
        <v/>
      </c>
    </row>
    <row r="6901" spans="1:1" x14ac:dyDescent="0.25">
      <c r="A6901" t="str">
        <f t="shared" si="129"/>
        <v/>
      </c>
    </row>
    <row r="6902" spans="1:1" x14ac:dyDescent="0.25">
      <c r="A6902" t="str">
        <f t="shared" si="129"/>
        <v/>
      </c>
    </row>
    <row r="6903" spans="1:1" x14ac:dyDescent="0.25">
      <c r="A6903" t="str">
        <f t="shared" si="129"/>
        <v/>
      </c>
    </row>
    <row r="6904" spans="1:1" x14ac:dyDescent="0.25">
      <c r="A6904" t="str">
        <f t="shared" si="129"/>
        <v/>
      </c>
    </row>
    <row r="6905" spans="1:1" x14ac:dyDescent="0.25">
      <c r="A6905" t="str">
        <f t="shared" si="129"/>
        <v/>
      </c>
    </row>
    <row r="6906" spans="1:1" x14ac:dyDescent="0.25">
      <c r="A6906" t="str">
        <f t="shared" si="129"/>
        <v/>
      </c>
    </row>
    <row r="6907" spans="1:1" x14ac:dyDescent="0.25">
      <c r="A6907" t="str">
        <f t="shared" si="129"/>
        <v/>
      </c>
    </row>
    <row r="6908" spans="1:1" x14ac:dyDescent="0.25">
      <c r="A6908" t="str">
        <f t="shared" si="129"/>
        <v/>
      </c>
    </row>
    <row r="6909" spans="1:1" x14ac:dyDescent="0.25">
      <c r="A6909" t="str">
        <f t="shared" si="129"/>
        <v/>
      </c>
    </row>
    <row r="6910" spans="1:1" x14ac:dyDescent="0.25">
      <c r="A6910" t="str">
        <f t="shared" si="129"/>
        <v/>
      </c>
    </row>
    <row r="6911" spans="1:1" x14ac:dyDescent="0.25">
      <c r="A6911" t="str">
        <f t="shared" si="129"/>
        <v/>
      </c>
    </row>
    <row r="6912" spans="1:1" x14ac:dyDescent="0.25">
      <c r="A6912" t="str">
        <f t="shared" si="129"/>
        <v/>
      </c>
    </row>
    <row r="6913" spans="1:1" x14ac:dyDescent="0.25">
      <c r="A6913" t="str">
        <f t="shared" ref="A6913:A6976" si="130">E6913&amp;C6913&amp;D6913</f>
        <v/>
      </c>
    </row>
    <row r="6914" spans="1:1" x14ac:dyDescent="0.25">
      <c r="A6914" t="str">
        <f t="shared" si="130"/>
        <v/>
      </c>
    </row>
    <row r="6915" spans="1:1" x14ac:dyDescent="0.25">
      <c r="A6915" t="str">
        <f t="shared" si="130"/>
        <v/>
      </c>
    </row>
    <row r="6916" spans="1:1" x14ac:dyDescent="0.25">
      <c r="A6916" t="str">
        <f t="shared" si="130"/>
        <v/>
      </c>
    </row>
    <row r="6917" spans="1:1" x14ac:dyDescent="0.25">
      <c r="A6917" t="str">
        <f t="shared" si="130"/>
        <v/>
      </c>
    </row>
    <row r="6918" spans="1:1" x14ac:dyDescent="0.25">
      <c r="A6918" t="str">
        <f t="shared" si="130"/>
        <v/>
      </c>
    </row>
    <row r="6919" spans="1:1" x14ac:dyDescent="0.25">
      <c r="A6919" t="str">
        <f t="shared" si="130"/>
        <v/>
      </c>
    </row>
    <row r="6920" spans="1:1" x14ac:dyDescent="0.25">
      <c r="A6920" t="str">
        <f t="shared" si="130"/>
        <v/>
      </c>
    </row>
    <row r="6921" spans="1:1" x14ac:dyDescent="0.25">
      <c r="A6921" t="str">
        <f t="shared" si="130"/>
        <v/>
      </c>
    </row>
    <row r="6922" spans="1:1" x14ac:dyDescent="0.25">
      <c r="A6922" t="str">
        <f t="shared" si="130"/>
        <v/>
      </c>
    </row>
    <row r="6923" spans="1:1" x14ac:dyDescent="0.25">
      <c r="A6923" t="str">
        <f t="shared" si="130"/>
        <v/>
      </c>
    </row>
    <row r="6924" spans="1:1" x14ac:dyDescent="0.25">
      <c r="A6924" t="str">
        <f t="shared" si="130"/>
        <v/>
      </c>
    </row>
    <row r="6925" spans="1:1" x14ac:dyDescent="0.25">
      <c r="A6925" t="str">
        <f t="shared" si="130"/>
        <v/>
      </c>
    </row>
    <row r="6926" spans="1:1" x14ac:dyDescent="0.25">
      <c r="A6926" t="str">
        <f t="shared" si="130"/>
        <v/>
      </c>
    </row>
    <row r="6927" spans="1:1" x14ac:dyDescent="0.25">
      <c r="A6927" t="str">
        <f t="shared" si="130"/>
        <v/>
      </c>
    </row>
    <row r="6928" spans="1:1" x14ac:dyDescent="0.25">
      <c r="A6928" t="str">
        <f t="shared" si="130"/>
        <v/>
      </c>
    </row>
    <row r="6929" spans="1:1" x14ac:dyDescent="0.25">
      <c r="A6929" t="str">
        <f t="shared" si="130"/>
        <v/>
      </c>
    </row>
    <row r="6930" spans="1:1" x14ac:dyDescent="0.25">
      <c r="A6930" t="str">
        <f t="shared" si="130"/>
        <v/>
      </c>
    </row>
    <row r="6931" spans="1:1" x14ac:dyDescent="0.25">
      <c r="A6931" t="str">
        <f t="shared" si="130"/>
        <v/>
      </c>
    </row>
    <row r="6932" spans="1:1" x14ac:dyDescent="0.25">
      <c r="A6932" t="str">
        <f t="shared" si="130"/>
        <v/>
      </c>
    </row>
    <row r="6933" spans="1:1" x14ac:dyDescent="0.25">
      <c r="A6933" t="str">
        <f t="shared" si="130"/>
        <v/>
      </c>
    </row>
    <row r="6934" spans="1:1" x14ac:dyDescent="0.25">
      <c r="A6934" t="str">
        <f t="shared" si="130"/>
        <v/>
      </c>
    </row>
    <row r="6935" spans="1:1" x14ac:dyDescent="0.25">
      <c r="A6935" t="str">
        <f t="shared" si="130"/>
        <v/>
      </c>
    </row>
    <row r="6936" spans="1:1" x14ac:dyDescent="0.25">
      <c r="A6936" t="str">
        <f t="shared" si="130"/>
        <v/>
      </c>
    </row>
    <row r="6937" spans="1:1" x14ac:dyDescent="0.25">
      <c r="A6937" t="str">
        <f t="shared" si="130"/>
        <v/>
      </c>
    </row>
    <row r="6938" spans="1:1" x14ac:dyDescent="0.25">
      <c r="A6938" t="str">
        <f t="shared" si="130"/>
        <v/>
      </c>
    </row>
    <row r="6939" spans="1:1" x14ac:dyDescent="0.25">
      <c r="A6939" t="str">
        <f t="shared" si="130"/>
        <v/>
      </c>
    </row>
    <row r="6940" spans="1:1" x14ac:dyDescent="0.25">
      <c r="A6940" t="str">
        <f t="shared" si="130"/>
        <v/>
      </c>
    </row>
    <row r="6941" spans="1:1" x14ac:dyDescent="0.25">
      <c r="A6941" t="str">
        <f t="shared" si="130"/>
        <v/>
      </c>
    </row>
    <row r="6942" spans="1:1" x14ac:dyDescent="0.25">
      <c r="A6942" t="str">
        <f t="shared" si="130"/>
        <v/>
      </c>
    </row>
    <row r="6943" spans="1:1" x14ac:dyDescent="0.25">
      <c r="A6943" t="str">
        <f t="shared" si="130"/>
        <v/>
      </c>
    </row>
    <row r="6944" spans="1:1" x14ac:dyDescent="0.25">
      <c r="A6944" t="str">
        <f t="shared" si="130"/>
        <v/>
      </c>
    </row>
    <row r="6945" spans="1:1" x14ac:dyDescent="0.25">
      <c r="A6945" t="str">
        <f t="shared" si="130"/>
        <v/>
      </c>
    </row>
    <row r="6946" spans="1:1" x14ac:dyDescent="0.25">
      <c r="A6946" t="str">
        <f t="shared" si="130"/>
        <v/>
      </c>
    </row>
    <row r="6947" spans="1:1" x14ac:dyDescent="0.25">
      <c r="A6947" t="str">
        <f t="shared" si="130"/>
        <v/>
      </c>
    </row>
    <row r="6948" spans="1:1" x14ac:dyDescent="0.25">
      <c r="A6948" t="str">
        <f t="shared" si="130"/>
        <v/>
      </c>
    </row>
    <row r="6949" spans="1:1" x14ac:dyDescent="0.25">
      <c r="A6949" t="str">
        <f t="shared" si="130"/>
        <v/>
      </c>
    </row>
    <row r="6950" spans="1:1" x14ac:dyDescent="0.25">
      <c r="A6950" t="str">
        <f t="shared" si="130"/>
        <v/>
      </c>
    </row>
    <row r="6951" spans="1:1" x14ac:dyDescent="0.25">
      <c r="A6951" t="str">
        <f t="shared" si="130"/>
        <v/>
      </c>
    </row>
    <row r="6952" spans="1:1" x14ac:dyDescent="0.25">
      <c r="A6952" t="str">
        <f t="shared" si="130"/>
        <v/>
      </c>
    </row>
    <row r="6953" spans="1:1" x14ac:dyDescent="0.25">
      <c r="A6953" t="str">
        <f t="shared" si="130"/>
        <v/>
      </c>
    </row>
    <row r="6954" spans="1:1" x14ac:dyDescent="0.25">
      <c r="A6954" t="str">
        <f t="shared" si="130"/>
        <v/>
      </c>
    </row>
    <row r="6955" spans="1:1" x14ac:dyDescent="0.25">
      <c r="A6955" t="str">
        <f t="shared" si="130"/>
        <v/>
      </c>
    </row>
    <row r="6956" spans="1:1" x14ac:dyDescent="0.25">
      <c r="A6956" t="str">
        <f t="shared" si="130"/>
        <v/>
      </c>
    </row>
    <row r="6957" spans="1:1" x14ac:dyDescent="0.25">
      <c r="A6957" t="str">
        <f t="shared" si="130"/>
        <v/>
      </c>
    </row>
    <row r="6958" spans="1:1" x14ac:dyDescent="0.25">
      <c r="A6958" t="str">
        <f t="shared" si="130"/>
        <v/>
      </c>
    </row>
    <row r="6959" spans="1:1" x14ac:dyDescent="0.25">
      <c r="A6959" t="str">
        <f t="shared" si="130"/>
        <v/>
      </c>
    </row>
    <row r="6960" spans="1:1" x14ac:dyDescent="0.25">
      <c r="A6960" t="str">
        <f t="shared" si="130"/>
        <v/>
      </c>
    </row>
    <row r="6961" spans="1:1" x14ac:dyDescent="0.25">
      <c r="A6961" t="str">
        <f t="shared" si="130"/>
        <v/>
      </c>
    </row>
    <row r="6962" spans="1:1" x14ac:dyDescent="0.25">
      <c r="A6962" t="str">
        <f t="shared" si="130"/>
        <v/>
      </c>
    </row>
    <row r="6963" spans="1:1" x14ac:dyDescent="0.25">
      <c r="A6963" t="str">
        <f t="shared" si="130"/>
        <v/>
      </c>
    </row>
    <row r="6964" spans="1:1" x14ac:dyDescent="0.25">
      <c r="A6964" t="str">
        <f t="shared" si="130"/>
        <v/>
      </c>
    </row>
    <row r="6965" spans="1:1" x14ac:dyDescent="0.25">
      <c r="A6965" t="str">
        <f t="shared" si="130"/>
        <v/>
      </c>
    </row>
    <row r="6966" spans="1:1" x14ac:dyDescent="0.25">
      <c r="A6966" t="str">
        <f t="shared" si="130"/>
        <v/>
      </c>
    </row>
    <row r="6967" spans="1:1" x14ac:dyDescent="0.25">
      <c r="A6967" t="str">
        <f t="shared" si="130"/>
        <v/>
      </c>
    </row>
    <row r="6968" spans="1:1" x14ac:dyDescent="0.25">
      <c r="A6968" t="str">
        <f t="shared" si="130"/>
        <v/>
      </c>
    </row>
    <row r="6969" spans="1:1" x14ac:dyDescent="0.25">
      <c r="A6969" t="str">
        <f t="shared" si="130"/>
        <v/>
      </c>
    </row>
    <row r="6970" spans="1:1" x14ac:dyDescent="0.25">
      <c r="A6970" t="str">
        <f t="shared" si="130"/>
        <v/>
      </c>
    </row>
    <row r="6971" spans="1:1" x14ac:dyDescent="0.25">
      <c r="A6971" t="str">
        <f t="shared" si="130"/>
        <v/>
      </c>
    </row>
    <row r="6972" spans="1:1" x14ac:dyDescent="0.25">
      <c r="A6972" t="str">
        <f t="shared" si="130"/>
        <v/>
      </c>
    </row>
    <row r="6973" spans="1:1" x14ac:dyDescent="0.25">
      <c r="A6973" t="str">
        <f t="shared" si="130"/>
        <v/>
      </c>
    </row>
    <row r="6974" spans="1:1" x14ac:dyDescent="0.25">
      <c r="A6974" t="str">
        <f t="shared" si="130"/>
        <v/>
      </c>
    </row>
    <row r="6975" spans="1:1" x14ac:dyDescent="0.25">
      <c r="A6975" t="str">
        <f t="shared" si="130"/>
        <v/>
      </c>
    </row>
    <row r="6976" spans="1:1" x14ac:dyDescent="0.25">
      <c r="A6976" t="str">
        <f t="shared" si="130"/>
        <v/>
      </c>
    </row>
    <row r="6977" spans="1:1" x14ac:dyDescent="0.25">
      <c r="A6977" t="str">
        <f t="shared" ref="A6977:A7040" si="131">E6977&amp;C6977&amp;D6977</f>
        <v/>
      </c>
    </row>
    <row r="6978" spans="1:1" x14ac:dyDescent="0.25">
      <c r="A6978" t="str">
        <f t="shared" si="131"/>
        <v/>
      </c>
    </row>
    <row r="6979" spans="1:1" x14ac:dyDescent="0.25">
      <c r="A6979" t="str">
        <f t="shared" si="131"/>
        <v/>
      </c>
    </row>
    <row r="6980" spans="1:1" x14ac:dyDescent="0.25">
      <c r="A6980" t="str">
        <f t="shared" si="131"/>
        <v/>
      </c>
    </row>
    <row r="6981" spans="1:1" x14ac:dyDescent="0.25">
      <c r="A6981" t="str">
        <f t="shared" si="131"/>
        <v/>
      </c>
    </row>
    <row r="6982" spans="1:1" x14ac:dyDescent="0.25">
      <c r="A6982" t="str">
        <f t="shared" si="131"/>
        <v/>
      </c>
    </row>
    <row r="6983" spans="1:1" x14ac:dyDescent="0.25">
      <c r="A6983" t="str">
        <f t="shared" si="131"/>
        <v/>
      </c>
    </row>
    <row r="6984" spans="1:1" x14ac:dyDescent="0.25">
      <c r="A6984" t="str">
        <f t="shared" si="131"/>
        <v/>
      </c>
    </row>
    <row r="6985" spans="1:1" x14ac:dyDescent="0.25">
      <c r="A6985" t="str">
        <f t="shared" si="131"/>
        <v/>
      </c>
    </row>
    <row r="6986" spans="1:1" x14ac:dyDescent="0.25">
      <c r="A6986" t="str">
        <f t="shared" si="131"/>
        <v/>
      </c>
    </row>
    <row r="6987" spans="1:1" x14ac:dyDescent="0.25">
      <c r="A6987" t="str">
        <f t="shared" si="131"/>
        <v/>
      </c>
    </row>
    <row r="6988" spans="1:1" x14ac:dyDescent="0.25">
      <c r="A6988" t="str">
        <f t="shared" si="131"/>
        <v/>
      </c>
    </row>
    <row r="6989" spans="1:1" x14ac:dyDescent="0.25">
      <c r="A6989" t="str">
        <f t="shared" si="131"/>
        <v/>
      </c>
    </row>
    <row r="6990" spans="1:1" x14ac:dyDescent="0.25">
      <c r="A6990" t="str">
        <f t="shared" si="131"/>
        <v/>
      </c>
    </row>
    <row r="6991" spans="1:1" x14ac:dyDescent="0.25">
      <c r="A6991" t="str">
        <f t="shared" si="131"/>
        <v/>
      </c>
    </row>
    <row r="6992" spans="1:1" x14ac:dyDescent="0.25">
      <c r="A6992" t="str">
        <f t="shared" si="131"/>
        <v/>
      </c>
    </row>
    <row r="6993" spans="1:1" x14ac:dyDescent="0.25">
      <c r="A6993" t="str">
        <f t="shared" si="131"/>
        <v/>
      </c>
    </row>
    <row r="6994" spans="1:1" x14ac:dyDescent="0.25">
      <c r="A6994" t="str">
        <f t="shared" si="131"/>
        <v/>
      </c>
    </row>
    <row r="6995" spans="1:1" x14ac:dyDescent="0.25">
      <c r="A6995" t="str">
        <f t="shared" si="131"/>
        <v/>
      </c>
    </row>
    <row r="6996" spans="1:1" x14ac:dyDescent="0.25">
      <c r="A6996" t="str">
        <f t="shared" si="131"/>
        <v/>
      </c>
    </row>
    <row r="6997" spans="1:1" x14ac:dyDescent="0.25">
      <c r="A6997" t="str">
        <f t="shared" si="131"/>
        <v/>
      </c>
    </row>
    <row r="6998" spans="1:1" x14ac:dyDescent="0.25">
      <c r="A6998" t="str">
        <f t="shared" si="131"/>
        <v/>
      </c>
    </row>
    <row r="6999" spans="1:1" x14ac:dyDescent="0.25">
      <c r="A6999" t="str">
        <f t="shared" si="131"/>
        <v/>
      </c>
    </row>
    <row r="7000" spans="1:1" x14ac:dyDescent="0.25">
      <c r="A7000" t="str">
        <f t="shared" si="131"/>
        <v/>
      </c>
    </row>
    <row r="7001" spans="1:1" x14ac:dyDescent="0.25">
      <c r="A7001" t="str">
        <f t="shared" si="131"/>
        <v/>
      </c>
    </row>
    <row r="7002" spans="1:1" x14ac:dyDescent="0.25">
      <c r="A7002" t="str">
        <f t="shared" si="131"/>
        <v/>
      </c>
    </row>
    <row r="7003" spans="1:1" x14ac:dyDescent="0.25">
      <c r="A7003" t="str">
        <f t="shared" si="131"/>
        <v/>
      </c>
    </row>
    <row r="7004" spans="1:1" x14ac:dyDescent="0.25">
      <c r="A7004" t="str">
        <f t="shared" si="131"/>
        <v/>
      </c>
    </row>
    <row r="7005" spans="1:1" x14ac:dyDescent="0.25">
      <c r="A7005" t="str">
        <f t="shared" si="131"/>
        <v/>
      </c>
    </row>
    <row r="7006" spans="1:1" x14ac:dyDescent="0.25">
      <c r="A7006" t="str">
        <f t="shared" si="131"/>
        <v/>
      </c>
    </row>
    <row r="7007" spans="1:1" x14ac:dyDescent="0.25">
      <c r="A7007" t="str">
        <f t="shared" si="131"/>
        <v/>
      </c>
    </row>
    <row r="7008" spans="1:1" x14ac:dyDescent="0.25">
      <c r="A7008" t="str">
        <f t="shared" si="131"/>
        <v/>
      </c>
    </row>
    <row r="7009" spans="1:1" x14ac:dyDescent="0.25">
      <c r="A7009" t="str">
        <f t="shared" si="131"/>
        <v/>
      </c>
    </row>
    <row r="7010" spans="1:1" x14ac:dyDescent="0.25">
      <c r="A7010" t="str">
        <f t="shared" si="131"/>
        <v/>
      </c>
    </row>
    <row r="7011" spans="1:1" x14ac:dyDescent="0.25">
      <c r="A7011" t="str">
        <f t="shared" si="131"/>
        <v/>
      </c>
    </row>
    <row r="7012" spans="1:1" x14ac:dyDescent="0.25">
      <c r="A7012" t="str">
        <f t="shared" si="131"/>
        <v/>
      </c>
    </row>
    <row r="7013" spans="1:1" x14ac:dyDescent="0.25">
      <c r="A7013" t="str">
        <f t="shared" si="131"/>
        <v/>
      </c>
    </row>
    <row r="7014" spans="1:1" x14ac:dyDescent="0.25">
      <c r="A7014" t="str">
        <f t="shared" si="131"/>
        <v/>
      </c>
    </row>
    <row r="7015" spans="1:1" x14ac:dyDescent="0.25">
      <c r="A7015" t="str">
        <f t="shared" si="131"/>
        <v/>
      </c>
    </row>
    <row r="7016" spans="1:1" x14ac:dyDescent="0.25">
      <c r="A7016" t="str">
        <f t="shared" si="131"/>
        <v/>
      </c>
    </row>
    <row r="7017" spans="1:1" x14ac:dyDescent="0.25">
      <c r="A7017" t="str">
        <f t="shared" si="131"/>
        <v/>
      </c>
    </row>
    <row r="7018" spans="1:1" x14ac:dyDescent="0.25">
      <c r="A7018" t="str">
        <f t="shared" si="131"/>
        <v/>
      </c>
    </row>
    <row r="7019" spans="1:1" x14ac:dyDescent="0.25">
      <c r="A7019" t="str">
        <f t="shared" si="131"/>
        <v/>
      </c>
    </row>
    <row r="7020" spans="1:1" x14ac:dyDescent="0.25">
      <c r="A7020" t="str">
        <f t="shared" si="131"/>
        <v/>
      </c>
    </row>
    <row r="7021" spans="1:1" x14ac:dyDescent="0.25">
      <c r="A7021" t="str">
        <f t="shared" si="131"/>
        <v/>
      </c>
    </row>
    <row r="7022" spans="1:1" x14ac:dyDescent="0.25">
      <c r="A7022" t="str">
        <f t="shared" si="131"/>
        <v/>
      </c>
    </row>
    <row r="7023" spans="1:1" x14ac:dyDescent="0.25">
      <c r="A7023" t="str">
        <f t="shared" si="131"/>
        <v/>
      </c>
    </row>
    <row r="7024" spans="1:1" x14ac:dyDescent="0.25">
      <c r="A7024" t="str">
        <f t="shared" si="131"/>
        <v/>
      </c>
    </row>
    <row r="7025" spans="1:1" x14ac:dyDescent="0.25">
      <c r="A7025" t="str">
        <f t="shared" si="131"/>
        <v/>
      </c>
    </row>
    <row r="7026" spans="1:1" x14ac:dyDescent="0.25">
      <c r="A7026" t="str">
        <f t="shared" si="131"/>
        <v/>
      </c>
    </row>
    <row r="7027" spans="1:1" x14ac:dyDescent="0.25">
      <c r="A7027" t="str">
        <f t="shared" si="131"/>
        <v/>
      </c>
    </row>
    <row r="7028" spans="1:1" x14ac:dyDescent="0.25">
      <c r="A7028" t="str">
        <f t="shared" si="131"/>
        <v/>
      </c>
    </row>
    <row r="7029" spans="1:1" x14ac:dyDescent="0.25">
      <c r="A7029" t="str">
        <f t="shared" si="131"/>
        <v/>
      </c>
    </row>
    <row r="7030" spans="1:1" x14ac:dyDescent="0.25">
      <c r="A7030" t="str">
        <f t="shared" si="131"/>
        <v/>
      </c>
    </row>
    <row r="7031" spans="1:1" x14ac:dyDescent="0.25">
      <c r="A7031" t="str">
        <f t="shared" si="131"/>
        <v/>
      </c>
    </row>
    <row r="7032" spans="1:1" x14ac:dyDescent="0.25">
      <c r="A7032" t="str">
        <f t="shared" si="131"/>
        <v/>
      </c>
    </row>
    <row r="7033" spans="1:1" x14ac:dyDescent="0.25">
      <c r="A7033" t="str">
        <f t="shared" si="131"/>
        <v/>
      </c>
    </row>
    <row r="7034" spans="1:1" x14ac:dyDescent="0.25">
      <c r="A7034" t="str">
        <f t="shared" si="131"/>
        <v/>
      </c>
    </row>
    <row r="7035" spans="1:1" x14ac:dyDescent="0.25">
      <c r="A7035" t="str">
        <f t="shared" si="131"/>
        <v/>
      </c>
    </row>
    <row r="7036" spans="1:1" x14ac:dyDescent="0.25">
      <c r="A7036" t="str">
        <f t="shared" si="131"/>
        <v/>
      </c>
    </row>
    <row r="7037" spans="1:1" x14ac:dyDescent="0.25">
      <c r="A7037" t="str">
        <f t="shared" si="131"/>
        <v/>
      </c>
    </row>
    <row r="7038" spans="1:1" x14ac:dyDescent="0.25">
      <c r="A7038" t="str">
        <f t="shared" si="131"/>
        <v/>
      </c>
    </row>
    <row r="7039" spans="1:1" x14ac:dyDescent="0.25">
      <c r="A7039" t="str">
        <f t="shared" si="131"/>
        <v/>
      </c>
    </row>
    <row r="7040" spans="1:1" x14ac:dyDescent="0.25">
      <c r="A7040" t="str">
        <f t="shared" si="131"/>
        <v/>
      </c>
    </row>
    <row r="7041" spans="1:1" x14ac:dyDescent="0.25">
      <c r="A7041" t="str">
        <f t="shared" ref="A7041:A7104" si="132">E7041&amp;C7041&amp;D7041</f>
        <v/>
      </c>
    </row>
    <row r="7042" spans="1:1" x14ac:dyDescent="0.25">
      <c r="A7042" t="str">
        <f t="shared" si="132"/>
        <v/>
      </c>
    </row>
    <row r="7043" spans="1:1" x14ac:dyDescent="0.25">
      <c r="A7043" t="str">
        <f t="shared" si="132"/>
        <v/>
      </c>
    </row>
    <row r="7044" spans="1:1" x14ac:dyDescent="0.25">
      <c r="A7044" t="str">
        <f t="shared" si="132"/>
        <v/>
      </c>
    </row>
    <row r="7045" spans="1:1" x14ac:dyDescent="0.25">
      <c r="A7045" t="str">
        <f t="shared" si="132"/>
        <v/>
      </c>
    </row>
    <row r="7046" spans="1:1" x14ac:dyDescent="0.25">
      <c r="A7046" t="str">
        <f t="shared" si="132"/>
        <v/>
      </c>
    </row>
    <row r="7047" spans="1:1" x14ac:dyDescent="0.25">
      <c r="A7047" t="str">
        <f t="shared" si="132"/>
        <v/>
      </c>
    </row>
    <row r="7048" spans="1:1" x14ac:dyDescent="0.25">
      <c r="A7048" t="str">
        <f t="shared" si="132"/>
        <v/>
      </c>
    </row>
    <row r="7049" spans="1:1" x14ac:dyDescent="0.25">
      <c r="A7049" t="str">
        <f t="shared" si="132"/>
        <v/>
      </c>
    </row>
    <row r="7050" spans="1:1" x14ac:dyDescent="0.25">
      <c r="A7050" t="str">
        <f t="shared" si="132"/>
        <v/>
      </c>
    </row>
    <row r="7051" spans="1:1" x14ac:dyDescent="0.25">
      <c r="A7051" t="str">
        <f t="shared" si="132"/>
        <v/>
      </c>
    </row>
    <row r="7052" spans="1:1" x14ac:dyDescent="0.25">
      <c r="A7052" t="str">
        <f t="shared" si="132"/>
        <v/>
      </c>
    </row>
    <row r="7053" spans="1:1" x14ac:dyDescent="0.25">
      <c r="A7053" t="str">
        <f t="shared" si="132"/>
        <v/>
      </c>
    </row>
    <row r="7054" spans="1:1" x14ac:dyDescent="0.25">
      <c r="A7054" t="str">
        <f t="shared" si="132"/>
        <v/>
      </c>
    </row>
    <row r="7055" spans="1:1" x14ac:dyDescent="0.25">
      <c r="A7055" t="str">
        <f t="shared" si="132"/>
        <v/>
      </c>
    </row>
    <row r="7056" spans="1:1" x14ac:dyDescent="0.25">
      <c r="A7056" t="str">
        <f t="shared" si="132"/>
        <v/>
      </c>
    </row>
    <row r="7057" spans="1:1" x14ac:dyDescent="0.25">
      <c r="A7057" t="str">
        <f t="shared" si="132"/>
        <v/>
      </c>
    </row>
    <row r="7058" spans="1:1" x14ac:dyDescent="0.25">
      <c r="A7058" t="str">
        <f t="shared" si="132"/>
        <v/>
      </c>
    </row>
    <row r="7059" spans="1:1" x14ac:dyDescent="0.25">
      <c r="A7059" t="str">
        <f t="shared" si="132"/>
        <v/>
      </c>
    </row>
    <row r="7060" spans="1:1" x14ac:dyDescent="0.25">
      <c r="A7060" t="str">
        <f t="shared" si="132"/>
        <v/>
      </c>
    </row>
    <row r="7061" spans="1:1" x14ac:dyDescent="0.25">
      <c r="A7061" t="str">
        <f t="shared" si="132"/>
        <v/>
      </c>
    </row>
    <row r="7062" spans="1:1" x14ac:dyDescent="0.25">
      <c r="A7062" t="str">
        <f t="shared" si="132"/>
        <v/>
      </c>
    </row>
    <row r="7063" spans="1:1" x14ac:dyDescent="0.25">
      <c r="A7063" t="str">
        <f t="shared" si="132"/>
        <v/>
      </c>
    </row>
    <row r="7064" spans="1:1" x14ac:dyDescent="0.25">
      <c r="A7064" t="str">
        <f t="shared" si="132"/>
        <v/>
      </c>
    </row>
    <row r="7065" spans="1:1" x14ac:dyDescent="0.25">
      <c r="A7065" t="str">
        <f t="shared" si="132"/>
        <v/>
      </c>
    </row>
    <row r="7066" spans="1:1" x14ac:dyDescent="0.25">
      <c r="A7066" t="str">
        <f t="shared" si="132"/>
        <v/>
      </c>
    </row>
    <row r="7067" spans="1:1" x14ac:dyDescent="0.25">
      <c r="A7067" t="str">
        <f t="shared" si="132"/>
        <v/>
      </c>
    </row>
    <row r="7068" spans="1:1" x14ac:dyDescent="0.25">
      <c r="A7068" t="str">
        <f t="shared" si="132"/>
        <v/>
      </c>
    </row>
    <row r="7069" spans="1:1" x14ac:dyDescent="0.25">
      <c r="A7069" t="str">
        <f t="shared" si="132"/>
        <v/>
      </c>
    </row>
    <row r="7070" spans="1:1" x14ac:dyDescent="0.25">
      <c r="A7070" t="str">
        <f t="shared" si="132"/>
        <v/>
      </c>
    </row>
    <row r="7071" spans="1:1" x14ac:dyDescent="0.25">
      <c r="A7071" t="str">
        <f t="shared" si="132"/>
        <v/>
      </c>
    </row>
    <row r="7072" spans="1:1" x14ac:dyDescent="0.25">
      <c r="A7072" t="str">
        <f t="shared" si="132"/>
        <v/>
      </c>
    </row>
    <row r="7073" spans="1:1" x14ac:dyDescent="0.25">
      <c r="A7073" t="str">
        <f t="shared" si="132"/>
        <v/>
      </c>
    </row>
    <row r="7074" spans="1:1" x14ac:dyDescent="0.25">
      <c r="A7074" t="str">
        <f t="shared" si="132"/>
        <v/>
      </c>
    </row>
    <row r="7075" spans="1:1" x14ac:dyDescent="0.25">
      <c r="A7075" t="str">
        <f t="shared" si="132"/>
        <v/>
      </c>
    </row>
    <row r="7076" spans="1:1" x14ac:dyDescent="0.25">
      <c r="A7076" t="str">
        <f t="shared" si="132"/>
        <v/>
      </c>
    </row>
    <row r="7077" spans="1:1" x14ac:dyDescent="0.25">
      <c r="A7077" t="str">
        <f t="shared" si="132"/>
        <v/>
      </c>
    </row>
    <row r="7078" spans="1:1" x14ac:dyDescent="0.25">
      <c r="A7078" t="str">
        <f t="shared" si="132"/>
        <v/>
      </c>
    </row>
    <row r="7079" spans="1:1" x14ac:dyDescent="0.25">
      <c r="A7079" t="str">
        <f t="shared" si="132"/>
        <v/>
      </c>
    </row>
    <row r="7080" spans="1:1" x14ac:dyDescent="0.25">
      <c r="A7080" t="str">
        <f t="shared" si="132"/>
        <v/>
      </c>
    </row>
    <row r="7081" spans="1:1" x14ac:dyDescent="0.25">
      <c r="A7081" t="str">
        <f t="shared" si="132"/>
        <v/>
      </c>
    </row>
    <row r="7082" spans="1:1" x14ac:dyDescent="0.25">
      <c r="A7082" t="str">
        <f t="shared" si="132"/>
        <v/>
      </c>
    </row>
    <row r="7083" spans="1:1" x14ac:dyDescent="0.25">
      <c r="A7083" t="str">
        <f t="shared" si="132"/>
        <v/>
      </c>
    </row>
    <row r="7084" spans="1:1" x14ac:dyDescent="0.25">
      <c r="A7084" t="str">
        <f t="shared" si="132"/>
        <v/>
      </c>
    </row>
    <row r="7085" spans="1:1" x14ac:dyDescent="0.25">
      <c r="A7085" t="str">
        <f t="shared" si="132"/>
        <v/>
      </c>
    </row>
    <row r="7086" spans="1:1" x14ac:dyDescent="0.25">
      <c r="A7086" t="str">
        <f t="shared" si="132"/>
        <v/>
      </c>
    </row>
    <row r="7087" spans="1:1" x14ac:dyDescent="0.25">
      <c r="A7087" t="str">
        <f t="shared" si="132"/>
        <v/>
      </c>
    </row>
    <row r="7088" spans="1:1" x14ac:dyDescent="0.25">
      <c r="A7088" t="str">
        <f t="shared" si="132"/>
        <v/>
      </c>
    </row>
    <row r="7089" spans="1:1" x14ac:dyDescent="0.25">
      <c r="A7089" t="str">
        <f t="shared" si="132"/>
        <v/>
      </c>
    </row>
    <row r="7090" spans="1:1" x14ac:dyDescent="0.25">
      <c r="A7090" t="str">
        <f t="shared" si="132"/>
        <v/>
      </c>
    </row>
    <row r="7091" spans="1:1" x14ac:dyDescent="0.25">
      <c r="A7091" t="str">
        <f t="shared" si="132"/>
        <v/>
      </c>
    </row>
    <row r="7092" spans="1:1" x14ac:dyDescent="0.25">
      <c r="A7092" t="str">
        <f t="shared" si="132"/>
        <v/>
      </c>
    </row>
    <row r="7093" spans="1:1" x14ac:dyDescent="0.25">
      <c r="A7093" t="str">
        <f t="shared" si="132"/>
        <v/>
      </c>
    </row>
    <row r="7094" spans="1:1" x14ac:dyDescent="0.25">
      <c r="A7094" t="str">
        <f t="shared" si="132"/>
        <v/>
      </c>
    </row>
    <row r="7095" spans="1:1" x14ac:dyDescent="0.25">
      <c r="A7095" t="str">
        <f t="shared" si="132"/>
        <v/>
      </c>
    </row>
    <row r="7096" spans="1:1" x14ac:dyDescent="0.25">
      <c r="A7096" t="str">
        <f t="shared" si="132"/>
        <v/>
      </c>
    </row>
    <row r="7097" spans="1:1" x14ac:dyDescent="0.25">
      <c r="A7097" t="str">
        <f t="shared" si="132"/>
        <v/>
      </c>
    </row>
    <row r="7098" spans="1:1" x14ac:dyDescent="0.25">
      <c r="A7098" t="str">
        <f t="shared" si="132"/>
        <v/>
      </c>
    </row>
    <row r="7099" spans="1:1" x14ac:dyDescent="0.25">
      <c r="A7099" t="str">
        <f t="shared" si="132"/>
        <v/>
      </c>
    </row>
    <row r="7100" spans="1:1" x14ac:dyDescent="0.25">
      <c r="A7100" t="str">
        <f t="shared" si="132"/>
        <v/>
      </c>
    </row>
    <row r="7101" spans="1:1" x14ac:dyDescent="0.25">
      <c r="A7101" t="str">
        <f t="shared" si="132"/>
        <v/>
      </c>
    </row>
    <row r="7102" spans="1:1" x14ac:dyDescent="0.25">
      <c r="A7102" t="str">
        <f t="shared" si="132"/>
        <v/>
      </c>
    </row>
    <row r="7103" spans="1:1" x14ac:dyDescent="0.25">
      <c r="A7103" t="str">
        <f t="shared" si="132"/>
        <v/>
      </c>
    </row>
    <row r="7104" spans="1:1" x14ac:dyDescent="0.25">
      <c r="A7104" t="str">
        <f t="shared" si="132"/>
        <v/>
      </c>
    </row>
    <row r="7105" spans="1:1" x14ac:dyDescent="0.25">
      <c r="A7105" t="str">
        <f t="shared" ref="A7105:A7168" si="133">E7105&amp;C7105&amp;D7105</f>
        <v/>
      </c>
    </row>
    <row r="7106" spans="1:1" x14ac:dyDescent="0.25">
      <c r="A7106" t="str">
        <f t="shared" si="133"/>
        <v/>
      </c>
    </row>
    <row r="7107" spans="1:1" x14ac:dyDescent="0.25">
      <c r="A7107" t="str">
        <f t="shared" si="133"/>
        <v/>
      </c>
    </row>
    <row r="7108" spans="1:1" x14ac:dyDescent="0.25">
      <c r="A7108" t="str">
        <f t="shared" si="133"/>
        <v/>
      </c>
    </row>
    <row r="7109" spans="1:1" x14ac:dyDescent="0.25">
      <c r="A7109" t="str">
        <f t="shared" si="133"/>
        <v/>
      </c>
    </row>
    <row r="7110" spans="1:1" x14ac:dyDescent="0.25">
      <c r="A7110" t="str">
        <f t="shared" si="133"/>
        <v/>
      </c>
    </row>
    <row r="7111" spans="1:1" x14ac:dyDescent="0.25">
      <c r="A7111" t="str">
        <f t="shared" si="133"/>
        <v/>
      </c>
    </row>
    <row r="7112" spans="1:1" x14ac:dyDescent="0.25">
      <c r="A7112" t="str">
        <f t="shared" si="133"/>
        <v/>
      </c>
    </row>
    <row r="7113" spans="1:1" x14ac:dyDescent="0.25">
      <c r="A7113" t="str">
        <f t="shared" si="133"/>
        <v/>
      </c>
    </row>
    <row r="7114" spans="1:1" x14ac:dyDescent="0.25">
      <c r="A7114" t="str">
        <f t="shared" si="133"/>
        <v/>
      </c>
    </row>
    <row r="7115" spans="1:1" x14ac:dyDescent="0.25">
      <c r="A7115" t="str">
        <f t="shared" si="133"/>
        <v/>
      </c>
    </row>
    <row r="7116" spans="1:1" x14ac:dyDescent="0.25">
      <c r="A7116" t="str">
        <f t="shared" si="133"/>
        <v/>
      </c>
    </row>
    <row r="7117" spans="1:1" x14ac:dyDescent="0.25">
      <c r="A7117" t="str">
        <f t="shared" si="133"/>
        <v/>
      </c>
    </row>
    <row r="7118" spans="1:1" x14ac:dyDescent="0.25">
      <c r="A7118" t="str">
        <f t="shared" si="133"/>
        <v/>
      </c>
    </row>
    <row r="7119" spans="1:1" x14ac:dyDescent="0.25">
      <c r="A7119" t="str">
        <f t="shared" si="133"/>
        <v/>
      </c>
    </row>
    <row r="7120" spans="1:1" x14ac:dyDescent="0.25">
      <c r="A7120" t="str">
        <f t="shared" si="133"/>
        <v/>
      </c>
    </row>
    <row r="7121" spans="1:1" x14ac:dyDescent="0.25">
      <c r="A7121" t="str">
        <f t="shared" si="133"/>
        <v/>
      </c>
    </row>
    <row r="7122" spans="1:1" x14ac:dyDescent="0.25">
      <c r="A7122" t="str">
        <f t="shared" si="133"/>
        <v/>
      </c>
    </row>
    <row r="7123" spans="1:1" x14ac:dyDescent="0.25">
      <c r="A7123" t="str">
        <f t="shared" si="133"/>
        <v/>
      </c>
    </row>
    <row r="7124" spans="1:1" x14ac:dyDescent="0.25">
      <c r="A7124" t="str">
        <f t="shared" si="133"/>
        <v/>
      </c>
    </row>
    <row r="7125" spans="1:1" x14ac:dyDescent="0.25">
      <c r="A7125" t="str">
        <f t="shared" si="133"/>
        <v/>
      </c>
    </row>
    <row r="7126" spans="1:1" x14ac:dyDescent="0.25">
      <c r="A7126" t="str">
        <f t="shared" si="133"/>
        <v/>
      </c>
    </row>
    <row r="7127" spans="1:1" x14ac:dyDescent="0.25">
      <c r="A7127" t="str">
        <f t="shared" si="133"/>
        <v/>
      </c>
    </row>
    <row r="7128" spans="1:1" x14ac:dyDescent="0.25">
      <c r="A7128" t="str">
        <f t="shared" si="133"/>
        <v/>
      </c>
    </row>
    <row r="7129" spans="1:1" x14ac:dyDescent="0.25">
      <c r="A7129" t="str">
        <f t="shared" si="133"/>
        <v/>
      </c>
    </row>
    <row r="7130" spans="1:1" x14ac:dyDescent="0.25">
      <c r="A7130" t="str">
        <f t="shared" si="133"/>
        <v/>
      </c>
    </row>
    <row r="7131" spans="1:1" x14ac:dyDescent="0.25">
      <c r="A7131" t="str">
        <f t="shared" si="133"/>
        <v/>
      </c>
    </row>
    <row r="7132" spans="1:1" x14ac:dyDescent="0.25">
      <c r="A7132" t="str">
        <f t="shared" si="133"/>
        <v/>
      </c>
    </row>
    <row r="7133" spans="1:1" x14ac:dyDescent="0.25">
      <c r="A7133" t="str">
        <f t="shared" si="133"/>
        <v/>
      </c>
    </row>
    <row r="7134" spans="1:1" x14ac:dyDescent="0.25">
      <c r="A7134" t="str">
        <f t="shared" si="133"/>
        <v/>
      </c>
    </row>
    <row r="7135" spans="1:1" x14ac:dyDescent="0.25">
      <c r="A7135" t="str">
        <f t="shared" si="133"/>
        <v/>
      </c>
    </row>
    <row r="7136" spans="1:1" x14ac:dyDescent="0.25">
      <c r="A7136" t="str">
        <f t="shared" si="133"/>
        <v/>
      </c>
    </row>
    <row r="7137" spans="1:1" x14ac:dyDescent="0.25">
      <c r="A7137" t="str">
        <f t="shared" si="133"/>
        <v/>
      </c>
    </row>
    <row r="7138" spans="1:1" x14ac:dyDescent="0.25">
      <c r="A7138" t="str">
        <f t="shared" si="133"/>
        <v/>
      </c>
    </row>
    <row r="7139" spans="1:1" x14ac:dyDescent="0.25">
      <c r="A7139" t="str">
        <f t="shared" si="133"/>
        <v/>
      </c>
    </row>
    <row r="7140" spans="1:1" x14ac:dyDescent="0.25">
      <c r="A7140" t="str">
        <f t="shared" si="133"/>
        <v/>
      </c>
    </row>
    <row r="7141" spans="1:1" x14ac:dyDescent="0.25">
      <c r="A7141" t="str">
        <f t="shared" si="133"/>
        <v/>
      </c>
    </row>
    <row r="7142" spans="1:1" x14ac:dyDescent="0.25">
      <c r="A7142" t="str">
        <f t="shared" si="133"/>
        <v/>
      </c>
    </row>
    <row r="7143" spans="1:1" x14ac:dyDescent="0.25">
      <c r="A7143" t="str">
        <f t="shared" si="133"/>
        <v/>
      </c>
    </row>
    <row r="7144" spans="1:1" x14ac:dyDescent="0.25">
      <c r="A7144" t="str">
        <f t="shared" si="133"/>
        <v/>
      </c>
    </row>
    <row r="7145" spans="1:1" x14ac:dyDescent="0.25">
      <c r="A7145" t="str">
        <f t="shared" si="133"/>
        <v/>
      </c>
    </row>
    <row r="7146" spans="1:1" x14ac:dyDescent="0.25">
      <c r="A7146" t="str">
        <f t="shared" si="133"/>
        <v/>
      </c>
    </row>
    <row r="7147" spans="1:1" x14ac:dyDescent="0.25">
      <c r="A7147" t="str">
        <f t="shared" si="133"/>
        <v/>
      </c>
    </row>
    <row r="7148" spans="1:1" x14ac:dyDescent="0.25">
      <c r="A7148" t="str">
        <f t="shared" si="133"/>
        <v/>
      </c>
    </row>
    <row r="7149" spans="1:1" x14ac:dyDescent="0.25">
      <c r="A7149" t="str">
        <f t="shared" si="133"/>
        <v/>
      </c>
    </row>
    <row r="7150" spans="1:1" x14ac:dyDescent="0.25">
      <c r="A7150" t="str">
        <f t="shared" si="133"/>
        <v/>
      </c>
    </row>
    <row r="7151" spans="1:1" x14ac:dyDescent="0.25">
      <c r="A7151" t="str">
        <f t="shared" si="133"/>
        <v/>
      </c>
    </row>
    <row r="7152" spans="1:1" x14ac:dyDescent="0.25">
      <c r="A7152" t="str">
        <f t="shared" si="133"/>
        <v/>
      </c>
    </row>
    <row r="7153" spans="1:1" x14ac:dyDescent="0.25">
      <c r="A7153" t="str">
        <f t="shared" si="133"/>
        <v/>
      </c>
    </row>
    <row r="7154" spans="1:1" x14ac:dyDescent="0.25">
      <c r="A7154" t="str">
        <f t="shared" si="133"/>
        <v/>
      </c>
    </row>
    <row r="7155" spans="1:1" x14ac:dyDescent="0.25">
      <c r="A7155" t="str">
        <f t="shared" si="133"/>
        <v/>
      </c>
    </row>
    <row r="7156" spans="1:1" x14ac:dyDescent="0.25">
      <c r="A7156" t="str">
        <f t="shared" si="133"/>
        <v/>
      </c>
    </row>
    <row r="7157" spans="1:1" x14ac:dyDescent="0.25">
      <c r="A7157" t="str">
        <f t="shared" si="133"/>
        <v/>
      </c>
    </row>
    <row r="7158" spans="1:1" x14ac:dyDescent="0.25">
      <c r="A7158" t="str">
        <f t="shared" si="133"/>
        <v/>
      </c>
    </row>
    <row r="7159" spans="1:1" x14ac:dyDescent="0.25">
      <c r="A7159" t="str">
        <f t="shared" si="133"/>
        <v/>
      </c>
    </row>
    <row r="7160" spans="1:1" x14ac:dyDescent="0.25">
      <c r="A7160" t="str">
        <f t="shared" si="133"/>
        <v/>
      </c>
    </row>
    <row r="7161" spans="1:1" x14ac:dyDescent="0.25">
      <c r="A7161" t="str">
        <f t="shared" si="133"/>
        <v/>
      </c>
    </row>
    <row r="7162" spans="1:1" x14ac:dyDescent="0.25">
      <c r="A7162" t="str">
        <f t="shared" si="133"/>
        <v/>
      </c>
    </row>
    <row r="7163" spans="1:1" x14ac:dyDescent="0.25">
      <c r="A7163" t="str">
        <f t="shared" si="133"/>
        <v/>
      </c>
    </row>
    <row r="7164" spans="1:1" x14ac:dyDescent="0.25">
      <c r="A7164" t="str">
        <f t="shared" si="133"/>
        <v/>
      </c>
    </row>
    <row r="7165" spans="1:1" x14ac:dyDescent="0.25">
      <c r="A7165" t="str">
        <f t="shared" si="133"/>
        <v/>
      </c>
    </row>
    <row r="7166" spans="1:1" x14ac:dyDescent="0.25">
      <c r="A7166" t="str">
        <f t="shared" si="133"/>
        <v/>
      </c>
    </row>
    <row r="7167" spans="1:1" x14ac:dyDescent="0.25">
      <c r="A7167" t="str">
        <f t="shared" si="133"/>
        <v/>
      </c>
    </row>
    <row r="7168" spans="1:1" x14ac:dyDescent="0.25">
      <c r="A7168" t="str">
        <f t="shared" si="133"/>
        <v/>
      </c>
    </row>
    <row r="7169" spans="1:1" x14ac:dyDescent="0.25">
      <c r="A7169" t="str">
        <f t="shared" ref="A7169:A7232" si="134">E7169&amp;C7169&amp;D7169</f>
        <v/>
      </c>
    </row>
    <row r="7170" spans="1:1" x14ac:dyDescent="0.25">
      <c r="A7170" t="str">
        <f t="shared" si="134"/>
        <v/>
      </c>
    </row>
    <row r="7171" spans="1:1" x14ac:dyDescent="0.25">
      <c r="A7171" t="str">
        <f t="shared" si="134"/>
        <v/>
      </c>
    </row>
    <row r="7172" spans="1:1" x14ac:dyDescent="0.25">
      <c r="A7172" t="str">
        <f t="shared" si="134"/>
        <v/>
      </c>
    </row>
    <row r="7173" spans="1:1" x14ac:dyDescent="0.25">
      <c r="A7173" t="str">
        <f t="shared" si="134"/>
        <v/>
      </c>
    </row>
    <row r="7174" spans="1:1" x14ac:dyDescent="0.25">
      <c r="A7174" t="str">
        <f t="shared" si="134"/>
        <v/>
      </c>
    </row>
    <row r="7175" spans="1:1" x14ac:dyDescent="0.25">
      <c r="A7175" t="str">
        <f t="shared" si="134"/>
        <v/>
      </c>
    </row>
    <row r="7176" spans="1:1" x14ac:dyDescent="0.25">
      <c r="A7176" t="str">
        <f t="shared" si="134"/>
        <v/>
      </c>
    </row>
    <row r="7177" spans="1:1" x14ac:dyDescent="0.25">
      <c r="A7177" t="str">
        <f t="shared" si="134"/>
        <v/>
      </c>
    </row>
    <row r="7178" spans="1:1" x14ac:dyDescent="0.25">
      <c r="A7178" t="str">
        <f t="shared" si="134"/>
        <v/>
      </c>
    </row>
    <row r="7179" spans="1:1" x14ac:dyDescent="0.25">
      <c r="A7179" t="str">
        <f t="shared" si="134"/>
        <v/>
      </c>
    </row>
    <row r="7180" spans="1:1" x14ac:dyDescent="0.25">
      <c r="A7180" t="str">
        <f t="shared" si="134"/>
        <v/>
      </c>
    </row>
    <row r="7181" spans="1:1" x14ac:dyDescent="0.25">
      <c r="A7181" t="str">
        <f t="shared" si="134"/>
        <v/>
      </c>
    </row>
    <row r="7182" spans="1:1" x14ac:dyDescent="0.25">
      <c r="A7182" t="str">
        <f t="shared" si="134"/>
        <v/>
      </c>
    </row>
    <row r="7183" spans="1:1" x14ac:dyDescent="0.25">
      <c r="A7183" t="str">
        <f t="shared" si="134"/>
        <v/>
      </c>
    </row>
    <row r="7184" spans="1:1" x14ac:dyDescent="0.25">
      <c r="A7184" t="str">
        <f t="shared" si="134"/>
        <v/>
      </c>
    </row>
    <row r="7185" spans="1:1" x14ac:dyDescent="0.25">
      <c r="A7185" t="str">
        <f t="shared" si="134"/>
        <v/>
      </c>
    </row>
    <row r="7186" spans="1:1" x14ac:dyDescent="0.25">
      <c r="A7186" t="str">
        <f t="shared" si="134"/>
        <v/>
      </c>
    </row>
    <row r="7187" spans="1:1" x14ac:dyDescent="0.25">
      <c r="A7187" t="str">
        <f t="shared" si="134"/>
        <v/>
      </c>
    </row>
    <row r="7188" spans="1:1" x14ac:dyDescent="0.25">
      <c r="A7188" t="str">
        <f t="shared" si="134"/>
        <v/>
      </c>
    </row>
    <row r="7189" spans="1:1" x14ac:dyDescent="0.25">
      <c r="A7189" t="str">
        <f t="shared" si="134"/>
        <v/>
      </c>
    </row>
    <row r="7190" spans="1:1" x14ac:dyDescent="0.25">
      <c r="A7190" t="str">
        <f t="shared" si="134"/>
        <v/>
      </c>
    </row>
    <row r="7191" spans="1:1" x14ac:dyDescent="0.25">
      <c r="A7191" t="str">
        <f t="shared" si="134"/>
        <v/>
      </c>
    </row>
    <row r="7192" spans="1:1" x14ac:dyDescent="0.25">
      <c r="A7192" t="str">
        <f t="shared" si="134"/>
        <v/>
      </c>
    </row>
    <row r="7193" spans="1:1" x14ac:dyDescent="0.25">
      <c r="A7193" t="str">
        <f t="shared" si="134"/>
        <v/>
      </c>
    </row>
    <row r="7194" spans="1:1" x14ac:dyDescent="0.25">
      <c r="A7194" t="str">
        <f t="shared" si="134"/>
        <v/>
      </c>
    </row>
    <row r="7195" spans="1:1" x14ac:dyDescent="0.25">
      <c r="A7195" t="str">
        <f t="shared" si="134"/>
        <v/>
      </c>
    </row>
    <row r="7196" spans="1:1" x14ac:dyDescent="0.25">
      <c r="A7196" t="str">
        <f t="shared" si="134"/>
        <v/>
      </c>
    </row>
    <row r="7197" spans="1:1" x14ac:dyDescent="0.25">
      <c r="A7197" t="str">
        <f t="shared" si="134"/>
        <v/>
      </c>
    </row>
    <row r="7198" spans="1:1" x14ac:dyDescent="0.25">
      <c r="A7198" t="str">
        <f t="shared" si="134"/>
        <v/>
      </c>
    </row>
    <row r="7199" spans="1:1" x14ac:dyDescent="0.25">
      <c r="A7199" t="str">
        <f t="shared" si="134"/>
        <v/>
      </c>
    </row>
    <row r="7200" spans="1:1" x14ac:dyDescent="0.25">
      <c r="A7200" t="str">
        <f t="shared" si="134"/>
        <v/>
      </c>
    </row>
    <row r="7201" spans="1:1" x14ac:dyDescent="0.25">
      <c r="A7201" t="str">
        <f t="shared" si="134"/>
        <v/>
      </c>
    </row>
    <row r="7202" spans="1:1" x14ac:dyDescent="0.25">
      <c r="A7202" t="str">
        <f t="shared" si="134"/>
        <v/>
      </c>
    </row>
    <row r="7203" spans="1:1" x14ac:dyDescent="0.25">
      <c r="A7203" t="str">
        <f t="shared" si="134"/>
        <v/>
      </c>
    </row>
    <row r="7204" spans="1:1" x14ac:dyDescent="0.25">
      <c r="A7204" t="str">
        <f t="shared" si="134"/>
        <v/>
      </c>
    </row>
    <row r="7205" spans="1:1" x14ac:dyDescent="0.25">
      <c r="A7205" t="str">
        <f t="shared" si="134"/>
        <v/>
      </c>
    </row>
    <row r="7206" spans="1:1" x14ac:dyDescent="0.25">
      <c r="A7206" t="str">
        <f t="shared" si="134"/>
        <v/>
      </c>
    </row>
    <row r="7207" spans="1:1" x14ac:dyDescent="0.25">
      <c r="A7207" t="str">
        <f t="shared" si="134"/>
        <v/>
      </c>
    </row>
    <row r="7208" spans="1:1" x14ac:dyDescent="0.25">
      <c r="A7208" t="str">
        <f t="shared" si="134"/>
        <v/>
      </c>
    </row>
    <row r="7209" spans="1:1" x14ac:dyDescent="0.25">
      <c r="A7209" t="str">
        <f t="shared" si="134"/>
        <v/>
      </c>
    </row>
    <row r="7210" spans="1:1" x14ac:dyDescent="0.25">
      <c r="A7210" t="str">
        <f t="shared" si="134"/>
        <v/>
      </c>
    </row>
    <row r="7211" spans="1:1" x14ac:dyDescent="0.25">
      <c r="A7211" t="str">
        <f t="shared" si="134"/>
        <v/>
      </c>
    </row>
    <row r="7212" spans="1:1" x14ac:dyDescent="0.25">
      <c r="A7212" t="str">
        <f t="shared" si="134"/>
        <v/>
      </c>
    </row>
    <row r="7213" spans="1:1" x14ac:dyDescent="0.25">
      <c r="A7213" t="str">
        <f t="shared" si="134"/>
        <v/>
      </c>
    </row>
    <row r="7214" spans="1:1" x14ac:dyDescent="0.25">
      <c r="A7214" t="str">
        <f t="shared" si="134"/>
        <v/>
      </c>
    </row>
    <row r="7215" spans="1:1" x14ac:dyDescent="0.25">
      <c r="A7215" t="str">
        <f t="shared" si="134"/>
        <v/>
      </c>
    </row>
    <row r="7216" spans="1:1" x14ac:dyDescent="0.25">
      <c r="A7216" t="str">
        <f t="shared" si="134"/>
        <v/>
      </c>
    </row>
    <row r="7217" spans="1:1" x14ac:dyDescent="0.25">
      <c r="A7217" t="str">
        <f t="shared" si="134"/>
        <v/>
      </c>
    </row>
    <row r="7218" spans="1:1" x14ac:dyDescent="0.25">
      <c r="A7218" t="str">
        <f t="shared" si="134"/>
        <v/>
      </c>
    </row>
    <row r="7219" spans="1:1" x14ac:dyDescent="0.25">
      <c r="A7219" t="str">
        <f t="shared" si="134"/>
        <v/>
      </c>
    </row>
    <row r="7220" spans="1:1" x14ac:dyDescent="0.25">
      <c r="A7220" t="str">
        <f t="shared" si="134"/>
        <v/>
      </c>
    </row>
    <row r="7221" spans="1:1" x14ac:dyDescent="0.25">
      <c r="A7221" t="str">
        <f t="shared" si="134"/>
        <v/>
      </c>
    </row>
    <row r="7222" spans="1:1" x14ac:dyDescent="0.25">
      <c r="A7222" t="str">
        <f t="shared" si="134"/>
        <v/>
      </c>
    </row>
    <row r="7223" spans="1:1" x14ac:dyDescent="0.25">
      <c r="A7223" t="str">
        <f t="shared" si="134"/>
        <v/>
      </c>
    </row>
    <row r="7224" spans="1:1" x14ac:dyDescent="0.25">
      <c r="A7224" t="str">
        <f t="shared" si="134"/>
        <v/>
      </c>
    </row>
    <row r="7225" spans="1:1" x14ac:dyDescent="0.25">
      <c r="A7225" t="str">
        <f t="shared" si="134"/>
        <v/>
      </c>
    </row>
    <row r="7226" spans="1:1" x14ac:dyDescent="0.25">
      <c r="A7226" t="str">
        <f t="shared" si="134"/>
        <v/>
      </c>
    </row>
    <row r="7227" spans="1:1" x14ac:dyDescent="0.25">
      <c r="A7227" t="str">
        <f t="shared" si="134"/>
        <v/>
      </c>
    </row>
    <row r="7228" spans="1:1" x14ac:dyDescent="0.25">
      <c r="A7228" t="str">
        <f t="shared" si="134"/>
        <v/>
      </c>
    </row>
    <row r="7229" spans="1:1" x14ac:dyDescent="0.25">
      <c r="A7229" t="str">
        <f t="shared" si="134"/>
        <v/>
      </c>
    </row>
    <row r="7230" spans="1:1" x14ac:dyDescent="0.25">
      <c r="A7230" t="str">
        <f t="shared" si="134"/>
        <v/>
      </c>
    </row>
    <row r="7231" spans="1:1" x14ac:dyDescent="0.25">
      <c r="A7231" t="str">
        <f t="shared" si="134"/>
        <v/>
      </c>
    </row>
    <row r="7232" spans="1:1" x14ac:dyDescent="0.25">
      <c r="A7232" t="str">
        <f t="shared" si="134"/>
        <v/>
      </c>
    </row>
    <row r="7233" spans="1:1" x14ac:dyDescent="0.25">
      <c r="A7233" t="str">
        <f t="shared" ref="A7233:A7296" si="135">E7233&amp;C7233&amp;D7233</f>
        <v/>
      </c>
    </row>
    <row r="7234" spans="1:1" x14ac:dyDescent="0.25">
      <c r="A7234" t="str">
        <f t="shared" si="135"/>
        <v/>
      </c>
    </row>
    <row r="7235" spans="1:1" x14ac:dyDescent="0.25">
      <c r="A7235" t="str">
        <f t="shared" si="135"/>
        <v/>
      </c>
    </row>
    <row r="7236" spans="1:1" x14ac:dyDescent="0.25">
      <c r="A7236" t="str">
        <f t="shared" si="135"/>
        <v/>
      </c>
    </row>
    <row r="7237" spans="1:1" x14ac:dyDescent="0.25">
      <c r="A7237" t="str">
        <f t="shared" si="135"/>
        <v/>
      </c>
    </row>
    <row r="7238" spans="1:1" x14ac:dyDescent="0.25">
      <c r="A7238" t="str">
        <f t="shared" si="135"/>
        <v/>
      </c>
    </row>
    <row r="7239" spans="1:1" x14ac:dyDescent="0.25">
      <c r="A7239" t="str">
        <f t="shared" si="135"/>
        <v/>
      </c>
    </row>
    <row r="7240" spans="1:1" x14ac:dyDescent="0.25">
      <c r="A7240" t="str">
        <f t="shared" si="135"/>
        <v/>
      </c>
    </row>
    <row r="7241" spans="1:1" x14ac:dyDescent="0.25">
      <c r="A7241" t="str">
        <f t="shared" si="135"/>
        <v/>
      </c>
    </row>
    <row r="7242" spans="1:1" x14ac:dyDescent="0.25">
      <c r="A7242" t="str">
        <f t="shared" si="135"/>
        <v/>
      </c>
    </row>
    <row r="7243" spans="1:1" x14ac:dyDescent="0.25">
      <c r="A7243" t="str">
        <f t="shared" si="135"/>
        <v/>
      </c>
    </row>
    <row r="7244" spans="1:1" x14ac:dyDescent="0.25">
      <c r="A7244" t="str">
        <f t="shared" si="135"/>
        <v/>
      </c>
    </row>
    <row r="7245" spans="1:1" x14ac:dyDescent="0.25">
      <c r="A7245" t="str">
        <f t="shared" si="135"/>
        <v/>
      </c>
    </row>
    <row r="7246" spans="1:1" x14ac:dyDescent="0.25">
      <c r="A7246" t="str">
        <f t="shared" si="135"/>
        <v/>
      </c>
    </row>
    <row r="7247" spans="1:1" x14ac:dyDescent="0.25">
      <c r="A7247" t="str">
        <f t="shared" si="135"/>
        <v/>
      </c>
    </row>
    <row r="7248" spans="1:1" x14ac:dyDescent="0.25">
      <c r="A7248" t="str">
        <f t="shared" si="135"/>
        <v/>
      </c>
    </row>
    <row r="7249" spans="1:1" x14ac:dyDescent="0.25">
      <c r="A7249" t="str">
        <f t="shared" si="135"/>
        <v/>
      </c>
    </row>
    <row r="7250" spans="1:1" x14ac:dyDescent="0.25">
      <c r="A7250" t="str">
        <f t="shared" si="135"/>
        <v/>
      </c>
    </row>
    <row r="7251" spans="1:1" x14ac:dyDescent="0.25">
      <c r="A7251" t="str">
        <f t="shared" si="135"/>
        <v/>
      </c>
    </row>
    <row r="7252" spans="1:1" x14ac:dyDescent="0.25">
      <c r="A7252" t="str">
        <f t="shared" si="135"/>
        <v/>
      </c>
    </row>
    <row r="7253" spans="1:1" x14ac:dyDescent="0.25">
      <c r="A7253" t="str">
        <f t="shared" si="135"/>
        <v/>
      </c>
    </row>
    <row r="7254" spans="1:1" x14ac:dyDescent="0.25">
      <c r="A7254" t="str">
        <f t="shared" si="135"/>
        <v/>
      </c>
    </row>
    <row r="7255" spans="1:1" x14ac:dyDescent="0.25">
      <c r="A7255" t="str">
        <f t="shared" si="135"/>
        <v/>
      </c>
    </row>
    <row r="7256" spans="1:1" x14ac:dyDescent="0.25">
      <c r="A7256" t="str">
        <f t="shared" si="135"/>
        <v/>
      </c>
    </row>
    <row r="7257" spans="1:1" x14ac:dyDescent="0.25">
      <c r="A7257" t="str">
        <f t="shared" si="135"/>
        <v/>
      </c>
    </row>
    <row r="7258" spans="1:1" x14ac:dyDescent="0.25">
      <c r="A7258" t="str">
        <f t="shared" si="135"/>
        <v/>
      </c>
    </row>
    <row r="7259" spans="1:1" x14ac:dyDescent="0.25">
      <c r="A7259" t="str">
        <f t="shared" si="135"/>
        <v/>
      </c>
    </row>
    <row r="7260" spans="1:1" x14ac:dyDescent="0.25">
      <c r="A7260" t="str">
        <f t="shared" si="135"/>
        <v/>
      </c>
    </row>
    <row r="7261" spans="1:1" x14ac:dyDescent="0.25">
      <c r="A7261" t="str">
        <f t="shared" si="135"/>
        <v/>
      </c>
    </row>
    <row r="7262" spans="1:1" x14ac:dyDescent="0.25">
      <c r="A7262" t="str">
        <f t="shared" si="135"/>
        <v/>
      </c>
    </row>
    <row r="7263" spans="1:1" x14ac:dyDescent="0.25">
      <c r="A7263" t="str">
        <f t="shared" si="135"/>
        <v/>
      </c>
    </row>
    <row r="7264" spans="1:1" x14ac:dyDescent="0.25">
      <c r="A7264" t="str">
        <f t="shared" si="135"/>
        <v/>
      </c>
    </row>
    <row r="7265" spans="1:1" x14ac:dyDescent="0.25">
      <c r="A7265" t="str">
        <f t="shared" si="135"/>
        <v/>
      </c>
    </row>
    <row r="7266" spans="1:1" x14ac:dyDescent="0.25">
      <c r="A7266" t="str">
        <f t="shared" si="135"/>
        <v/>
      </c>
    </row>
    <row r="7267" spans="1:1" x14ac:dyDescent="0.25">
      <c r="A7267" t="str">
        <f t="shared" si="135"/>
        <v/>
      </c>
    </row>
    <row r="7268" spans="1:1" x14ac:dyDescent="0.25">
      <c r="A7268" t="str">
        <f t="shared" si="135"/>
        <v/>
      </c>
    </row>
    <row r="7269" spans="1:1" x14ac:dyDescent="0.25">
      <c r="A7269" t="str">
        <f t="shared" si="135"/>
        <v/>
      </c>
    </row>
    <row r="7270" spans="1:1" x14ac:dyDescent="0.25">
      <c r="A7270" t="str">
        <f t="shared" si="135"/>
        <v/>
      </c>
    </row>
    <row r="7271" spans="1:1" x14ac:dyDescent="0.25">
      <c r="A7271" t="str">
        <f t="shared" si="135"/>
        <v/>
      </c>
    </row>
    <row r="7272" spans="1:1" x14ac:dyDescent="0.25">
      <c r="A7272" t="str">
        <f t="shared" si="135"/>
        <v/>
      </c>
    </row>
    <row r="7273" spans="1:1" x14ac:dyDescent="0.25">
      <c r="A7273" t="str">
        <f t="shared" si="135"/>
        <v/>
      </c>
    </row>
    <row r="7274" spans="1:1" x14ac:dyDescent="0.25">
      <c r="A7274" t="str">
        <f t="shared" si="135"/>
        <v/>
      </c>
    </row>
    <row r="7275" spans="1:1" x14ac:dyDescent="0.25">
      <c r="A7275" t="str">
        <f t="shared" si="135"/>
        <v/>
      </c>
    </row>
    <row r="7276" spans="1:1" x14ac:dyDescent="0.25">
      <c r="A7276" t="str">
        <f t="shared" si="135"/>
        <v/>
      </c>
    </row>
    <row r="7277" spans="1:1" x14ac:dyDescent="0.25">
      <c r="A7277" t="str">
        <f t="shared" si="135"/>
        <v/>
      </c>
    </row>
    <row r="7278" spans="1:1" x14ac:dyDescent="0.25">
      <c r="A7278" t="str">
        <f t="shared" si="135"/>
        <v/>
      </c>
    </row>
    <row r="7279" spans="1:1" x14ac:dyDescent="0.25">
      <c r="A7279" t="str">
        <f t="shared" si="135"/>
        <v/>
      </c>
    </row>
    <row r="7280" spans="1:1" x14ac:dyDescent="0.25">
      <c r="A7280" t="str">
        <f t="shared" si="135"/>
        <v/>
      </c>
    </row>
    <row r="7281" spans="1:1" x14ac:dyDescent="0.25">
      <c r="A7281" t="str">
        <f t="shared" si="135"/>
        <v/>
      </c>
    </row>
    <row r="7282" spans="1:1" x14ac:dyDescent="0.25">
      <c r="A7282" t="str">
        <f t="shared" si="135"/>
        <v/>
      </c>
    </row>
    <row r="7283" spans="1:1" x14ac:dyDescent="0.25">
      <c r="A7283" t="str">
        <f t="shared" si="135"/>
        <v/>
      </c>
    </row>
    <row r="7284" spans="1:1" x14ac:dyDescent="0.25">
      <c r="A7284" t="str">
        <f t="shared" si="135"/>
        <v/>
      </c>
    </row>
    <row r="7285" spans="1:1" x14ac:dyDescent="0.25">
      <c r="A7285" t="str">
        <f t="shared" si="135"/>
        <v/>
      </c>
    </row>
    <row r="7286" spans="1:1" x14ac:dyDescent="0.25">
      <c r="A7286" t="str">
        <f t="shared" si="135"/>
        <v/>
      </c>
    </row>
    <row r="7287" spans="1:1" x14ac:dyDescent="0.25">
      <c r="A7287" t="str">
        <f t="shared" si="135"/>
        <v/>
      </c>
    </row>
    <row r="7288" spans="1:1" x14ac:dyDescent="0.25">
      <c r="A7288" t="str">
        <f t="shared" si="135"/>
        <v/>
      </c>
    </row>
    <row r="7289" spans="1:1" x14ac:dyDescent="0.25">
      <c r="A7289" t="str">
        <f t="shared" si="135"/>
        <v/>
      </c>
    </row>
    <row r="7290" spans="1:1" x14ac:dyDescent="0.25">
      <c r="A7290" t="str">
        <f t="shared" si="135"/>
        <v/>
      </c>
    </row>
    <row r="7291" spans="1:1" x14ac:dyDescent="0.25">
      <c r="A7291" t="str">
        <f t="shared" si="135"/>
        <v/>
      </c>
    </row>
    <row r="7292" spans="1:1" x14ac:dyDescent="0.25">
      <c r="A7292" t="str">
        <f t="shared" si="135"/>
        <v/>
      </c>
    </row>
    <row r="7293" spans="1:1" x14ac:dyDescent="0.25">
      <c r="A7293" t="str">
        <f t="shared" si="135"/>
        <v/>
      </c>
    </row>
    <row r="7294" spans="1:1" x14ac:dyDescent="0.25">
      <c r="A7294" t="str">
        <f t="shared" si="135"/>
        <v/>
      </c>
    </row>
    <row r="7295" spans="1:1" x14ac:dyDescent="0.25">
      <c r="A7295" t="str">
        <f t="shared" si="135"/>
        <v/>
      </c>
    </row>
    <row r="7296" spans="1:1" x14ac:dyDescent="0.25">
      <c r="A7296" t="str">
        <f t="shared" si="135"/>
        <v/>
      </c>
    </row>
    <row r="7297" spans="1:1" x14ac:dyDescent="0.25">
      <c r="A7297" t="str">
        <f t="shared" ref="A7297:A7360" si="136">E7297&amp;C7297&amp;D7297</f>
        <v/>
      </c>
    </row>
    <row r="7298" spans="1:1" x14ac:dyDescent="0.25">
      <c r="A7298" t="str">
        <f t="shared" si="136"/>
        <v/>
      </c>
    </row>
    <row r="7299" spans="1:1" x14ac:dyDescent="0.25">
      <c r="A7299" t="str">
        <f t="shared" si="136"/>
        <v/>
      </c>
    </row>
    <row r="7300" spans="1:1" x14ac:dyDescent="0.25">
      <c r="A7300" t="str">
        <f t="shared" si="136"/>
        <v/>
      </c>
    </row>
    <row r="7301" spans="1:1" x14ac:dyDescent="0.25">
      <c r="A7301" t="str">
        <f t="shared" si="136"/>
        <v/>
      </c>
    </row>
    <row r="7302" spans="1:1" x14ac:dyDescent="0.25">
      <c r="A7302" t="str">
        <f t="shared" si="136"/>
        <v/>
      </c>
    </row>
    <row r="7303" spans="1:1" x14ac:dyDescent="0.25">
      <c r="A7303" t="str">
        <f t="shared" si="136"/>
        <v/>
      </c>
    </row>
    <row r="7304" spans="1:1" x14ac:dyDescent="0.25">
      <c r="A7304" t="str">
        <f t="shared" si="136"/>
        <v/>
      </c>
    </row>
    <row r="7305" spans="1:1" x14ac:dyDescent="0.25">
      <c r="A7305" t="str">
        <f t="shared" si="136"/>
        <v/>
      </c>
    </row>
    <row r="7306" spans="1:1" x14ac:dyDescent="0.25">
      <c r="A7306" t="str">
        <f t="shared" si="136"/>
        <v/>
      </c>
    </row>
    <row r="7307" spans="1:1" x14ac:dyDescent="0.25">
      <c r="A7307" t="str">
        <f t="shared" si="136"/>
        <v/>
      </c>
    </row>
    <row r="7308" spans="1:1" x14ac:dyDescent="0.25">
      <c r="A7308" t="str">
        <f t="shared" si="136"/>
        <v/>
      </c>
    </row>
    <row r="7309" spans="1:1" x14ac:dyDescent="0.25">
      <c r="A7309" t="str">
        <f t="shared" si="136"/>
        <v/>
      </c>
    </row>
    <row r="7310" spans="1:1" x14ac:dyDescent="0.25">
      <c r="A7310" t="str">
        <f t="shared" si="136"/>
        <v/>
      </c>
    </row>
    <row r="7311" spans="1:1" x14ac:dyDescent="0.25">
      <c r="A7311" t="str">
        <f t="shared" si="136"/>
        <v/>
      </c>
    </row>
    <row r="7312" spans="1:1" x14ac:dyDescent="0.25">
      <c r="A7312" t="str">
        <f t="shared" si="136"/>
        <v/>
      </c>
    </row>
    <row r="7313" spans="1:1" x14ac:dyDescent="0.25">
      <c r="A7313" t="str">
        <f t="shared" si="136"/>
        <v/>
      </c>
    </row>
    <row r="7314" spans="1:1" x14ac:dyDescent="0.25">
      <c r="A7314" t="str">
        <f t="shared" si="136"/>
        <v/>
      </c>
    </row>
    <row r="7315" spans="1:1" x14ac:dyDescent="0.25">
      <c r="A7315" t="str">
        <f t="shared" si="136"/>
        <v/>
      </c>
    </row>
    <row r="7316" spans="1:1" x14ac:dyDescent="0.25">
      <c r="A7316" t="str">
        <f t="shared" si="136"/>
        <v/>
      </c>
    </row>
    <row r="7317" spans="1:1" x14ac:dyDescent="0.25">
      <c r="A7317" t="str">
        <f t="shared" si="136"/>
        <v/>
      </c>
    </row>
    <row r="7318" spans="1:1" x14ac:dyDescent="0.25">
      <c r="A7318" t="str">
        <f t="shared" si="136"/>
        <v/>
      </c>
    </row>
    <row r="7319" spans="1:1" x14ac:dyDescent="0.25">
      <c r="A7319" t="str">
        <f t="shared" si="136"/>
        <v/>
      </c>
    </row>
    <row r="7320" spans="1:1" x14ac:dyDescent="0.25">
      <c r="A7320" t="str">
        <f t="shared" si="136"/>
        <v/>
      </c>
    </row>
    <row r="7321" spans="1:1" x14ac:dyDescent="0.25">
      <c r="A7321" t="str">
        <f t="shared" si="136"/>
        <v/>
      </c>
    </row>
    <row r="7322" spans="1:1" x14ac:dyDescent="0.25">
      <c r="A7322" t="str">
        <f t="shared" si="136"/>
        <v/>
      </c>
    </row>
    <row r="7323" spans="1:1" x14ac:dyDescent="0.25">
      <c r="A7323" t="str">
        <f t="shared" si="136"/>
        <v/>
      </c>
    </row>
    <row r="7324" spans="1:1" x14ac:dyDescent="0.25">
      <c r="A7324" t="str">
        <f t="shared" si="136"/>
        <v/>
      </c>
    </row>
    <row r="7325" spans="1:1" x14ac:dyDescent="0.25">
      <c r="A7325" t="str">
        <f t="shared" si="136"/>
        <v/>
      </c>
    </row>
    <row r="7326" spans="1:1" x14ac:dyDescent="0.25">
      <c r="A7326" t="str">
        <f t="shared" si="136"/>
        <v/>
      </c>
    </row>
    <row r="7327" spans="1:1" x14ac:dyDescent="0.25">
      <c r="A7327" t="str">
        <f t="shared" si="136"/>
        <v/>
      </c>
    </row>
    <row r="7328" spans="1:1" x14ac:dyDescent="0.25">
      <c r="A7328" t="str">
        <f t="shared" si="136"/>
        <v/>
      </c>
    </row>
    <row r="7329" spans="1:1" x14ac:dyDescent="0.25">
      <c r="A7329" t="str">
        <f t="shared" si="136"/>
        <v/>
      </c>
    </row>
    <row r="7330" spans="1:1" x14ac:dyDescent="0.25">
      <c r="A7330" t="str">
        <f t="shared" si="136"/>
        <v/>
      </c>
    </row>
    <row r="7331" spans="1:1" x14ac:dyDescent="0.25">
      <c r="A7331" t="str">
        <f t="shared" si="136"/>
        <v/>
      </c>
    </row>
    <row r="7332" spans="1:1" x14ac:dyDescent="0.25">
      <c r="A7332" t="str">
        <f t="shared" si="136"/>
        <v/>
      </c>
    </row>
    <row r="7333" spans="1:1" x14ac:dyDescent="0.25">
      <c r="A7333" t="str">
        <f t="shared" si="136"/>
        <v/>
      </c>
    </row>
    <row r="7334" spans="1:1" x14ac:dyDescent="0.25">
      <c r="A7334" t="str">
        <f t="shared" si="136"/>
        <v/>
      </c>
    </row>
    <row r="7335" spans="1:1" x14ac:dyDescent="0.25">
      <c r="A7335" t="str">
        <f t="shared" si="136"/>
        <v/>
      </c>
    </row>
    <row r="7336" spans="1:1" x14ac:dyDescent="0.25">
      <c r="A7336" t="str">
        <f t="shared" si="136"/>
        <v/>
      </c>
    </row>
    <row r="7337" spans="1:1" x14ac:dyDescent="0.25">
      <c r="A7337" t="str">
        <f t="shared" si="136"/>
        <v/>
      </c>
    </row>
    <row r="7338" spans="1:1" x14ac:dyDescent="0.25">
      <c r="A7338" t="str">
        <f t="shared" si="136"/>
        <v/>
      </c>
    </row>
    <row r="7339" spans="1:1" x14ac:dyDescent="0.25">
      <c r="A7339" t="str">
        <f t="shared" si="136"/>
        <v/>
      </c>
    </row>
    <row r="7340" spans="1:1" x14ac:dyDescent="0.25">
      <c r="A7340" t="str">
        <f t="shared" si="136"/>
        <v/>
      </c>
    </row>
    <row r="7341" spans="1:1" x14ac:dyDescent="0.25">
      <c r="A7341" t="str">
        <f t="shared" si="136"/>
        <v/>
      </c>
    </row>
    <row r="7342" spans="1:1" x14ac:dyDescent="0.25">
      <c r="A7342" t="str">
        <f t="shared" si="136"/>
        <v/>
      </c>
    </row>
    <row r="7343" spans="1:1" x14ac:dyDescent="0.25">
      <c r="A7343" t="str">
        <f t="shared" si="136"/>
        <v/>
      </c>
    </row>
    <row r="7344" spans="1:1" x14ac:dyDescent="0.25">
      <c r="A7344" t="str">
        <f t="shared" si="136"/>
        <v/>
      </c>
    </row>
    <row r="7345" spans="1:1" x14ac:dyDescent="0.25">
      <c r="A7345" t="str">
        <f t="shared" si="136"/>
        <v/>
      </c>
    </row>
    <row r="7346" spans="1:1" x14ac:dyDescent="0.25">
      <c r="A7346" t="str">
        <f t="shared" si="136"/>
        <v/>
      </c>
    </row>
    <row r="7347" spans="1:1" x14ac:dyDescent="0.25">
      <c r="A7347" t="str">
        <f t="shared" si="136"/>
        <v/>
      </c>
    </row>
    <row r="7348" spans="1:1" x14ac:dyDescent="0.25">
      <c r="A7348" t="str">
        <f t="shared" si="136"/>
        <v/>
      </c>
    </row>
    <row r="7349" spans="1:1" x14ac:dyDescent="0.25">
      <c r="A7349" t="str">
        <f t="shared" si="136"/>
        <v/>
      </c>
    </row>
    <row r="7350" spans="1:1" x14ac:dyDescent="0.25">
      <c r="A7350" t="str">
        <f t="shared" si="136"/>
        <v/>
      </c>
    </row>
    <row r="7351" spans="1:1" x14ac:dyDescent="0.25">
      <c r="A7351" t="str">
        <f t="shared" si="136"/>
        <v/>
      </c>
    </row>
    <row r="7352" spans="1:1" x14ac:dyDescent="0.25">
      <c r="A7352" t="str">
        <f t="shared" si="136"/>
        <v/>
      </c>
    </row>
    <row r="7353" spans="1:1" x14ac:dyDescent="0.25">
      <c r="A7353" t="str">
        <f t="shared" si="136"/>
        <v/>
      </c>
    </row>
    <row r="7354" spans="1:1" x14ac:dyDescent="0.25">
      <c r="A7354" t="str">
        <f t="shared" si="136"/>
        <v/>
      </c>
    </row>
    <row r="7355" spans="1:1" x14ac:dyDescent="0.25">
      <c r="A7355" t="str">
        <f t="shared" si="136"/>
        <v/>
      </c>
    </row>
    <row r="7356" spans="1:1" x14ac:dyDescent="0.25">
      <c r="A7356" t="str">
        <f t="shared" si="136"/>
        <v/>
      </c>
    </row>
    <row r="7357" spans="1:1" x14ac:dyDescent="0.25">
      <c r="A7357" t="str">
        <f t="shared" si="136"/>
        <v/>
      </c>
    </row>
    <row r="7358" spans="1:1" x14ac:dyDescent="0.25">
      <c r="A7358" t="str">
        <f t="shared" si="136"/>
        <v/>
      </c>
    </row>
    <row r="7359" spans="1:1" x14ac:dyDescent="0.25">
      <c r="A7359" t="str">
        <f t="shared" si="136"/>
        <v/>
      </c>
    </row>
    <row r="7360" spans="1:1" x14ac:dyDescent="0.25">
      <c r="A7360" t="str">
        <f t="shared" si="136"/>
        <v/>
      </c>
    </row>
    <row r="7361" spans="1:1" x14ac:dyDescent="0.25">
      <c r="A7361" t="str">
        <f t="shared" ref="A7361:A7424" si="137">E7361&amp;C7361&amp;D7361</f>
        <v/>
      </c>
    </row>
    <row r="7362" spans="1:1" x14ac:dyDescent="0.25">
      <c r="A7362" t="str">
        <f t="shared" si="137"/>
        <v/>
      </c>
    </row>
    <row r="7363" spans="1:1" x14ac:dyDescent="0.25">
      <c r="A7363" t="str">
        <f t="shared" si="137"/>
        <v/>
      </c>
    </row>
    <row r="7364" spans="1:1" x14ac:dyDescent="0.25">
      <c r="A7364" t="str">
        <f t="shared" si="137"/>
        <v/>
      </c>
    </row>
    <row r="7365" spans="1:1" x14ac:dyDescent="0.25">
      <c r="A7365" t="str">
        <f t="shared" si="137"/>
        <v/>
      </c>
    </row>
    <row r="7366" spans="1:1" x14ac:dyDescent="0.25">
      <c r="A7366" t="str">
        <f t="shared" si="137"/>
        <v/>
      </c>
    </row>
    <row r="7367" spans="1:1" x14ac:dyDescent="0.25">
      <c r="A7367" t="str">
        <f t="shared" si="137"/>
        <v/>
      </c>
    </row>
    <row r="7368" spans="1:1" x14ac:dyDescent="0.25">
      <c r="A7368" t="str">
        <f t="shared" si="137"/>
        <v/>
      </c>
    </row>
    <row r="7369" spans="1:1" x14ac:dyDescent="0.25">
      <c r="A7369" t="str">
        <f t="shared" si="137"/>
        <v/>
      </c>
    </row>
    <row r="7370" spans="1:1" x14ac:dyDescent="0.25">
      <c r="A7370" t="str">
        <f t="shared" si="137"/>
        <v/>
      </c>
    </row>
    <row r="7371" spans="1:1" x14ac:dyDescent="0.25">
      <c r="A7371" t="str">
        <f t="shared" si="137"/>
        <v/>
      </c>
    </row>
    <row r="7372" spans="1:1" x14ac:dyDescent="0.25">
      <c r="A7372" t="str">
        <f t="shared" si="137"/>
        <v/>
      </c>
    </row>
    <row r="7373" spans="1:1" x14ac:dyDescent="0.25">
      <c r="A7373" t="str">
        <f t="shared" si="137"/>
        <v/>
      </c>
    </row>
    <row r="7374" spans="1:1" x14ac:dyDescent="0.25">
      <c r="A7374" t="str">
        <f t="shared" si="137"/>
        <v/>
      </c>
    </row>
    <row r="7375" spans="1:1" x14ac:dyDescent="0.25">
      <c r="A7375" t="str">
        <f t="shared" si="137"/>
        <v/>
      </c>
    </row>
    <row r="7376" spans="1:1" x14ac:dyDescent="0.25">
      <c r="A7376" t="str">
        <f t="shared" si="137"/>
        <v/>
      </c>
    </row>
    <row r="7377" spans="1:1" x14ac:dyDescent="0.25">
      <c r="A7377" t="str">
        <f t="shared" si="137"/>
        <v/>
      </c>
    </row>
    <row r="7378" spans="1:1" x14ac:dyDescent="0.25">
      <c r="A7378" t="str">
        <f t="shared" si="137"/>
        <v/>
      </c>
    </row>
    <row r="7379" spans="1:1" x14ac:dyDescent="0.25">
      <c r="A7379" t="str">
        <f t="shared" si="137"/>
        <v/>
      </c>
    </row>
    <row r="7380" spans="1:1" x14ac:dyDescent="0.25">
      <c r="A7380" t="str">
        <f t="shared" si="137"/>
        <v/>
      </c>
    </row>
    <row r="7381" spans="1:1" x14ac:dyDescent="0.25">
      <c r="A7381" t="str">
        <f t="shared" si="137"/>
        <v/>
      </c>
    </row>
    <row r="7382" spans="1:1" x14ac:dyDescent="0.25">
      <c r="A7382" t="str">
        <f t="shared" si="137"/>
        <v/>
      </c>
    </row>
    <row r="7383" spans="1:1" x14ac:dyDescent="0.25">
      <c r="A7383" t="str">
        <f t="shared" si="137"/>
        <v/>
      </c>
    </row>
    <row r="7384" spans="1:1" x14ac:dyDescent="0.25">
      <c r="A7384" t="str">
        <f t="shared" si="137"/>
        <v/>
      </c>
    </row>
    <row r="7385" spans="1:1" x14ac:dyDescent="0.25">
      <c r="A7385" t="str">
        <f t="shared" si="137"/>
        <v/>
      </c>
    </row>
    <row r="7386" spans="1:1" x14ac:dyDescent="0.25">
      <c r="A7386" t="str">
        <f t="shared" si="137"/>
        <v/>
      </c>
    </row>
    <row r="7387" spans="1:1" x14ac:dyDescent="0.25">
      <c r="A7387" t="str">
        <f t="shared" si="137"/>
        <v/>
      </c>
    </row>
    <row r="7388" spans="1:1" x14ac:dyDescent="0.25">
      <c r="A7388" t="str">
        <f t="shared" si="137"/>
        <v/>
      </c>
    </row>
    <row r="7389" spans="1:1" x14ac:dyDescent="0.25">
      <c r="A7389" t="str">
        <f t="shared" si="137"/>
        <v/>
      </c>
    </row>
    <row r="7390" spans="1:1" x14ac:dyDescent="0.25">
      <c r="A7390" t="str">
        <f t="shared" si="137"/>
        <v/>
      </c>
    </row>
    <row r="7391" spans="1:1" x14ac:dyDescent="0.25">
      <c r="A7391" t="str">
        <f t="shared" si="137"/>
        <v/>
      </c>
    </row>
    <row r="7392" spans="1:1" x14ac:dyDescent="0.25">
      <c r="A7392" t="str">
        <f t="shared" si="137"/>
        <v/>
      </c>
    </row>
    <row r="7393" spans="1:1" x14ac:dyDescent="0.25">
      <c r="A7393" t="str">
        <f t="shared" si="137"/>
        <v/>
      </c>
    </row>
    <row r="7394" spans="1:1" x14ac:dyDescent="0.25">
      <c r="A7394" t="str">
        <f t="shared" si="137"/>
        <v/>
      </c>
    </row>
    <row r="7395" spans="1:1" x14ac:dyDescent="0.25">
      <c r="A7395" t="str">
        <f t="shared" si="137"/>
        <v/>
      </c>
    </row>
    <row r="7396" spans="1:1" x14ac:dyDescent="0.25">
      <c r="A7396" t="str">
        <f t="shared" si="137"/>
        <v/>
      </c>
    </row>
    <row r="7397" spans="1:1" x14ac:dyDescent="0.25">
      <c r="A7397" t="str">
        <f t="shared" si="137"/>
        <v/>
      </c>
    </row>
    <row r="7398" spans="1:1" x14ac:dyDescent="0.25">
      <c r="A7398" t="str">
        <f t="shared" si="137"/>
        <v/>
      </c>
    </row>
    <row r="7399" spans="1:1" x14ac:dyDescent="0.25">
      <c r="A7399" t="str">
        <f t="shared" si="137"/>
        <v/>
      </c>
    </row>
    <row r="7400" spans="1:1" x14ac:dyDescent="0.25">
      <c r="A7400" t="str">
        <f t="shared" si="137"/>
        <v/>
      </c>
    </row>
    <row r="7401" spans="1:1" x14ac:dyDescent="0.25">
      <c r="A7401" t="str">
        <f t="shared" si="137"/>
        <v/>
      </c>
    </row>
    <row r="7402" spans="1:1" x14ac:dyDescent="0.25">
      <c r="A7402" t="str">
        <f t="shared" si="137"/>
        <v/>
      </c>
    </row>
    <row r="7403" spans="1:1" x14ac:dyDescent="0.25">
      <c r="A7403" t="str">
        <f t="shared" si="137"/>
        <v/>
      </c>
    </row>
    <row r="7404" spans="1:1" x14ac:dyDescent="0.25">
      <c r="A7404" t="str">
        <f t="shared" si="137"/>
        <v/>
      </c>
    </row>
    <row r="7405" spans="1:1" x14ac:dyDescent="0.25">
      <c r="A7405" t="str">
        <f t="shared" si="137"/>
        <v/>
      </c>
    </row>
    <row r="7406" spans="1:1" x14ac:dyDescent="0.25">
      <c r="A7406" t="str">
        <f t="shared" si="137"/>
        <v/>
      </c>
    </row>
    <row r="7407" spans="1:1" x14ac:dyDescent="0.25">
      <c r="A7407" t="str">
        <f t="shared" si="137"/>
        <v/>
      </c>
    </row>
    <row r="7408" spans="1:1" x14ac:dyDescent="0.25">
      <c r="A7408" t="str">
        <f t="shared" si="137"/>
        <v/>
      </c>
    </row>
    <row r="7409" spans="1:1" x14ac:dyDescent="0.25">
      <c r="A7409" t="str">
        <f t="shared" si="137"/>
        <v/>
      </c>
    </row>
    <row r="7410" spans="1:1" x14ac:dyDescent="0.25">
      <c r="A7410" t="str">
        <f t="shared" si="137"/>
        <v/>
      </c>
    </row>
    <row r="7411" spans="1:1" x14ac:dyDescent="0.25">
      <c r="A7411" t="str">
        <f t="shared" si="137"/>
        <v/>
      </c>
    </row>
    <row r="7412" spans="1:1" x14ac:dyDescent="0.25">
      <c r="A7412" t="str">
        <f t="shared" si="137"/>
        <v/>
      </c>
    </row>
    <row r="7413" spans="1:1" x14ac:dyDescent="0.25">
      <c r="A7413" t="str">
        <f t="shared" si="137"/>
        <v/>
      </c>
    </row>
    <row r="7414" spans="1:1" x14ac:dyDescent="0.25">
      <c r="A7414" t="str">
        <f t="shared" si="137"/>
        <v/>
      </c>
    </row>
    <row r="7415" spans="1:1" x14ac:dyDescent="0.25">
      <c r="A7415" t="str">
        <f t="shared" si="137"/>
        <v/>
      </c>
    </row>
    <row r="7416" spans="1:1" x14ac:dyDescent="0.25">
      <c r="A7416" t="str">
        <f t="shared" si="137"/>
        <v/>
      </c>
    </row>
    <row r="7417" spans="1:1" x14ac:dyDescent="0.25">
      <c r="A7417" t="str">
        <f t="shared" si="137"/>
        <v/>
      </c>
    </row>
    <row r="7418" spans="1:1" x14ac:dyDescent="0.25">
      <c r="A7418" t="str">
        <f t="shared" si="137"/>
        <v/>
      </c>
    </row>
    <row r="7419" spans="1:1" x14ac:dyDescent="0.25">
      <c r="A7419" t="str">
        <f t="shared" si="137"/>
        <v/>
      </c>
    </row>
    <row r="7420" spans="1:1" x14ac:dyDescent="0.25">
      <c r="A7420" t="str">
        <f t="shared" si="137"/>
        <v/>
      </c>
    </row>
    <row r="7421" spans="1:1" x14ac:dyDescent="0.25">
      <c r="A7421" t="str">
        <f t="shared" si="137"/>
        <v/>
      </c>
    </row>
    <row r="7422" spans="1:1" x14ac:dyDescent="0.25">
      <c r="A7422" t="str">
        <f t="shared" si="137"/>
        <v/>
      </c>
    </row>
    <row r="7423" spans="1:1" x14ac:dyDescent="0.25">
      <c r="A7423" t="str">
        <f t="shared" si="137"/>
        <v/>
      </c>
    </row>
    <row r="7424" spans="1:1" x14ac:dyDescent="0.25">
      <c r="A7424" t="str">
        <f t="shared" si="137"/>
        <v/>
      </c>
    </row>
    <row r="7425" spans="1:1" x14ac:dyDescent="0.25">
      <c r="A7425" t="str">
        <f t="shared" ref="A7425:A7488" si="138">E7425&amp;C7425&amp;D7425</f>
        <v/>
      </c>
    </row>
    <row r="7426" spans="1:1" x14ac:dyDescent="0.25">
      <c r="A7426" t="str">
        <f t="shared" si="138"/>
        <v/>
      </c>
    </row>
    <row r="7427" spans="1:1" x14ac:dyDescent="0.25">
      <c r="A7427" t="str">
        <f t="shared" si="138"/>
        <v/>
      </c>
    </row>
    <row r="7428" spans="1:1" x14ac:dyDescent="0.25">
      <c r="A7428" t="str">
        <f t="shared" si="138"/>
        <v/>
      </c>
    </row>
    <row r="7429" spans="1:1" x14ac:dyDescent="0.25">
      <c r="A7429" t="str">
        <f t="shared" si="138"/>
        <v/>
      </c>
    </row>
    <row r="7430" spans="1:1" x14ac:dyDescent="0.25">
      <c r="A7430" t="str">
        <f t="shared" si="138"/>
        <v/>
      </c>
    </row>
    <row r="7431" spans="1:1" x14ac:dyDescent="0.25">
      <c r="A7431" t="str">
        <f t="shared" si="138"/>
        <v/>
      </c>
    </row>
    <row r="7432" spans="1:1" x14ac:dyDescent="0.25">
      <c r="A7432" t="str">
        <f t="shared" si="138"/>
        <v/>
      </c>
    </row>
    <row r="7433" spans="1:1" x14ac:dyDescent="0.25">
      <c r="A7433" t="str">
        <f t="shared" si="138"/>
        <v/>
      </c>
    </row>
    <row r="7434" spans="1:1" x14ac:dyDescent="0.25">
      <c r="A7434" t="str">
        <f t="shared" si="138"/>
        <v/>
      </c>
    </row>
    <row r="7435" spans="1:1" x14ac:dyDescent="0.25">
      <c r="A7435" t="str">
        <f t="shared" si="138"/>
        <v/>
      </c>
    </row>
    <row r="7436" spans="1:1" x14ac:dyDescent="0.25">
      <c r="A7436" t="str">
        <f t="shared" si="138"/>
        <v/>
      </c>
    </row>
    <row r="7437" spans="1:1" x14ac:dyDescent="0.25">
      <c r="A7437" t="str">
        <f t="shared" si="138"/>
        <v/>
      </c>
    </row>
    <row r="7438" spans="1:1" x14ac:dyDescent="0.25">
      <c r="A7438" t="str">
        <f t="shared" si="138"/>
        <v/>
      </c>
    </row>
    <row r="7439" spans="1:1" x14ac:dyDescent="0.25">
      <c r="A7439" t="str">
        <f t="shared" si="138"/>
        <v/>
      </c>
    </row>
    <row r="7440" spans="1:1" x14ac:dyDescent="0.25">
      <c r="A7440" t="str">
        <f t="shared" si="138"/>
        <v/>
      </c>
    </row>
    <row r="7441" spans="1:1" x14ac:dyDescent="0.25">
      <c r="A7441" t="str">
        <f t="shared" si="138"/>
        <v/>
      </c>
    </row>
    <row r="7442" spans="1:1" x14ac:dyDescent="0.25">
      <c r="A7442" t="str">
        <f t="shared" si="138"/>
        <v/>
      </c>
    </row>
    <row r="7443" spans="1:1" x14ac:dyDescent="0.25">
      <c r="A7443" t="str">
        <f t="shared" si="138"/>
        <v/>
      </c>
    </row>
    <row r="7444" spans="1:1" x14ac:dyDescent="0.25">
      <c r="A7444" t="str">
        <f t="shared" si="138"/>
        <v/>
      </c>
    </row>
    <row r="7445" spans="1:1" x14ac:dyDescent="0.25">
      <c r="A7445" t="str">
        <f t="shared" si="138"/>
        <v/>
      </c>
    </row>
    <row r="7446" spans="1:1" x14ac:dyDescent="0.25">
      <c r="A7446" t="str">
        <f t="shared" si="138"/>
        <v/>
      </c>
    </row>
    <row r="7447" spans="1:1" x14ac:dyDescent="0.25">
      <c r="A7447" t="str">
        <f t="shared" si="138"/>
        <v/>
      </c>
    </row>
    <row r="7448" spans="1:1" x14ac:dyDescent="0.25">
      <c r="A7448" t="str">
        <f t="shared" si="138"/>
        <v/>
      </c>
    </row>
    <row r="7449" spans="1:1" x14ac:dyDescent="0.25">
      <c r="A7449" t="str">
        <f t="shared" si="138"/>
        <v/>
      </c>
    </row>
    <row r="7450" spans="1:1" x14ac:dyDescent="0.25">
      <c r="A7450" t="str">
        <f t="shared" si="138"/>
        <v/>
      </c>
    </row>
    <row r="7451" spans="1:1" x14ac:dyDescent="0.25">
      <c r="A7451" t="str">
        <f t="shared" si="138"/>
        <v/>
      </c>
    </row>
    <row r="7452" spans="1:1" x14ac:dyDescent="0.25">
      <c r="A7452" t="str">
        <f t="shared" si="138"/>
        <v/>
      </c>
    </row>
    <row r="7453" spans="1:1" x14ac:dyDescent="0.25">
      <c r="A7453" t="str">
        <f t="shared" si="138"/>
        <v/>
      </c>
    </row>
    <row r="7454" spans="1:1" x14ac:dyDescent="0.25">
      <c r="A7454" t="str">
        <f t="shared" si="138"/>
        <v/>
      </c>
    </row>
    <row r="7455" spans="1:1" x14ac:dyDescent="0.25">
      <c r="A7455" t="str">
        <f t="shared" si="138"/>
        <v/>
      </c>
    </row>
    <row r="7456" spans="1:1" x14ac:dyDescent="0.25">
      <c r="A7456" t="str">
        <f t="shared" si="138"/>
        <v/>
      </c>
    </row>
    <row r="7457" spans="1:1" x14ac:dyDescent="0.25">
      <c r="A7457" t="str">
        <f t="shared" si="138"/>
        <v/>
      </c>
    </row>
    <row r="7458" spans="1:1" x14ac:dyDescent="0.25">
      <c r="A7458" t="str">
        <f t="shared" si="138"/>
        <v/>
      </c>
    </row>
    <row r="7459" spans="1:1" x14ac:dyDescent="0.25">
      <c r="A7459" t="str">
        <f t="shared" si="138"/>
        <v/>
      </c>
    </row>
    <row r="7460" spans="1:1" x14ac:dyDescent="0.25">
      <c r="A7460" t="str">
        <f t="shared" si="138"/>
        <v/>
      </c>
    </row>
    <row r="7461" spans="1:1" x14ac:dyDescent="0.25">
      <c r="A7461" t="str">
        <f t="shared" si="138"/>
        <v/>
      </c>
    </row>
    <row r="7462" spans="1:1" x14ac:dyDescent="0.25">
      <c r="A7462" t="str">
        <f t="shared" si="138"/>
        <v/>
      </c>
    </row>
    <row r="7463" spans="1:1" x14ac:dyDescent="0.25">
      <c r="A7463" t="str">
        <f t="shared" si="138"/>
        <v/>
      </c>
    </row>
    <row r="7464" spans="1:1" x14ac:dyDescent="0.25">
      <c r="A7464" t="str">
        <f t="shared" si="138"/>
        <v/>
      </c>
    </row>
    <row r="7465" spans="1:1" x14ac:dyDescent="0.25">
      <c r="A7465" t="str">
        <f t="shared" si="138"/>
        <v/>
      </c>
    </row>
    <row r="7466" spans="1:1" x14ac:dyDescent="0.25">
      <c r="A7466" t="str">
        <f t="shared" si="138"/>
        <v/>
      </c>
    </row>
    <row r="7467" spans="1:1" x14ac:dyDescent="0.25">
      <c r="A7467" t="str">
        <f t="shared" si="138"/>
        <v/>
      </c>
    </row>
    <row r="7468" spans="1:1" x14ac:dyDescent="0.25">
      <c r="A7468" t="str">
        <f t="shared" si="138"/>
        <v/>
      </c>
    </row>
    <row r="7469" spans="1:1" x14ac:dyDescent="0.25">
      <c r="A7469" t="str">
        <f t="shared" si="138"/>
        <v/>
      </c>
    </row>
    <row r="7470" spans="1:1" x14ac:dyDescent="0.25">
      <c r="A7470" t="str">
        <f t="shared" si="138"/>
        <v/>
      </c>
    </row>
    <row r="7471" spans="1:1" x14ac:dyDescent="0.25">
      <c r="A7471" t="str">
        <f t="shared" si="138"/>
        <v/>
      </c>
    </row>
    <row r="7472" spans="1:1" x14ac:dyDescent="0.25">
      <c r="A7472" t="str">
        <f t="shared" si="138"/>
        <v/>
      </c>
    </row>
    <row r="7473" spans="1:1" x14ac:dyDescent="0.25">
      <c r="A7473" t="str">
        <f t="shared" si="138"/>
        <v/>
      </c>
    </row>
    <row r="7474" spans="1:1" x14ac:dyDescent="0.25">
      <c r="A7474" t="str">
        <f t="shared" si="138"/>
        <v/>
      </c>
    </row>
    <row r="7475" spans="1:1" x14ac:dyDescent="0.25">
      <c r="A7475" t="str">
        <f t="shared" si="138"/>
        <v/>
      </c>
    </row>
    <row r="7476" spans="1:1" x14ac:dyDescent="0.25">
      <c r="A7476" t="str">
        <f t="shared" si="138"/>
        <v/>
      </c>
    </row>
    <row r="7477" spans="1:1" x14ac:dyDescent="0.25">
      <c r="A7477" t="str">
        <f t="shared" si="138"/>
        <v/>
      </c>
    </row>
    <row r="7478" spans="1:1" x14ac:dyDescent="0.25">
      <c r="A7478" t="str">
        <f t="shared" si="138"/>
        <v/>
      </c>
    </row>
    <row r="7479" spans="1:1" x14ac:dyDescent="0.25">
      <c r="A7479" t="str">
        <f t="shared" si="138"/>
        <v/>
      </c>
    </row>
    <row r="7480" spans="1:1" x14ac:dyDescent="0.25">
      <c r="A7480" t="str">
        <f t="shared" si="138"/>
        <v/>
      </c>
    </row>
    <row r="7481" spans="1:1" x14ac:dyDescent="0.25">
      <c r="A7481" t="str">
        <f t="shared" si="138"/>
        <v/>
      </c>
    </row>
    <row r="7482" spans="1:1" x14ac:dyDescent="0.25">
      <c r="A7482" t="str">
        <f t="shared" si="138"/>
        <v/>
      </c>
    </row>
    <row r="7483" spans="1:1" x14ac:dyDescent="0.25">
      <c r="A7483" t="str">
        <f t="shared" si="138"/>
        <v/>
      </c>
    </row>
    <row r="7484" spans="1:1" x14ac:dyDescent="0.25">
      <c r="A7484" t="str">
        <f t="shared" si="138"/>
        <v/>
      </c>
    </row>
    <row r="7485" spans="1:1" x14ac:dyDescent="0.25">
      <c r="A7485" t="str">
        <f t="shared" si="138"/>
        <v/>
      </c>
    </row>
    <row r="7486" spans="1:1" x14ac:dyDescent="0.25">
      <c r="A7486" t="str">
        <f t="shared" si="138"/>
        <v/>
      </c>
    </row>
    <row r="7487" spans="1:1" x14ac:dyDescent="0.25">
      <c r="A7487" t="str">
        <f t="shared" si="138"/>
        <v/>
      </c>
    </row>
    <row r="7488" spans="1:1" x14ac:dyDescent="0.25">
      <c r="A7488" t="str">
        <f t="shared" si="138"/>
        <v/>
      </c>
    </row>
    <row r="7489" spans="1:1" x14ac:dyDescent="0.25">
      <c r="A7489" t="str">
        <f t="shared" ref="A7489:A7552" si="139">E7489&amp;C7489&amp;D7489</f>
        <v/>
      </c>
    </row>
    <row r="7490" spans="1:1" x14ac:dyDescent="0.25">
      <c r="A7490" t="str">
        <f t="shared" si="139"/>
        <v/>
      </c>
    </row>
    <row r="7491" spans="1:1" x14ac:dyDescent="0.25">
      <c r="A7491" t="str">
        <f t="shared" si="139"/>
        <v/>
      </c>
    </row>
    <row r="7492" spans="1:1" x14ac:dyDescent="0.25">
      <c r="A7492" t="str">
        <f t="shared" si="139"/>
        <v/>
      </c>
    </row>
    <row r="7493" spans="1:1" x14ac:dyDescent="0.25">
      <c r="A7493" t="str">
        <f t="shared" si="139"/>
        <v/>
      </c>
    </row>
    <row r="7494" spans="1:1" x14ac:dyDescent="0.25">
      <c r="A7494" t="str">
        <f t="shared" si="139"/>
        <v/>
      </c>
    </row>
    <row r="7495" spans="1:1" x14ac:dyDescent="0.25">
      <c r="A7495" t="str">
        <f t="shared" si="139"/>
        <v/>
      </c>
    </row>
    <row r="7496" spans="1:1" x14ac:dyDescent="0.25">
      <c r="A7496" t="str">
        <f t="shared" si="139"/>
        <v/>
      </c>
    </row>
    <row r="7497" spans="1:1" x14ac:dyDescent="0.25">
      <c r="A7497" t="str">
        <f t="shared" si="139"/>
        <v/>
      </c>
    </row>
    <row r="7498" spans="1:1" x14ac:dyDescent="0.25">
      <c r="A7498" t="str">
        <f t="shared" si="139"/>
        <v/>
      </c>
    </row>
    <row r="7499" spans="1:1" x14ac:dyDescent="0.25">
      <c r="A7499" t="str">
        <f t="shared" si="139"/>
        <v/>
      </c>
    </row>
    <row r="7500" spans="1:1" x14ac:dyDescent="0.25">
      <c r="A7500" t="str">
        <f t="shared" si="139"/>
        <v/>
      </c>
    </row>
    <row r="7501" spans="1:1" x14ac:dyDescent="0.25">
      <c r="A7501" t="str">
        <f t="shared" si="139"/>
        <v/>
      </c>
    </row>
    <row r="7502" spans="1:1" x14ac:dyDescent="0.25">
      <c r="A7502" t="str">
        <f t="shared" si="139"/>
        <v/>
      </c>
    </row>
    <row r="7503" spans="1:1" x14ac:dyDescent="0.25">
      <c r="A7503" t="str">
        <f t="shared" si="139"/>
        <v/>
      </c>
    </row>
    <row r="7504" spans="1:1" x14ac:dyDescent="0.25">
      <c r="A7504" t="str">
        <f t="shared" si="139"/>
        <v/>
      </c>
    </row>
    <row r="7505" spans="1:1" x14ac:dyDescent="0.25">
      <c r="A7505" t="str">
        <f t="shared" si="139"/>
        <v/>
      </c>
    </row>
    <row r="7506" spans="1:1" x14ac:dyDescent="0.25">
      <c r="A7506" t="str">
        <f t="shared" si="139"/>
        <v/>
      </c>
    </row>
    <row r="7507" spans="1:1" x14ac:dyDescent="0.25">
      <c r="A7507" t="str">
        <f t="shared" si="139"/>
        <v/>
      </c>
    </row>
    <row r="7508" spans="1:1" x14ac:dyDescent="0.25">
      <c r="A7508" t="str">
        <f t="shared" si="139"/>
        <v/>
      </c>
    </row>
    <row r="7509" spans="1:1" x14ac:dyDescent="0.25">
      <c r="A7509" t="str">
        <f t="shared" si="139"/>
        <v/>
      </c>
    </row>
    <row r="7510" spans="1:1" x14ac:dyDescent="0.25">
      <c r="A7510" t="str">
        <f t="shared" si="139"/>
        <v/>
      </c>
    </row>
    <row r="7511" spans="1:1" x14ac:dyDescent="0.25">
      <c r="A7511" t="str">
        <f t="shared" si="139"/>
        <v/>
      </c>
    </row>
    <row r="7512" spans="1:1" x14ac:dyDescent="0.25">
      <c r="A7512" t="str">
        <f t="shared" si="139"/>
        <v/>
      </c>
    </row>
    <row r="7513" spans="1:1" x14ac:dyDescent="0.25">
      <c r="A7513" t="str">
        <f t="shared" si="139"/>
        <v/>
      </c>
    </row>
    <row r="7514" spans="1:1" x14ac:dyDescent="0.25">
      <c r="A7514" t="str">
        <f t="shared" si="139"/>
        <v/>
      </c>
    </row>
    <row r="7515" spans="1:1" x14ac:dyDescent="0.25">
      <c r="A7515" t="str">
        <f t="shared" si="139"/>
        <v/>
      </c>
    </row>
    <row r="7516" spans="1:1" x14ac:dyDescent="0.25">
      <c r="A7516" t="str">
        <f t="shared" si="139"/>
        <v/>
      </c>
    </row>
    <row r="7517" spans="1:1" x14ac:dyDescent="0.25">
      <c r="A7517" t="str">
        <f t="shared" si="139"/>
        <v/>
      </c>
    </row>
    <row r="7518" spans="1:1" x14ac:dyDescent="0.25">
      <c r="A7518" t="str">
        <f t="shared" si="139"/>
        <v/>
      </c>
    </row>
    <row r="7519" spans="1:1" x14ac:dyDescent="0.25">
      <c r="A7519" t="str">
        <f t="shared" si="139"/>
        <v/>
      </c>
    </row>
    <row r="7520" spans="1:1" x14ac:dyDescent="0.25">
      <c r="A7520" t="str">
        <f t="shared" si="139"/>
        <v/>
      </c>
    </row>
    <row r="7521" spans="1:1" x14ac:dyDescent="0.25">
      <c r="A7521" t="str">
        <f t="shared" si="139"/>
        <v/>
      </c>
    </row>
    <row r="7522" spans="1:1" x14ac:dyDescent="0.25">
      <c r="A7522" t="str">
        <f t="shared" si="139"/>
        <v/>
      </c>
    </row>
    <row r="7523" spans="1:1" x14ac:dyDescent="0.25">
      <c r="A7523" t="str">
        <f t="shared" si="139"/>
        <v/>
      </c>
    </row>
    <row r="7524" spans="1:1" x14ac:dyDescent="0.25">
      <c r="A7524" t="str">
        <f t="shared" si="139"/>
        <v/>
      </c>
    </row>
    <row r="7525" spans="1:1" x14ac:dyDescent="0.25">
      <c r="A7525" t="str">
        <f t="shared" si="139"/>
        <v/>
      </c>
    </row>
    <row r="7526" spans="1:1" x14ac:dyDescent="0.25">
      <c r="A7526" t="str">
        <f t="shared" si="139"/>
        <v/>
      </c>
    </row>
    <row r="7527" spans="1:1" x14ac:dyDescent="0.25">
      <c r="A7527" t="str">
        <f t="shared" si="139"/>
        <v/>
      </c>
    </row>
    <row r="7528" spans="1:1" x14ac:dyDescent="0.25">
      <c r="A7528" t="str">
        <f t="shared" si="139"/>
        <v/>
      </c>
    </row>
    <row r="7529" spans="1:1" x14ac:dyDescent="0.25">
      <c r="A7529" t="str">
        <f t="shared" si="139"/>
        <v/>
      </c>
    </row>
    <row r="7530" spans="1:1" x14ac:dyDescent="0.25">
      <c r="A7530" t="str">
        <f t="shared" si="139"/>
        <v/>
      </c>
    </row>
    <row r="7531" spans="1:1" x14ac:dyDescent="0.25">
      <c r="A7531" t="str">
        <f t="shared" si="139"/>
        <v/>
      </c>
    </row>
    <row r="7532" spans="1:1" x14ac:dyDescent="0.25">
      <c r="A7532" t="str">
        <f t="shared" si="139"/>
        <v/>
      </c>
    </row>
    <row r="7533" spans="1:1" x14ac:dyDescent="0.25">
      <c r="A7533" t="str">
        <f t="shared" si="139"/>
        <v/>
      </c>
    </row>
    <row r="7534" spans="1:1" x14ac:dyDescent="0.25">
      <c r="A7534" t="str">
        <f t="shared" si="139"/>
        <v/>
      </c>
    </row>
    <row r="7535" spans="1:1" x14ac:dyDescent="0.25">
      <c r="A7535" t="str">
        <f t="shared" si="139"/>
        <v/>
      </c>
    </row>
    <row r="7536" spans="1:1" x14ac:dyDescent="0.25">
      <c r="A7536" t="str">
        <f t="shared" si="139"/>
        <v/>
      </c>
    </row>
    <row r="7537" spans="1:1" x14ac:dyDescent="0.25">
      <c r="A7537" t="str">
        <f t="shared" si="139"/>
        <v/>
      </c>
    </row>
    <row r="7538" spans="1:1" x14ac:dyDescent="0.25">
      <c r="A7538" t="str">
        <f t="shared" si="139"/>
        <v/>
      </c>
    </row>
    <row r="7539" spans="1:1" x14ac:dyDescent="0.25">
      <c r="A7539" t="str">
        <f t="shared" si="139"/>
        <v/>
      </c>
    </row>
    <row r="7540" spans="1:1" x14ac:dyDescent="0.25">
      <c r="A7540" t="str">
        <f t="shared" si="139"/>
        <v/>
      </c>
    </row>
    <row r="7541" spans="1:1" x14ac:dyDescent="0.25">
      <c r="A7541" t="str">
        <f t="shared" si="139"/>
        <v/>
      </c>
    </row>
    <row r="7542" spans="1:1" x14ac:dyDescent="0.25">
      <c r="A7542" t="str">
        <f t="shared" si="139"/>
        <v/>
      </c>
    </row>
    <row r="7543" spans="1:1" x14ac:dyDescent="0.25">
      <c r="A7543" t="str">
        <f t="shared" si="139"/>
        <v/>
      </c>
    </row>
    <row r="7544" spans="1:1" x14ac:dyDescent="0.25">
      <c r="A7544" t="str">
        <f t="shared" si="139"/>
        <v/>
      </c>
    </row>
    <row r="7545" spans="1:1" x14ac:dyDescent="0.25">
      <c r="A7545" t="str">
        <f t="shared" si="139"/>
        <v/>
      </c>
    </row>
    <row r="7546" spans="1:1" x14ac:dyDescent="0.25">
      <c r="A7546" t="str">
        <f t="shared" si="139"/>
        <v/>
      </c>
    </row>
    <row r="7547" spans="1:1" x14ac:dyDescent="0.25">
      <c r="A7547" t="str">
        <f t="shared" si="139"/>
        <v/>
      </c>
    </row>
    <row r="7548" spans="1:1" x14ac:dyDescent="0.25">
      <c r="A7548" t="str">
        <f t="shared" si="139"/>
        <v/>
      </c>
    </row>
    <row r="7549" spans="1:1" x14ac:dyDescent="0.25">
      <c r="A7549" t="str">
        <f t="shared" si="139"/>
        <v/>
      </c>
    </row>
    <row r="7550" spans="1:1" x14ac:dyDescent="0.25">
      <c r="A7550" t="str">
        <f t="shared" si="139"/>
        <v/>
      </c>
    </row>
    <row r="7551" spans="1:1" x14ac:dyDescent="0.25">
      <c r="A7551" t="str">
        <f t="shared" si="139"/>
        <v/>
      </c>
    </row>
    <row r="7552" spans="1:1" x14ac:dyDescent="0.25">
      <c r="A7552" t="str">
        <f t="shared" si="139"/>
        <v/>
      </c>
    </row>
    <row r="7553" spans="1:1" x14ac:dyDescent="0.25">
      <c r="A7553" t="str">
        <f t="shared" ref="A7553:A7616" si="140">E7553&amp;C7553&amp;D7553</f>
        <v/>
      </c>
    </row>
    <row r="7554" spans="1:1" x14ac:dyDescent="0.25">
      <c r="A7554" t="str">
        <f t="shared" si="140"/>
        <v/>
      </c>
    </row>
    <row r="7555" spans="1:1" x14ac:dyDescent="0.25">
      <c r="A7555" t="str">
        <f t="shared" si="140"/>
        <v/>
      </c>
    </row>
    <row r="7556" spans="1:1" x14ac:dyDescent="0.25">
      <c r="A7556" t="str">
        <f t="shared" si="140"/>
        <v/>
      </c>
    </row>
    <row r="7557" spans="1:1" x14ac:dyDescent="0.25">
      <c r="A7557" t="str">
        <f t="shared" si="140"/>
        <v/>
      </c>
    </row>
    <row r="7558" spans="1:1" x14ac:dyDescent="0.25">
      <c r="A7558" t="str">
        <f t="shared" si="140"/>
        <v/>
      </c>
    </row>
    <row r="7559" spans="1:1" x14ac:dyDescent="0.25">
      <c r="A7559" t="str">
        <f t="shared" si="140"/>
        <v/>
      </c>
    </row>
    <row r="7560" spans="1:1" x14ac:dyDescent="0.25">
      <c r="A7560" t="str">
        <f t="shared" si="140"/>
        <v/>
      </c>
    </row>
    <row r="7561" spans="1:1" x14ac:dyDescent="0.25">
      <c r="A7561" t="str">
        <f t="shared" si="140"/>
        <v/>
      </c>
    </row>
    <row r="7562" spans="1:1" x14ac:dyDescent="0.25">
      <c r="A7562" t="str">
        <f t="shared" si="140"/>
        <v/>
      </c>
    </row>
    <row r="7563" spans="1:1" x14ac:dyDescent="0.25">
      <c r="A7563" t="str">
        <f t="shared" si="140"/>
        <v/>
      </c>
    </row>
    <row r="7564" spans="1:1" x14ac:dyDescent="0.25">
      <c r="A7564" t="str">
        <f t="shared" si="140"/>
        <v/>
      </c>
    </row>
    <row r="7565" spans="1:1" x14ac:dyDescent="0.25">
      <c r="A7565" t="str">
        <f t="shared" si="140"/>
        <v/>
      </c>
    </row>
    <row r="7566" spans="1:1" x14ac:dyDescent="0.25">
      <c r="A7566" t="str">
        <f t="shared" si="140"/>
        <v/>
      </c>
    </row>
    <row r="7567" spans="1:1" x14ac:dyDescent="0.25">
      <c r="A7567" t="str">
        <f t="shared" si="140"/>
        <v/>
      </c>
    </row>
    <row r="7568" spans="1:1" x14ac:dyDescent="0.25">
      <c r="A7568" t="str">
        <f t="shared" si="140"/>
        <v/>
      </c>
    </row>
    <row r="7569" spans="1:1" x14ac:dyDescent="0.25">
      <c r="A7569" t="str">
        <f t="shared" si="140"/>
        <v/>
      </c>
    </row>
    <row r="7570" spans="1:1" x14ac:dyDescent="0.25">
      <c r="A7570" t="str">
        <f t="shared" si="140"/>
        <v/>
      </c>
    </row>
    <row r="7571" spans="1:1" x14ac:dyDescent="0.25">
      <c r="A7571" t="str">
        <f t="shared" si="140"/>
        <v/>
      </c>
    </row>
    <row r="7572" spans="1:1" x14ac:dyDescent="0.25">
      <c r="A7572" t="str">
        <f t="shared" si="140"/>
        <v/>
      </c>
    </row>
    <row r="7573" spans="1:1" x14ac:dyDescent="0.25">
      <c r="A7573" t="str">
        <f t="shared" si="140"/>
        <v/>
      </c>
    </row>
    <row r="7574" spans="1:1" x14ac:dyDescent="0.25">
      <c r="A7574" t="str">
        <f t="shared" si="140"/>
        <v/>
      </c>
    </row>
    <row r="7575" spans="1:1" x14ac:dyDescent="0.25">
      <c r="A7575" t="str">
        <f t="shared" si="140"/>
        <v/>
      </c>
    </row>
    <row r="7576" spans="1:1" x14ac:dyDescent="0.25">
      <c r="A7576" t="str">
        <f t="shared" si="140"/>
        <v/>
      </c>
    </row>
    <row r="7577" spans="1:1" x14ac:dyDescent="0.25">
      <c r="A7577" t="str">
        <f t="shared" si="140"/>
        <v/>
      </c>
    </row>
    <row r="7578" spans="1:1" x14ac:dyDescent="0.25">
      <c r="A7578" t="str">
        <f t="shared" si="140"/>
        <v/>
      </c>
    </row>
    <row r="7579" spans="1:1" x14ac:dyDescent="0.25">
      <c r="A7579" t="str">
        <f t="shared" si="140"/>
        <v/>
      </c>
    </row>
    <row r="7580" spans="1:1" x14ac:dyDescent="0.25">
      <c r="A7580" t="str">
        <f t="shared" si="140"/>
        <v/>
      </c>
    </row>
    <row r="7581" spans="1:1" x14ac:dyDescent="0.25">
      <c r="A7581" t="str">
        <f t="shared" si="140"/>
        <v/>
      </c>
    </row>
    <row r="7582" spans="1:1" x14ac:dyDescent="0.25">
      <c r="A7582" t="str">
        <f t="shared" si="140"/>
        <v/>
      </c>
    </row>
    <row r="7583" spans="1:1" x14ac:dyDescent="0.25">
      <c r="A7583" t="str">
        <f t="shared" si="140"/>
        <v/>
      </c>
    </row>
    <row r="7584" spans="1:1" x14ac:dyDescent="0.25">
      <c r="A7584" t="str">
        <f t="shared" si="140"/>
        <v/>
      </c>
    </row>
    <row r="7585" spans="1:1" x14ac:dyDescent="0.25">
      <c r="A7585" t="str">
        <f t="shared" si="140"/>
        <v/>
      </c>
    </row>
    <row r="7586" spans="1:1" x14ac:dyDescent="0.25">
      <c r="A7586" t="str">
        <f t="shared" si="140"/>
        <v/>
      </c>
    </row>
    <row r="7587" spans="1:1" x14ac:dyDescent="0.25">
      <c r="A7587" t="str">
        <f t="shared" si="140"/>
        <v/>
      </c>
    </row>
    <row r="7588" spans="1:1" x14ac:dyDescent="0.25">
      <c r="A7588" t="str">
        <f t="shared" si="140"/>
        <v/>
      </c>
    </row>
    <row r="7589" spans="1:1" x14ac:dyDescent="0.25">
      <c r="A7589" t="str">
        <f t="shared" si="140"/>
        <v/>
      </c>
    </row>
    <row r="7590" spans="1:1" x14ac:dyDescent="0.25">
      <c r="A7590" t="str">
        <f t="shared" si="140"/>
        <v/>
      </c>
    </row>
    <row r="7591" spans="1:1" x14ac:dyDescent="0.25">
      <c r="A7591" t="str">
        <f t="shared" si="140"/>
        <v/>
      </c>
    </row>
    <row r="7592" spans="1:1" x14ac:dyDescent="0.25">
      <c r="A7592" t="str">
        <f t="shared" si="140"/>
        <v/>
      </c>
    </row>
    <row r="7593" spans="1:1" x14ac:dyDescent="0.25">
      <c r="A7593" t="str">
        <f t="shared" si="140"/>
        <v/>
      </c>
    </row>
    <row r="7594" spans="1:1" x14ac:dyDescent="0.25">
      <c r="A7594" t="str">
        <f t="shared" si="140"/>
        <v/>
      </c>
    </row>
    <row r="7595" spans="1:1" x14ac:dyDescent="0.25">
      <c r="A7595" t="str">
        <f t="shared" si="140"/>
        <v/>
      </c>
    </row>
    <row r="7596" spans="1:1" x14ac:dyDescent="0.25">
      <c r="A7596" t="str">
        <f t="shared" si="140"/>
        <v/>
      </c>
    </row>
    <row r="7597" spans="1:1" x14ac:dyDescent="0.25">
      <c r="A7597" t="str">
        <f t="shared" si="140"/>
        <v/>
      </c>
    </row>
    <row r="7598" spans="1:1" x14ac:dyDescent="0.25">
      <c r="A7598" t="str">
        <f t="shared" si="140"/>
        <v/>
      </c>
    </row>
    <row r="7599" spans="1:1" x14ac:dyDescent="0.25">
      <c r="A7599" t="str">
        <f t="shared" si="140"/>
        <v/>
      </c>
    </row>
    <row r="7600" spans="1:1" x14ac:dyDescent="0.25">
      <c r="A7600" t="str">
        <f t="shared" si="140"/>
        <v/>
      </c>
    </row>
    <row r="7601" spans="1:1" x14ac:dyDescent="0.25">
      <c r="A7601" t="str">
        <f t="shared" si="140"/>
        <v/>
      </c>
    </row>
    <row r="7602" spans="1:1" x14ac:dyDescent="0.25">
      <c r="A7602" t="str">
        <f t="shared" si="140"/>
        <v/>
      </c>
    </row>
    <row r="7603" spans="1:1" x14ac:dyDescent="0.25">
      <c r="A7603" t="str">
        <f t="shared" si="140"/>
        <v/>
      </c>
    </row>
    <row r="7604" spans="1:1" x14ac:dyDescent="0.25">
      <c r="A7604" t="str">
        <f t="shared" si="140"/>
        <v/>
      </c>
    </row>
    <row r="7605" spans="1:1" x14ac:dyDescent="0.25">
      <c r="A7605" t="str">
        <f t="shared" si="140"/>
        <v/>
      </c>
    </row>
    <row r="7606" spans="1:1" x14ac:dyDescent="0.25">
      <c r="A7606" t="str">
        <f t="shared" si="140"/>
        <v/>
      </c>
    </row>
    <row r="7607" spans="1:1" x14ac:dyDescent="0.25">
      <c r="A7607" t="str">
        <f t="shared" si="140"/>
        <v/>
      </c>
    </row>
    <row r="7608" spans="1:1" x14ac:dyDescent="0.25">
      <c r="A7608" t="str">
        <f t="shared" si="140"/>
        <v/>
      </c>
    </row>
    <row r="7609" spans="1:1" x14ac:dyDescent="0.25">
      <c r="A7609" t="str">
        <f t="shared" si="140"/>
        <v/>
      </c>
    </row>
    <row r="7610" spans="1:1" x14ac:dyDescent="0.25">
      <c r="A7610" t="str">
        <f t="shared" si="140"/>
        <v/>
      </c>
    </row>
    <row r="7611" spans="1:1" x14ac:dyDescent="0.25">
      <c r="A7611" t="str">
        <f t="shared" si="140"/>
        <v/>
      </c>
    </row>
    <row r="7612" spans="1:1" x14ac:dyDescent="0.25">
      <c r="A7612" t="str">
        <f t="shared" si="140"/>
        <v/>
      </c>
    </row>
    <row r="7613" spans="1:1" x14ac:dyDescent="0.25">
      <c r="A7613" t="str">
        <f t="shared" si="140"/>
        <v/>
      </c>
    </row>
    <row r="7614" spans="1:1" x14ac:dyDescent="0.25">
      <c r="A7614" t="str">
        <f t="shared" si="140"/>
        <v/>
      </c>
    </row>
    <row r="7615" spans="1:1" x14ac:dyDescent="0.25">
      <c r="A7615" t="str">
        <f t="shared" si="140"/>
        <v/>
      </c>
    </row>
    <row r="7616" spans="1:1" x14ac:dyDescent="0.25">
      <c r="A7616" t="str">
        <f t="shared" si="140"/>
        <v/>
      </c>
    </row>
    <row r="7617" spans="1:1" x14ac:dyDescent="0.25">
      <c r="A7617" t="str">
        <f t="shared" ref="A7617:A7680" si="141">E7617&amp;C7617&amp;D7617</f>
        <v/>
      </c>
    </row>
    <row r="7618" spans="1:1" x14ac:dyDescent="0.25">
      <c r="A7618" t="str">
        <f t="shared" si="141"/>
        <v/>
      </c>
    </row>
    <row r="7619" spans="1:1" x14ac:dyDescent="0.25">
      <c r="A7619" t="str">
        <f t="shared" si="141"/>
        <v/>
      </c>
    </row>
    <row r="7620" spans="1:1" x14ac:dyDescent="0.25">
      <c r="A7620" t="str">
        <f t="shared" si="141"/>
        <v/>
      </c>
    </row>
    <row r="7621" spans="1:1" x14ac:dyDescent="0.25">
      <c r="A7621" t="str">
        <f t="shared" si="141"/>
        <v/>
      </c>
    </row>
    <row r="7622" spans="1:1" x14ac:dyDescent="0.25">
      <c r="A7622" t="str">
        <f t="shared" si="141"/>
        <v/>
      </c>
    </row>
    <row r="7623" spans="1:1" x14ac:dyDescent="0.25">
      <c r="A7623" t="str">
        <f t="shared" si="141"/>
        <v/>
      </c>
    </row>
    <row r="7624" spans="1:1" x14ac:dyDescent="0.25">
      <c r="A7624" t="str">
        <f t="shared" si="141"/>
        <v/>
      </c>
    </row>
    <row r="7625" spans="1:1" x14ac:dyDescent="0.25">
      <c r="A7625" t="str">
        <f t="shared" si="141"/>
        <v/>
      </c>
    </row>
    <row r="7626" spans="1:1" x14ac:dyDescent="0.25">
      <c r="A7626" t="str">
        <f t="shared" si="141"/>
        <v/>
      </c>
    </row>
    <row r="7627" spans="1:1" x14ac:dyDescent="0.25">
      <c r="A7627" t="str">
        <f t="shared" si="141"/>
        <v/>
      </c>
    </row>
    <row r="7628" spans="1:1" x14ac:dyDescent="0.25">
      <c r="A7628" t="str">
        <f t="shared" si="141"/>
        <v/>
      </c>
    </row>
    <row r="7629" spans="1:1" x14ac:dyDescent="0.25">
      <c r="A7629" t="str">
        <f t="shared" si="141"/>
        <v/>
      </c>
    </row>
    <row r="7630" spans="1:1" x14ac:dyDescent="0.25">
      <c r="A7630" t="str">
        <f t="shared" si="141"/>
        <v/>
      </c>
    </row>
    <row r="7631" spans="1:1" x14ac:dyDescent="0.25">
      <c r="A7631" t="str">
        <f t="shared" si="141"/>
        <v/>
      </c>
    </row>
    <row r="7632" spans="1:1" x14ac:dyDescent="0.25">
      <c r="A7632" t="str">
        <f t="shared" si="141"/>
        <v/>
      </c>
    </row>
    <row r="7633" spans="1:1" x14ac:dyDescent="0.25">
      <c r="A7633" t="str">
        <f t="shared" si="141"/>
        <v/>
      </c>
    </row>
    <row r="7634" spans="1:1" x14ac:dyDescent="0.25">
      <c r="A7634" t="str">
        <f t="shared" si="141"/>
        <v/>
      </c>
    </row>
    <row r="7635" spans="1:1" x14ac:dyDescent="0.25">
      <c r="A7635" t="str">
        <f t="shared" si="141"/>
        <v/>
      </c>
    </row>
    <row r="7636" spans="1:1" x14ac:dyDescent="0.25">
      <c r="A7636" t="str">
        <f t="shared" si="141"/>
        <v/>
      </c>
    </row>
    <row r="7637" spans="1:1" x14ac:dyDescent="0.25">
      <c r="A7637" t="str">
        <f t="shared" si="141"/>
        <v/>
      </c>
    </row>
    <row r="7638" spans="1:1" x14ac:dyDescent="0.25">
      <c r="A7638" t="str">
        <f t="shared" si="141"/>
        <v/>
      </c>
    </row>
    <row r="7639" spans="1:1" x14ac:dyDescent="0.25">
      <c r="A7639" t="str">
        <f t="shared" si="141"/>
        <v/>
      </c>
    </row>
    <row r="7640" spans="1:1" x14ac:dyDescent="0.25">
      <c r="A7640" t="str">
        <f t="shared" si="141"/>
        <v/>
      </c>
    </row>
    <row r="7641" spans="1:1" x14ac:dyDescent="0.25">
      <c r="A7641" t="str">
        <f t="shared" si="141"/>
        <v/>
      </c>
    </row>
    <row r="7642" spans="1:1" x14ac:dyDescent="0.25">
      <c r="A7642" t="str">
        <f t="shared" si="141"/>
        <v/>
      </c>
    </row>
    <row r="7643" spans="1:1" x14ac:dyDescent="0.25">
      <c r="A7643" t="str">
        <f t="shared" si="141"/>
        <v/>
      </c>
    </row>
    <row r="7644" spans="1:1" x14ac:dyDescent="0.25">
      <c r="A7644" t="str">
        <f t="shared" si="141"/>
        <v/>
      </c>
    </row>
    <row r="7645" spans="1:1" x14ac:dyDescent="0.25">
      <c r="A7645" t="str">
        <f t="shared" si="141"/>
        <v/>
      </c>
    </row>
    <row r="7646" spans="1:1" x14ac:dyDescent="0.25">
      <c r="A7646" t="str">
        <f t="shared" si="141"/>
        <v/>
      </c>
    </row>
    <row r="7647" spans="1:1" x14ac:dyDescent="0.25">
      <c r="A7647" t="str">
        <f t="shared" si="141"/>
        <v/>
      </c>
    </row>
    <row r="7648" spans="1:1" x14ac:dyDescent="0.25">
      <c r="A7648" t="str">
        <f t="shared" si="141"/>
        <v/>
      </c>
    </row>
    <row r="7649" spans="1:1" x14ac:dyDescent="0.25">
      <c r="A7649" t="str">
        <f t="shared" si="141"/>
        <v/>
      </c>
    </row>
    <row r="7650" spans="1:1" x14ac:dyDescent="0.25">
      <c r="A7650" t="str">
        <f t="shared" si="141"/>
        <v/>
      </c>
    </row>
    <row r="7651" spans="1:1" x14ac:dyDescent="0.25">
      <c r="A7651" t="str">
        <f t="shared" si="141"/>
        <v/>
      </c>
    </row>
    <row r="7652" spans="1:1" x14ac:dyDescent="0.25">
      <c r="A7652" t="str">
        <f t="shared" si="141"/>
        <v/>
      </c>
    </row>
    <row r="7653" spans="1:1" x14ac:dyDescent="0.25">
      <c r="A7653" t="str">
        <f t="shared" si="141"/>
        <v/>
      </c>
    </row>
    <row r="7654" spans="1:1" x14ac:dyDescent="0.25">
      <c r="A7654" t="str">
        <f t="shared" si="141"/>
        <v/>
      </c>
    </row>
    <row r="7655" spans="1:1" x14ac:dyDescent="0.25">
      <c r="A7655" t="str">
        <f t="shared" si="141"/>
        <v/>
      </c>
    </row>
    <row r="7656" spans="1:1" x14ac:dyDescent="0.25">
      <c r="A7656" t="str">
        <f t="shared" si="141"/>
        <v/>
      </c>
    </row>
    <row r="7657" spans="1:1" x14ac:dyDescent="0.25">
      <c r="A7657" t="str">
        <f t="shared" si="141"/>
        <v/>
      </c>
    </row>
    <row r="7658" spans="1:1" x14ac:dyDescent="0.25">
      <c r="A7658" t="str">
        <f t="shared" si="141"/>
        <v/>
      </c>
    </row>
    <row r="7659" spans="1:1" x14ac:dyDescent="0.25">
      <c r="A7659" t="str">
        <f t="shared" si="141"/>
        <v/>
      </c>
    </row>
    <row r="7660" spans="1:1" x14ac:dyDescent="0.25">
      <c r="A7660" t="str">
        <f t="shared" si="141"/>
        <v/>
      </c>
    </row>
    <row r="7661" spans="1:1" x14ac:dyDescent="0.25">
      <c r="A7661" t="str">
        <f t="shared" si="141"/>
        <v/>
      </c>
    </row>
    <row r="7662" spans="1:1" x14ac:dyDescent="0.25">
      <c r="A7662" t="str">
        <f t="shared" si="141"/>
        <v/>
      </c>
    </row>
    <row r="7663" spans="1:1" x14ac:dyDescent="0.25">
      <c r="A7663" t="str">
        <f t="shared" si="141"/>
        <v/>
      </c>
    </row>
    <row r="7664" spans="1:1" x14ac:dyDescent="0.25">
      <c r="A7664" t="str">
        <f t="shared" si="141"/>
        <v/>
      </c>
    </row>
    <row r="7665" spans="1:1" x14ac:dyDescent="0.25">
      <c r="A7665" t="str">
        <f t="shared" si="141"/>
        <v/>
      </c>
    </row>
    <row r="7666" spans="1:1" x14ac:dyDescent="0.25">
      <c r="A7666" t="str">
        <f t="shared" si="141"/>
        <v/>
      </c>
    </row>
    <row r="7667" spans="1:1" x14ac:dyDescent="0.25">
      <c r="A7667" t="str">
        <f t="shared" si="141"/>
        <v/>
      </c>
    </row>
    <row r="7668" spans="1:1" x14ac:dyDescent="0.25">
      <c r="A7668" t="str">
        <f t="shared" si="141"/>
        <v/>
      </c>
    </row>
    <row r="7669" spans="1:1" x14ac:dyDescent="0.25">
      <c r="A7669" t="str">
        <f t="shared" si="141"/>
        <v/>
      </c>
    </row>
    <row r="7670" spans="1:1" x14ac:dyDescent="0.25">
      <c r="A7670" t="str">
        <f t="shared" si="141"/>
        <v/>
      </c>
    </row>
    <row r="7671" spans="1:1" x14ac:dyDescent="0.25">
      <c r="A7671" t="str">
        <f t="shared" si="141"/>
        <v/>
      </c>
    </row>
    <row r="7672" spans="1:1" x14ac:dyDescent="0.25">
      <c r="A7672" t="str">
        <f t="shared" si="141"/>
        <v/>
      </c>
    </row>
    <row r="7673" spans="1:1" x14ac:dyDescent="0.25">
      <c r="A7673" t="str">
        <f t="shared" si="141"/>
        <v/>
      </c>
    </row>
    <row r="7674" spans="1:1" x14ac:dyDescent="0.25">
      <c r="A7674" t="str">
        <f t="shared" si="141"/>
        <v/>
      </c>
    </row>
    <row r="7675" spans="1:1" x14ac:dyDescent="0.25">
      <c r="A7675" t="str">
        <f t="shared" si="141"/>
        <v/>
      </c>
    </row>
    <row r="7676" spans="1:1" x14ac:dyDescent="0.25">
      <c r="A7676" t="str">
        <f t="shared" si="141"/>
        <v/>
      </c>
    </row>
    <row r="7677" spans="1:1" x14ac:dyDescent="0.25">
      <c r="A7677" t="str">
        <f t="shared" si="141"/>
        <v/>
      </c>
    </row>
    <row r="7678" spans="1:1" x14ac:dyDescent="0.25">
      <c r="A7678" t="str">
        <f t="shared" si="141"/>
        <v/>
      </c>
    </row>
    <row r="7679" spans="1:1" x14ac:dyDescent="0.25">
      <c r="A7679" t="str">
        <f t="shared" si="141"/>
        <v/>
      </c>
    </row>
    <row r="7680" spans="1:1" x14ac:dyDescent="0.25">
      <c r="A7680" t="str">
        <f t="shared" si="141"/>
        <v/>
      </c>
    </row>
    <row r="7681" spans="1:1" x14ac:dyDescent="0.25">
      <c r="A7681" t="str">
        <f t="shared" ref="A7681:A7744" si="142">E7681&amp;C7681&amp;D7681</f>
        <v/>
      </c>
    </row>
    <row r="7682" spans="1:1" x14ac:dyDescent="0.25">
      <c r="A7682" t="str">
        <f t="shared" si="142"/>
        <v/>
      </c>
    </row>
    <row r="7683" spans="1:1" x14ac:dyDescent="0.25">
      <c r="A7683" t="str">
        <f t="shared" si="142"/>
        <v/>
      </c>
    </row>
    <row r="7684" spans="1:1" x14ac:dyDescent="0.25">
      <c r="A7684" t="str">
        <f t="shared" si="142"/>
        <v/>
      </c>
    </row>
    <row r="7685" spans="1:1" x14ac:dyDescent="0.25">
      <c r="A7685" t="str">
        <f t="shared" si="142"/>
        <v/>
      </c>
    </row>
    <row r="7686" spans="1:1" x14ac:dyDescent="0.25">
      <c r="A7686" t="str">
        <f t="shared" si="142"/>
        <v/>
      </c>
    </row>
    <row r="7687" spans="1:1" x14ac:dyDescent="0.25">
      <c r="A7687" t="str">
        <f t="shared" si="142"/>
        <v/>
      </c>
    </row>
    <row r="7688" spans="1:1" x14ac:dyDescent="0.25">
      <c r="A7688" t="str">
        <f t="shared" si="142"/>
        <v/>
      </c>
    </row>
    <row r="7689" spans="1:1" x14ac:dyDescent="0.25">
      <c r="A7689" t="str">
        <f t="shared" si="142"/>
        <v/>
      </c>
    </row>
    <row r="7690" spans="1:1" x14ac:dyDescent="0.25">
      <c r="A7690" t="str">
        <f t="shared" si="142"/>
        <v/>
      </c>
    </row>
    <row r="7691" spans="1:1" x14ac:dyDescent="0.25">
      <c r="A7691" t="str">
        <f t="shared" si="142"/>
        <v/>
      </c>
    </row>
    <row r="7692" spans="1:1" x14ac:dyDescent="0.25">
      <c r="A7692" t="str">
        <f t="shared" si="142"/>
        <v/>
      </c>
    </row>
    <row r="7693" spans="1:1" x14ac:dyDescent="0.25">
      <c r="A7693" t="str">
        <f t="shared" si="142"/>
        <v/>
      </c>
    </row>
    <row r="7694" spans="1:1" x14ac:dyDescent="0.25">
      <c r="A7694" t="str">
        <f t="shared" si="142"/>
        <v/>
      </c>
    </row>
    <row r="7695" spans="1:1" x14ac:dyDescent="0.25">
      <c r="A7695" t="str">
        <f t="shared" si="142"/>
        <v/>
      </c>
    </row>
    <row r="7696" spans="1:1" x14ac:dyDescent="0.25">
      <c r="A7696" t="str">
        <f t="shared" si="142"/>
        <v/>
      </c>
    </row>
    <row r="7697" spans="1:1" x14ac:dyDescent="0.25">
      <c r="A7697" t="str">
        <f t="shared" si="142"/>
        <v/>
      </c>
    </row>
    <row r="7698" spans="1:1" x14ac:dyDescent="0.25">
      <c r="A7698" t="str">
        <f t="shared" si="142"/>
        <v/>
      </c>
    </row>
    <row r="7699" spans="1:1" x14ac:dyDescent="0.25">
      <c r="A7699" t="str">
        <f t="shared" si="142"/>
        <v/>
      </c>
    </row>
    <row r="7700" spans="1:1" x14ac:dyDescent="0.25">
      <c r="A7700" t="str">
        <f t="shared" si="142"/>
        <v/>
      </c>
    </row>
    <row r="7701" spans="1:1" x14ac:dyDescent="0.25">
      <c r="A7701" t="str">
        <f t="shared" si="142"/>
        <v/>
      </c>
    </row>
    <row r="7702" spans="1:1" x14ac:dyDescent="0.25">
      <c r="A7702" t="str">
        <f t="shared" si="142"/>
        <v/>
      </c>
    </row>
    <row r="7703" spans="1:1" x14ac:dyDescent="0.25">
      <c r="A7703" t="str">
        <f t="shared" si="142"/>
        <v/>
      </c>
    </row>
    <row r="7704" spans="1:1" x14ac:dyDescent="0.25">
      <c r="A7704" t="str">
        <f t="shared" si="142"/>
        <v/>
      </c>
    </row>
    <row r="7705" spans="1:1" x14ac:dyDescent="0.25">
      <c r="A7705" t="str">
        <f t="shared" si="142"/>
        <v/>
      </c>
    </row>
    <row r="7706" spans="1:1" x14ac:dyDescent="0.25">
      <c r="A7706" t="str">
        <f t="shared" si="142"/>
        <v/>
      </c>
    </row>
    <row r="7707" spans="1:1" x14ac:dyDescent="0.25">
      <c r="A7707" t="str">
        <f t="shared" si="142"/>
        <v/>
      </c>
    </row>
    <row r="7708" spans="1:1" x14ac:dyDescent="0.25">
      <c r="A7708" t="str">
        <f t="shared" si="142"/>
        <v/>
      </c>
    </row>
    <row r="7709" spans="1:1" x14ac:dyDescent="0.25">
      <c r="A7709" t="str">
        <f t="shared" si="142"/>
        <v/>
      </c>
    </row>
    <row r="7710" spans="1:1" x14ac:dyDescent="0.25">
      <c r="A7710" t="str">
        <f t="shared" si="142"/>
        <v/>
      </c>
    </row>
    <row r="7711" spans="1:1" x14ac:dyDescent="0.25">
      <c r="A7711" t="str">
        <f t="shared" si="142"/>
        <v/>
      </c>
    </row>
    <row r="7712" spans="1:1" x14ac:dyDescent="0.25">
      <c r="A7712" t="str">
        <f t="shared" si="142"/>
        <v/>
      </c>
    </row>
    <row r="7713" spans="1:1" x14ac:dyDescent="0.25">
      <c r="A7713" t="str">
        <f t="shared" si="142"/>
        <v/>
      </c>
    </row>
    <row r="7714" spans="1:1" x14ac:dyDescent="0.25">
      <c r="A7714" t="str">
        <f t="shared" si="142"/>
        <v/>
      </c>
    </row>
    <row r="7715" spans="1:1" x14ac:dyDescent="0.25">
      <c r="A7715" t="str">
        <f t="shared" si="142"/>
        <v/>
      </c>
    </row>
    <row r="7716" spans="1:1" x14ac:dyDescent="0.25">
      <c r="A7716" t="str">
        <f t="shared" si="142"/>
        <v/>
      </c>
    </row>
    <row r="7717" spans="1:1" x14ac:dyDescent="0.25">
      <c r="A7717" t="str">
        <f t="shared" si="142"/>
        <v/>
      </c>
    </row>
    <row r="7718" spans="1:1" x14ac:dyDescent="0.25">
      <c r="A7718" t="str">
        <f t="shared" si="142"/>
        <v/>
      </c>
    </row>
    <row r="7719" spans="1:1" x14ac:dyDescent="0.25">
      <c r="A7719" t="str">
        <f t="shared" si="142"/>
        <v/>
      </c>
    </row>
    <row r="7720" spans="1:1" x14ac:dyDescent="0.25">
      <c r="A7720" t="str">
        <f t="shared" si="142"/>
        <v/>
      </c>
    </row>
    <row r="7721" spans="1:1" x14ac:dyDescent="0.25">
      <c r="A7721" t="str">
        <f t="shared" si="142"/>
        <v/>
      </c>
    </row>
    <row r="7722" spans="1:1" x14ac:dyDescent="0.25">
      <c r="A7722" t="str">
        <f t="shared" si="142"/>
        <v/>
      </c>
    </row>
    <row r="7723" spans="1:1" x14ac:dyDescent="0.25">
      <c r="A7723" t="str">
        <f t="shared" si="142"/>
        <v/>
      </c>
    </row>
    <row r="7724" spans="1:1" x14ac:dyDescent="0.25">
      <c r="A7724" t="str">
        <f t="shared" si="142"/>
        <v/>
      </c>
    </row>
    <row r="7725" spans="1:1" x14ac:dyDescent="0.25">
      <c r="A7725" t="str">
        <f t="shared" si="142"/>
        <v/>
      </c>
    </row>
    <row r="7726" spans="1:1" x14ac:dyDescent="0.25">
      <c r="A7726" t="str">
        <f t="shared" si="142"/>
        <v/>
      </c>
    </row>
    <row r="7727" spans="1:1" x14ac:dyDescent="0.25">
      <c r="A7727" t="str">
        <f t="shared" si="142"/>
        <v/>
      </c>
    </row>
    <row r="7728" spans="1:1" x14ac:dyDescent="0.25">
      <c r="A7728" t="str">
        <f t="shared" si="142"/>
        <v/>
      </c>
    </row>
    <row r="7729" spans="1:1" x14ac:dyDescent="0.25">
      <c r="A7729" t="str">
        <f t="shared" si="142"/>
        <v/>
      </c>
    </row>
    <row r="7730" spans="1:1" x14ac:dyDescent="0.25">
      <c r="A7730" t="str">
        <f t="shared" si="142"/>
        <v/>
      </c>
    </row>
    <row r="7731" spans="1:1" x14ac:dyDescent="0.25">
      <c r="A7731" t="str">
        <f t="shared" si="142"/>
        <v/>
      </c>
    </row>
    <row r="7732" spans="1:1" x14ac:dyDescent="0.25">
      <c r="A7732" t="str">
        <f t="shared" si="142"/>
        <v/>
      </c>
    </row>
    <row r="7733" spans="1:1" x14ac:dyDescent="0.25">
      <c r="A7733" t="str">
        <f t="shared" si="142"/>
        <v/>
      </c>
    </row>
    <row r="7734" spans="1:1" x14ac:dyDescent="0.25">
      <c r="A7734" t="str">
        <f t="shared" si="142"/>
        <v/>
      </c>
    </row>
    <row r="7735" spans="1:1" x14ac:dyDescent="0.25">
      <c r="A7735" t="str">
        <f t="shared" si="142"/>
        <v/>
      </c>
    </row>
    <row r="7736" spans="1:1" x14ac:dyDescent="0.25">
      <c r="A7736" t="str">
        <f t="shared" si="142"/>
        <v/>
      </c>
    </row>
    <row r="7737" spans="1:1" x14ac:dyDescent="0.25">
      <c r="A7737" t="str">
        <f t="shared" si="142"/>
        <v/>
      </c>
    </row>
    <row r="7738" spans="1:1" x14ac:dyDescent="0.25">
      <c r="A7738" t="str">
        <f t="shared" si="142"/>
        <v/>
      </c>
    </row>
    <row r="7739" spans="1:1" x14ac:dyDescent="0.25">
      <c r="A7739" t="str">
        <f t="shared" si="142"/>
        <v/>
      </c>
    </row>
    <row r="7740" spans="1:1" x14ac:dyDescent="0.25">
      <c r="A7740" t="str">
        <f t="shared" si="142"/>
        <v/>
      </c>
    </row>
    <row r="7741" spans="1:1" x14ac:dyDescent="0.25">
      <c r="A7741" t="str">
        <f t="shared" si="142"/>
        <v/>
      </c>
    </row>
    <row r="7742" spans="1:1" x14ac:dyDescent="0.25">
      <c r="A7742" t="str">
        <f t="shared" si="142"/>
        <v/>
      </c>
    </row>
    <row r="7743" spans="1:1" x14ac:dyDescent="0.25">
      <c r="A7743" t="str">
        <f t="shared" si="142"/>
        <v/>
      </c>
    </row>
    <row r="7744" spans="1:1" x14ac:dyDescent="0.25">
      <c r="A7744" t="str">
        <f t="shared" si="142"/>
        <v/>
      </c>
    </row>
    <row r="7745" spans="1:1" x14ac:dyDescent="0.25">
      <c r="A7745" t="str">
        <f t="shared" ref="A7745:A7808" si="143">E7745&amp;C7745&amp;D7745</f>
        <v/>
      </c>
    </row>
    <row r="7746" spans="1:1" x14ac:dyDescent="0.25">
      <c r="A7746" t="str">
        <f t="shared" si="143"/>
        <v/>
      </c>
    </row>
    <row r="7747" spans="1:1" x14ac:dyDescent="0.25">
      <c r="A7747" t="str">
        <f t="shared" si="143"/>
        <v/>
      </c>
    </row>
    <row r="7748" spans="1:1" x14ac:dyDescent="0.25">
      <c r="A7748" t="str">
        <f t="shared" si="143"/>
        <v/>
      </c>
    </row>
    <row r="7749" spans="1:1" x14ac:dyDescent="0.25">
      <c r="A7749" t="str">
        <f t="shared" si="143"/>
        <v/>
      </c>
    </row>
    <row r="7750" spans="1:1" x14ac:dyDescent="0.25">
      <c r="A7750" t="str">
        <f t="shared" si="143"/>
        <v/>
      </c>
    </row>
    <row r="7751" spans="1:1" x14ac:dyDescent="0.25">
      <c r="A7751" t="str">
        <f t="shared" si="143"/>
        <v/>
      </c>
    </row>
    <row r="7752" spans="1:1" x14ac:dyDescent="0.25">
      <c r="A7752" t="str">
        <f t="shared" si="143"/>
        <v/>
      </c>
    </row>
    <row r="7753" spans="1:1" x14ac:dyDescent="0.25">
      <c r="A7753" t="str">
        <f t="shared" si="143"/>
        <v/>
      </c>
    </row>
    <row r="7754" spans="1:1" x14ac:dyDescent="0.25">
      <c r="A7754" t="str">
        <f t="shared" si="143"/>
        <v/>
      </c>
    </row>
    <row r="7755" spans="1:1" x14ac:dyDescent="0.25">
      <c r="A7755" t="str">
        <f t="shared" si="143"/>
        <v/>
      </c>
    </row>
    <row r="7756" spans="1:1" x14ac:dyDescent="0.25">
      <c r="A7756" t="str">
        <f t="shared" si="143"/>
        <v/>
      </c>
    </row>
    <row r="7757" spans="1:1" x14ac:dyDescent="0.25">
      <c r="A7757" t="str">
        <f t="shared" si="143"/>
        <v/>
      </c>
    </row>
    <row r="7758" spans="1:1" x14ac:dyDescent="0.25">
      <c r="A7758" t="str">
        <f t="shared" si="143"/>
        <v/>
      </c>
    </row>
    <row r="7759" spans="1:1" x14ac:dyDescent="0.25">
      <c r="A7759" t="str">
        <f t="shared" si="143"/>
        <v/>
      </c>
    </row>
    <row r="7760" spans="1:1" x14ac:dyDescent="0.25">
      <c r="A7760" t="str">
        <f t="shared" si="143"/>
        <v/>
      </c>
    </row>
    <row r="7761" spans="1:1" x14ac:dyDescent="0.25">
      <c r="A7761" t="str">
        <f t="shared" si="143"/>
        <v/>
      </c>
    </row>
    <row r="7762" spans="1:1" x14ac:dyDescent="0.25">
      <c r="A7762" t="str">
        <f t="shared" si="143"/>
        <v/>
      </c>
    </row>
    <row r="7763" spans="1:1" x14ac:dyDescent="0.25">
      <c r="A7763" t="str">
        <f t="shared" si="143"/>
        <v/>
      </c>
    </row>
    <row r="7764" spans="1:1" x14ac:dyDescent="0.25">
      <c r="A7764" t="str">
        <f t="shared" si="143"/>
        <v/>
      </c>
    </row>
    <row r="7765" spans="1:1" x14ac:dyDescent="0.25">
      <c r="A7765" t="str">
        <f t="shared" si="143"/>
        <v/>
      </c>
    </row>
    <row r="7766" spans="1:1" x14ac:dyDescent="0.25">
      <c r="A7766" t="str">
        <f t="shared" si="143"/>
        <v/>
      </c>
    </row>
    <row r="7767" spans="1:1" x14ac:dyDescent="0.25">
      <c r="A7767" t="str">
        <f t="shared" si="143"/>
        <v/>
      </c>
    </row>
    <row r="7768" spans="1:1" x14ac:dyDescent="0.25">
      <c r="A7768" t="str">
        <f t="shared" si="143"/>
        <v/>
      </c>
    </row>
    <row r="7769" spans="1:1" x14ac:dyDescent="0.25">
      <c r="A7769" t="str">
        <f t="shared" si="143"/>
        <v/>
      </c>
    </row>
    <row r="7770" spans="1:1" x14ac:dyDescent="0.25">
      <c r="A7770" t="str">
        <f t="shared" si="143"/>
        <v/>
      </c>
    </row>
    <row r="7771" spans="1:1" x14ac:dyDescent="0.25">
      <c r="A7771" t="str">
        <f t="shared" si="143"/>
        <v/>
      </c>
    </row>
    <row r="7772" spans="1:1" x14ac:dyDescent="0.25">
      <c r="A7772" t="str">
        <f t="shared" si="143"/>
        <v/>
      </c>
    </row>
    <row r="7773" spans="1:1" x14ac:dyDescent="0.25">
      <c r="A7773" t="str">
        <f t="shared" si="143"/>
        <v/>
      </c>
    </row>
    <row r="7774" spans="1:1" x14ac:dyDescent="0.25">
      <c r="A7774" t="str">
        <f t="shared" si="143"/>
        <v/>
      </c>
    </row>
    <row r="7775" spans="1:1" x14ac:dyDescent="0.25">
      <c r="A7775" t="str">
        <f t="shared" si="143"/>
        <v/>
      </c>
    </row>
    <row r="7776" spans="1:1" x14ac:dyDescent="0.25">
      <c r="A7776" t="str">
        <f t="shared" si="143"/>
        <v/>
      </c>
    </row>
    <row r="7777" spans="1:1" x14ac:dyDescent="0.25">
      <c r="A7777" t="str">
        <f t="shared" si="143"/>
        <v/>
      </c>
    </row>
    <row r="7778" spans="1:1" x14ac:dyDescent="0.25">
      <c r="A7778" t="str">
        <f t="shared" si="143"/>
        <v/>
      </c>
    </row>
    <row r="7779" spans="1:1" x14ac:dyDescent="0.25">
      <c r="A7779" t="str">
        <f t="shared" si="143"/>
        <v/>
      </c>
    </row>
    <row r="7780" spans="1:1" x14ac:dyDescent="0.25">
      <c r="A7780" t="str">
        <f t="shared" si="143"/>
        <v/>
      </c>
    </row>
    <row r="7781" spans="1:1" x14ac:dyDescent="0.25">
      <c r="A7781" t="str">
        <f t="shared" si="143"/>
        <v/>
      </c>
    </row>
    <row r="7782" spans="1:1" x14ac:dyDescent="0.25">
      <c r="A7782" t="str">
        <f t="shared" si="143"/>
        <v/>
      </c>
    </row>
    <row r="7783" spans="1:1" x14ac:dyDescent="0.25">
      <c r="A7783" t="str">
        <f t="shared" si="143"/>
        <v/>
      </c>
    </row>
    <row r="7784" spans="1:1" x14ac:dyDescent="0.25">
      <c r="A7784" t="str">
        <f t="shared" si="143"/>
        <v/>
      </c>
    </row>
    <row r="7785" spans="1:1" x14ac:dyDescent="0.25">
      <c r="A7785" t="str">
        <f t="shared" si="143"/>
        <v/>
      </c>
    </row>
    <row r="7786" spans="1:1" x14ac:dyDescent="0.25">
      <c r="A7786" t="str">
        <f t="shared" si="143"/>
        <v/>
      </c>
    </row>
    <row r="7787" spans="1:1" x14ac:dyDescent="0.25">
      <c r="A7787" t="str">
        <f t="shared" si="143"/>
        <v/>
      </c>
    </row>
    <row r="7788" spans="1:1" x14ac:dyDescent="0.25">
      <c r="A7788" t="str">
        <f t="shared" si="143"/>
        <v/>
      </c>
    </row>
    <row r="7789" spans="1:1" x14ac:dyDescent="0.25">
      <c r="A7789" t="str">
        <f t="shared" si="143"/>
        <v/>
      </c>
    </row>
    <row r="7790" spans="1:1" x14ac:dyDescent="0.25">
      <c r="A7790" t="str">
        <f t="shared" si="143"/>
        <v/>
      </c>
    </row>
    <row r="7791" spans="1:1" x14ac:dyDescent="0.25">
      <c r="A7791" t="str">
        <f t="shared" si="143"/>
        <v/>
      </c>
    </row>
    <row r="7792" spans="1:1" x14ac:dyDescent="0.25">
      <c r="A7792" t="str">
        <f t="shared" si="143"/>
        <v/>
      </c>
    </row>
    <row r="7793" spans="1:1" x14ac:dyDescent="0.25">
      <c r="A7793" t="str">
        <f t="shared" si="143"/>
        <v/>
      </c>
    </row>
    <row r="7794" spans="1:1" x14ac:dyDescent="0.25">
      <c r="A7794" t="str">
        <f t="shared" si="143"/>
        <v/>
      </c>
    </row>
    <row r="7795" spans="1:1" x14ac:dyDescent="0.25">
      <c r="A7795" t="str">
        <f t="shared" si="143"/>
        <v/>
      </c>
    </row>
    <row r="7796" spans="1:1" x14ac:dyDescent="0.25">
      <c r="A7796" t="str">
        <f t="shared" si="143"/>
        <v/>
      </c>
    </row>
    <row r="7797" spans="1:1" x14ac:dyDescent="0.25">
      <c r="A7797" t="str">
        <f t="shared" si="143"/>
        <v/>
      </c>
    </row>
    <row r="7798" spans="1:1" x14ac:dyDescent="0.25">
      <c r="A7798" t="str">
        <f t="shared" si="143"/>
        <v/>
      </c>
    </row>
    <row r="7799" spans="1:1" x14ac:dyDescent="0.25">
      <c r="A7799" t="str">
        <f t="shared" si="143"/>
        <v/>
      </c>
    </row>
    <row r="7800" spans="1:1" x14ac:dyDescent="0.25">
      <c r="A7800" t="str">
        <f t="shared" si="143"/>
        <v/>
      </c>
    </row>
    <row r="7801" spans="1:1" x14ac:dyDescent="0.25">
      <c r="A7801" t="str">
        <f t="shared" si="143"/>
        <v/>
      </c>
    </row>
    <row r="7802" spans="1:1" x14ac:dyDescent="0.25">
      <c r="A7802" t="str">
        <f t="shared" si="143"/>
        <v/>
      </c>
    </row>
    <row r="7803" spans="1:1" x14ac:dyDescent="0.25">
      <c r="A7803" t="str">
        <f t="shared" si="143"/>
        <v/>
      </c>
    </row>
    <row r="7804" spans="1:1" x14ac:dyDescent="0.25">
      <c r="A7804" t="str">
        <f t="shared" si="143"/>
        <v/>
      </c>
    </row>
    <row r="7805" spans="1:1" x14ac:dyDescent="0.25">
      <c r="A7805" t="str">
        <f t="shared" si="143"/>
        <v/>
      </c>
    </row>
    <row r="7806" spans="1:1" x14ac:dyDescent="0.25">
      <c r="A7806" t="str">
        <f t="shared" si="143"/>
        <v/>
      </c>
    </row>
    <row r="7807" spans="1:1" x14ac:dyDescent="0.25">
      <c r="A7807" t="str">
        <f t="shared" si="143"/>
        <v/>
      </c>
    </row>
    <row r="7808" spans="1:1" x14ac:dyDescent="0.25">
      <c r="A7808" t="str">
        <f t="shared" si="143"/>
        <v/>
      </c>
    </row>
    <row r="7809" spans="1:1" x14ac:dyDescent="0.25">
      <c r="A7809" t="str">
        <f t="shared" ref="A7809:A7872" si="144">E7809&amp;C7809&amp;D7809</f>
        <v/>
      </c>
    </row>
    <row r="7810" spans="1:1" x14ac:dyDescent="0.25">
      <c r="A7810" t="str">
        <f t="shared" si="144"/>
        <v/>
      </c>
    </row>
    <row r="7811" spans="1:1" x14ac:dyDescent="0.25">
      <c r="A7811" t="str">
        <f t="shared" si="144"/>
        <v/>
      </c>
    </row>
    <row r="7812" spans="1:1" x14ac:dyDescent="0.25">
      <c r="A7812" t="str">
        <f t="shared" si="144"/>
        <v/>
      </c>
    </row>
    <row r="7813" spans="1:1" x14ac:dyDescent="0.25">
      <c r="A7813" t="str">
        <f t="shared" si="144"/>
        <v/>
      </c>
    </row>
    <row r="7814" spans="1:1" x14ac:dyDescent="0.25">
      <c r="A7814" t="str">
        <f t="shared" si="144"/>
        <v/>
      </c>
    </row>
    <row r="7815" spans="1:1" x14ac:dyDescent="0.25">
      <c r="A7815" t="str">
        <f t="shared" si="144"/>
        <v/>
      </c>
    </row>
    <row r="7816" spans="1:1" x14ac:dyDescent="0.25">
      <c r="A7816" t="str">
        <f t="shared" si="144"/>
        <v/>
      </c>
    </row>
    <row r="7817" spans="1:1" x14ac:dyDescent="0.25">
      <c r="A7817" t="str">
        <f t="shared" si="144"/>
        <v/>
      </c>
    </row>
    <row r="7818" spans="1:1" x14ac:dyDescent="0.25">
      <c r="A7818" t="str">
        <f t="shared" si="144"/>
        <v/>
      </c>
    </row>
    <row r="7819" spans="1:1" x14ac:dyDescent="0.25">
      <c r="A7819" t="str">
        <f t="shared" si="144"/>
        <v/>
      </c>
    </row>
    <row r="7820" spans="1:1" x14ac:dyDescent="0.25">
      <c r="A7820" t="str">
        <f t="shared" si="144"/>
        <v/>
      </c>
    </row>
    <row r="7821" spans="1:1" x14ac:dyDescent="0.25">
      <c r="A7821" t="str">
        <f t="shared" si="144"/>
        <v/>
      </c>
    </row>
    <row r="7822" spans="1:1" x14ac:dyDescent="0.25">
      <c r="A7822" t="str">
        <f t="shared" si="144"/>
        <v/>
      </c>
    </row>
    <row r="7823" spans="1:1" x14ac:dyDescent="0.25">
      <c r="A7823" t="str">
        <f t="shared" si="144"/>
        <v/>
      </c>
    </row>
    <row r="7824" spans="1:1" x14ac:dyDescent="0.25">
      <c r="A7824" t="str">
        <f t="shared" si="144"/>
        <v/>
      </c>
    </row>
    <row r="7825" spans="1:1" x14ac:dyDescent="0.25">
      <c r="A7825" t="str">
        <f t="shared" si="144"/>
        <v/>
      </c>
    </row>
    <row r="7826" spans="1:1" x14ac:dyDescent="0.25">
      <c r="A7826" t="str">
        <f t="shared" si="144"/>
        <v/>
      </c>
    </row>
    <row r="7827" spans="1:1" x14ac:dyDescent="0.25">
      <c r="A7827" t="str">
        <f t="shared" si="144"/>
        <v/>
      </c>
    </row>
    <row r="7828" spans="1:1" x14ac:dyDescent="0.25">
      <c r="A7828" t="str">
        <f t="shared" si="144"/>
        <v/>
      </c>
    </row>
    <row r="7829" spans="1:1" x14ac:dyDescent="0.25">
      <c r="A7829" t="str">
        <f t="shared" si="144"/>
        <v/>
      </c>
    </row>
    <row r="7830" spans="1:1" x14ac:dyDescent="0.25">
      <c r="A7830" t="str">
        <f t="shared" si="144"/>
        <v/>
      </c>
    </row>
    <row r="7831" spans="1:1" x14ac:dyDescent="0.25">
      <c r="A7831" t="str">
        <f t="shared" si="144"/>
        <v/>
      </c>
    </row>
    <row r="7832" spans="1:1" x14ac:dyDescent="0.25">
      <c r="A7832" t="str">
        <f t="shared" si="144"/>
        <v/>
      </c>
    </row>
    <row r="7833" spans="1:1" x14ac:dyDescent="0.25">
      <c r="A7833" t="str">
        <f t="shared" si="144"/>
        <v/>
      </c>
    </row>
    <row r="7834" spans="1:1" x14ac:dyDescent="0.25">
      <c r="A7834" t="str">
        <f t="shared" si="144"/>
        <v/>
      </c>
    </row>
    <row r="7835" spans="1:1" x14ac:dyDescent="0.25">
      <c r="A7835" t="str">
        <f t="shared" si="144"/>
        <v/>
      </c>
    </row>
    <row r="7836" spans="1:1" x14ac:dyDescent="0.25">
      <c r="A7836" t="str">
        <f t="shared" si="144"/>
        <v/>
      </c>
    </row>
    <row r="7837" spans="1:1" x14ac:dyDescent="0.25">
      <c r="A7837" t="str">
        <f t="shared" si="144"/>
        <v/>
      </c>
    </row>
    <row r="7838" spans="1:1" x14ac:dyDescent="0.25">
      <c r="A7838" t="str">
        <f t="shared" si="144"/>
        <v/>
      </c>
    </row>
    <row r="7839" spans="1:1" x14ac:dyDescent="0.25">
      <c r="A7839" t="str">
        <f t="shared" si="144"/>
        <v/>
      </c>
    </row>
    <row r="7840" spans="1:1" x14ac:dyDescent="0.25">
      <c r="A7840" t="str">
        <f t="shared" si="144"/>
        <v/>
      </c>
    </row>
    <row r="7841" spans="1:1" x14ac:dyDescent="0.25">
      <c r="A7841" t="str">
        <f t="shared" si="144"/>
        <v/>
      </c>
    </row>
    <row r="7842" spans="1:1" x14ac:dyDescent="0.25">
      <c r="A7842" t="str">
        <f t="shared" si="144"/>
        <v/>
      </c>
    </row>
    <row r="7843" spans="1:1" x14ac:dyDescent="0.25">
      <c r="A7843" t="str">
        <f t="shared" si="144"/>
        <v/>
      </c>
    </row>
    <row r="7844" spans="1:1" x14ac:dyDescent="0.25">
      <c r="A7844" t="str">
        <f t="shared" si="144"/>
        <v/>
      </c>
    </row>
    <row r="7845" spans="1:1" x14ac:dyDescent="0.25">
      <c r="A7845" t="str">
        <f t="shared" si="144"/>
        <v/>
      </c>
    </row>
    <row r="7846" spans="1:1" x14ac:dyDescent="0.25">
      <c r="A7846" t="str">
        <f t="shared" si="144"/>
        <v/>
      </c>
    </row>
    <row r="7847" spans="1:1" x14ac:dyDescent="0.25">
      <c r="A7847" t="str">
        <f t="shared" si="144"/>
        <v/>
      </c>
    </row>
    <row r="7848" spans="1:1" x14ac:dyDescent="0.25">
      <c r="A7848" t="str">
        <f t="shared" si="144"/>
        <v/>
      </c>
    </row>
    <row r="7849" spans="1:1" x14ac:dyDescent="0.25">
      <c r="A7849" t="str">
        <f t="shared" si="144"/>
        <v/>
      </c>
    </row>
    <row r="7850" spans="1:1" x14ac:dyDescent="0.25">
      <c r="A7850" t="str">
        <f t="shared" si="144"/>
        <v/>
      </c>
    </row>
    <row r="7851" spans="1:1" x14ac:dyDescent="0.25">
      <c r="A7851" t="str">
        <f t="shared" si="144"/>
        <v/>
      </c>
    </row>
    <row r="7852" spans="1:1" x14ac:dyDescent="0.25">
      <c r="A7852" t="str">
        <f t="shared" si="144"/>
        <v/>
      </c>
    </row>
    <row r="7853" spans="1:1" x14ac:dyDescent="0.25">
      <c r="A7853" t="str">
        <f t="shared" si="144"/>
        <v/>
      </c>
    </row>
    <row r="7854" spans="1:1" x14ac:dyDescent="0.25">
      <c r="A7854" t="str">
        <f t="shared" si="144"/>
        <v/>
      </c>
    </row>
    <row r="7855" spans="1:1" x14ac:dyDescent="0.25">
      <c r="A7855" t="str">
        <f t="shared" si="144"/>
        <v/>
      </c>
    </row>
    <row r="7856" spans="1:1" x14ac:dyDescent="0.25">
      <c r="A7856" t="str">
        <f t="shared" si="144"/>
        <v/>
      </c>
    </row>
    <row r="7857" spans="1:1" x14ac:dyDescent="0.25">
      <c r="A7857" t="str">
        <f t="shared" si="144"/>
        <v/>
      </c>
    </row>
    <row r="7858" spans="1:1" x14ac:dyDescent="0.25">
      <c r="A7858" t="str">
        <f t="shared" si="144"/>
        <v/>
      </c>
    </row>
    <row r="7859" spans="1:1" x14ac:dyDescent="0.25">
      <c r="A7859" t="str">
        <f t="shared" si="144"/>
        <v/>
      </c>
    </row>
    <row r="7860" spans="1:1" x14ac:dyDescent="0.25">
      <c r="A7860" t="str">
        <f t="shared" si="144"/>
        <v/>
      </c>
    </row>
    <row r="7861" spans="1:1" x14ac:dyDescent="0.25">
      <c r="A7861" t="str">
        <f t="shared" si="144"/>
        <v/>
      </c>
    </row>
    <row r="7862" spans="1:1" x14ac:dyDescent="0.25">
      <c r="A7862" t="str">
        <f t="shared" si="144"/>
        <v/>
      </c>
    </row>
    <row r="7863" spans="1:1" x14ac:dyDescent="0.25">
      <c r="A7863" t="str">
        <f t="shared" si="144"/>
        <v/>
      </c>
    </row>
    <row r="7864" spans="1:1" x14ac:dyDescent="0.25">
      <c r="A7864" t="str">
        <f t="shared" si="144"/>
        <v/>
      </c>
    </row>
    <row r="7865" spans="1:1" x14ac:dyDescent="0.25">
      <c r="A7865" t="str">
        <f t="shared" si="144"/>
        <v/>
      </c>
    </row>
    <row r="7866" spans="1:1" x14ac:dyDescent="0.25">
      <c r="A7866" t="str">
        <f t="shared" si="144"/>
        <v/>
      </c>
    </row>
    <row r="7867" spans="1:1" x14ac:dyDescent="0.25">
      <c r="A7867" t="str">
        <f t="shared" si="144"/>
        <v/>
      </c>
    </row>
    <row r="7868" spans="1:1" x14ac:dyDescent="0.25">
      <c r="A7868" t="str">
        <f t="shared" si="144"/>
        <v/>
      </c>
    </row>
    <row r="7869" spans="1:1" x14ac:dyDescent="0.25">
      <c r="A7869" t="str">
        <f t="shared" si="144"/>
        <v/>
      </c>
    </row>
    <row r="7870" spans="1:1" x14ac:dyDescent="0.25">
      <c r="A7870" t="str">
        <f t="shared" si="144"/>
        <v/>
      </c>
    </row>
    <row r="7871" spans="1:1" x14ac:dyDescent="0.25">
      <c r="A7871" t="str">
        <f t="shared" si="144"/>
        <v/>
      </c>
    </row>
    <row r="7872" spans="1:1" x14ac:dyDescent="0.25">
      <c r="A7872" t="str">
        <f t="shared" si="144"/>
        <v/>
      </c>
    </row>
    <row r="7873" spans="1:1" x14ac:dyDescent="0.25">
      <c r="A7873" t="str">
        <f t="shared" ref="A7873:A7936" si="145">E7873&amp;C7873&amp;D7873</f>
        <v/>
      </c>
    </row>
    <row r="7874" spans="1:1" x14ac:dyDescent="0.25">
      <c r="A7874" t="str">
        <f t="shared" si="145"/>
        <v/>
      </c>
    </row>
    <row r="7875" spans="1:1" x14ac:dyDescent="0.25">
      <c r="A7875" t="str">
        <f t="shared" si="145"/>
        <v/>
      </c>
    </row>
    <row r="7876" spans="1:1" x14ac:dyDescent="0.25">
      <c r="A7876" t="str">
        <f t="shared" si="145"/>
        <v/>
      </c>
    </row>
    <row r="7877" spans="1:1" x14ac:dyDescent="0.25">
      <c r="A7877" t="str">
        <f t="shared" si="145"/>
        <v/>
      </c>
    </row>
    <row r="7878" spans="1:1" x14ac:dyDescent="0.25">
      <c r="A7878" t="str">
        <f t="shared" si="145"/>
        <v/>
      </c>
    </row>
    <row r="7879" spans="1:1" x14ac:dyDescent="0.25">
      <c r="A7879" t="str">
        <f t="shared" si="145"/>
        <v/>
      </c>
    </row>
    <row r="7880" spans="1:1" x14ac:dyDescent="0.25">
      <c r="A7880" t="str">
        <f t="shared" si="145"/>
        <v/>
      </c>
    </row>
    <row r="7881" spans="1:1" x14ac:dyDescent="0.25">
      <c r="A7881" t="str">
        <f t="shared" si="145"/>
        <v/>
      </c>
    </row>
    <row r="7882" spans="1:1" x14ac:dyDescent="0.25">
      <c r="A7882" t="str">
        <f t="shared" si="145"/>
        <v/>
      </c>
    </row>
    <row r="7883" spans="1:1" x14ac:dyDescent="0.25">
      <c r="A7883" t="str">
        <f t="shared" si="145"/>
        <v/>
      </c>
    </row>
    <row r="7884" spans="1:1" x14ac:dyDescent="0.25">
      <c r="A7884" t="str">
        <f t="shared" si="145"/>
        <v/>
      </c>
    </row>
    <row r="7885" spans="1:1" x14ac:dyDescent="0.25">
      <c r="A7885" t="str">
        <f t="shared" si="145"/>
        <v/>
      </c>
    </row>
    <row r="7886" spans="1:1" x14ac:dyDescent="0.25">
      <c r="A7886" t="str">
        <f t="shared" si="145"/>
        <v/>
      </c>
    </row>
    <row r="7887" spans="1:1" x14ac:dyDescent="0.25">
      <c r="A7887" t="str">
        <f t="shared" si="145"/>
        <v/>
      </c>
    </row>
    <row r="7888" spans="1:1" x14ac:dyDescent="0.25">
      <c r="A7888" t="str">
        <f t="shared" si="145"/>
        <v/>
      </c>
    </row>
    <row r="7889" spans="1:1" x14ac:dyDescent="0.25">
      <c r="A7889" t="str">
        <f t="shared" si="145"/>
        <v/>
      </c>
    </row>
    <row r="7890" spans="1:1" x14ac:dyDescent="0.25">
      <c r="A7890" t="str">
        <f t="shared" si="145"/>
        <v/>
      </c>
    </row>
    <row r="7891" spans="1:1" x14ac:dyDescent="0.25">
      <c r="A7891" t="str">
        <f t="shared" si="145"/>
        <v/>
      </c>
    </row>
    <row r="7892" spans="1:1" x14ac:dyDescent="0.25">
      <c r="A7892" t="str">
        <f t="shared" si="145"/>
        <v/>
      </c>
    </row>
    <row r="7893" spans="1:1" x14ac:dyDescent="0.25">
      <c r="A7893" t="str">
        <f t="shared" si="145"/>
        <v/>
      </c>
    </row>
    <row r="7894" spans="1:1" x14ac:dyDescent="0.25">
      <c r="A7894" t="str">
        <f t="shared" si="145"/>
        <v/>
      </c>
    </row>
    <row r="7895" spans="1:1" x14ac:dyDescent="0.25">
      <c r="A7895" t="str">
        <f t="shared" si="145"/>
        <v/>
      </c>
    </row>
    <row r="7896" spans="1:1" x14ac:dyDescent="0.25">
      <c r="A7896" t="str">
        <f t="shared" si="145"/>
        <v/>
      </c>
    </row>
    <row r="7897" spans="1:1" x14ac:dyDescent="0.25">
      <c r="A7897" t="str">
        <f t="shared" si="145"/>
        <v/>
      </c>
    </row>
    <row r="7898" spans="1:1" x14ac:dyDescent="0.25">
      <c r="A7898" t="str">
        <f t="shared" si="145"/>
        <v/>
      </c>
    </row>
    <row r="7899" spans="1:1" x14ac:dyDescent="0.25">
      <c r="A7899" t="str">
        <f t="shared" si="145"/>
        <v/>
      </c>
    </row>
    <row r="7900" spans="1:1" x14ac:dyDescent="0.25">
      <c r="A7900" t="str">
        <f t="shared" si="145"/>
        <v/>
      </c>
    </row>
    <row r="7901" spans="1:1" x14ac:dyDescent="0.25">
      <c r="A7901" t="str">
        <f t="shared" si="145"/>
        <v/>
      </c>
    </row>
    <row r="7902" spans="1:1" x14ac:dyDescent="0.25">
      <c r="A7902" t="str">
        <f t="shared" si="145"/>
        <v/>
      </c>
    </row>
    <row r="7903" spans="1:1" x14ac:dyDescent="0.25">
      <c r="A7903" t="str">
        <f t="shared" si="145"/>
        <v/>
      </c>
    </row>
    <row r="7904" spans="1:1" x14ac:dyDescent="0.25">
      <c r="A7904" t="str">
        <f t="shared" si="145"/>
        <v/>
      </c>
    </row>
    <row r="7905" spans="1:1" x14ac:dyDescent="0.25">
      <c r="A7905" t="str">
        <f t="shared" si="145"/>
        <v/>
      </c>
    </row>
    <row r="7906" spans="1:1" x14ac:dyDescent="0.25">
      <c r="A7906" t="str">
        <f t="shared" si="145"/>
        <v/>
      </c>
    </row>
    <row r="7907" spans="1:1" x14ac:dyDescent="0.25">
      <c r="A7907" t="str">
        <f t="shared" si="145"/>
        <v/>
      </c>
    </row>
    <row r="7908" spans="1:1" x14ac:dyDescent="0.25">
      <c r="A7908" t="str">
        <f t="shared" si="145"/>
        <v/>
      </c>
    </row>
    <row r="7909" spans="1:1" x14ac:dyDescent="0.25">
      <c r="A7909" t="str">
        <f t="shared" si="145"/>
        <v/>
      </c>
    </row>
    <row r="7910" spans="1:1" x14ac:dyDescent="0.25">
      <c r="A7910" t="str">
        <f t="shared" si="145"/>
        <v/>
      </c>
    </row>
    <row r="7911" spans="1:1" x14ac:dyDescent="0.25">
      <c r="A7911" t="str">
        <f t="shared" si="145"/>
        <v/>
      </c>
    </row>
    <row r="7912" spans="1:1" x14ac:dyDescent="0.25">
      <c r="A7912" t="str">
        <f t="shared" si="145"/>
        <v/>
      </c>
    </row>
    <row r="7913" spans="1:1" x14ac:dyDescent="0.25">
      <c r="A7913" t="str">
        <f t="shared" si="145"/>
        <v/>
      </c>
    </row>
    <row r="7914" spans="1:1" x14ac:dyDescent="0.25">
      <c r="A7914" t="str">
        <f t="shared" si="145"/>
        <v/>
      </c>
    </row>
    <row r="7915" spans="1:1" x14ac:dyDescent="0.25">
      <c r="A7915" t="str">
        <f t="shared" si="145"/>
        <v/>
      </c>
    </row>
    <row r="7916" spans="1:1" x14ac:dyDescent="0.25">
      <c r="A7916" t="str">
        <f t="shared" si="145"/>
        <v/>
      </c>
    </row>
    <row r="7917" spans="1:1" x14ac:dyDescent="0.25">
      <c r="A7917" t="str">
        <f t="shared" si="145"/>
        <v/>
      </c>
    </row>
    <row r="7918" spans="1:1" x14ac:dyDescent="0.25">
      <c r="A7918" t="str">
        <f t="shared" si="145"/>
        <v/>
      </c>
    </row>
    <row r="7919" spans="1:1" x14ac:dyDescent="0.25">
      <c r="A7919" t="str">
        <f t="shared" si="145"/>
        <v/>
      </c>
    </row>
    <row r="7920" spans="1:1" x14ac:dyDescent="0.25">
      <c r="A7920" t="str">
        <f t="shared" si="145"/>
        <v/>
      </c>
    </row>
    <row r="7921" spans="1:1" x14ac:dyDescent="0.25">
      <c r="A7921" t="str">
        <f t="shared" si="145"/>
        <v/>
      </c>
    </row>
    <row r="7922" spans="1:1" x14ac:dyDescent="0.25">
      <c r="A7922" t="str">
        <f t="shared" si="145"/>
        <v/>
      </c>
    </row>
    <row r="7923" spans="1:1" x14ac:dyDescent="0.25">
      <c r="A7923" t="str">
        <f t="shared" si="145"/>
        <v/>
      </c>
    </row>
    <row r="7924" spans="1:1" x14ac:dyDescent="0.25">
      <c r="A7924" t="str">
        <f t="shared" si="145"/>
        <v/>
      </c>
    </row>
    <row r="7925" spans="1:1" x14ac:dyDescent="0.25">
      <c r="A7925" t="str">
        <f t="shared" si="145"/>
        <v/>
      </c>
    </row>
    <row r="7926" spans="1:1" x14ac:dyDescent="0.25">
      <c r="A7926" t="str">
        <f t="shared" si="145"/>
        <v/>
      </c>
    </row>
    <row r="7927" spans="1:1" x14ac:dyDescent="0.25">
      <c r="A7927" t="str">
        <f t="shared" si="145"/>
        <v/>
      </c>
    </row>
    <row r="7928" spans="1:1" x14ac:dyDescent="0.25">
      <c r="A7928" t="str">
        <f t="shared" si="145"/>
        <v/>
      </c>
    </row>
    <row r="7929" spans="1:1" x14ac:dyDescent="0.25">
      <c r="A7929" t="str">
        <f t="shared" si="145"/>
        <v/>
      </c>
    </row>
    <row r="7930" spans="1:1" x14ac:dyDescent="0.25">
      <c r="A7930" t="str">
        <f t="shared" si="145"/>
        <v/>
      </c>
    </row>
    <row r="7931" spans="1:1" x14ac:dyDescent="0.25">
      <c r="A7931" t="str">
        <f t="shared" si="145"/>
        <v/>
      </c>
    </row>
    <row r="7932" spans="1:1" x14ac:dyDescent="0.25">
      <c r="A7932" t="str">
        <f t="shared" si="145"/>
        <v/>
      </c>
    </row>
    <row r="7933" spans="1:1" x14ac:dyDescent="0.25">
      <c r="A7933" t="str">
        <f t="shared" si="145"/>
        <v/>
      </c>
    </row>
    <row r="7934" spans="1:1" x14ac:dyDescent="0.25">
      <c r="A7934" t="str">
        <f t="shared" si="145"/>
        <v/>
      </c>
    </row>
    <row r="7935" spans="1:1" x14ac:dyDescent="0.25">
      <c r="A7935" t="str">
        <f t="shared" si="145"/>
        <v/>
      </c>
    </row>
    <row r="7936" spans="1:1" x14ac:dyDescent="0.25">
      <c r="A7936" t="str">
        <f t="shared" si="145"/>
        <v/>
      </c>
    </row>
    <row r="7937" spans="1:1" x14ac:dyDescent="0.25">
      <c r="A7937" t="str">
        <f t="shared" ref="A7937:A8000" si="146">E7937&amp;C7937&amp;D7937</f>
        <v/>
      </c>
    </row>
    <row r="7938" spans="1:1" x14ac:dyDescent="0.25">
      <c r="A7938" t="str">
        <f t="shared" si="146"/>
        <v/>
      </c>
    </row>
    <row r="7939" spans="1:1" x14ac:dyDescent="0.25">
      <c r="A7939" t="str">
        <f t="shared" si="146"/>
        <v/>
      </c>
    </row>
    <row r="7940" spans="1:1" x14ac:dyDescent="0.25">
      <c r="A7940" t="str">
        <f t="shared" si="146"/>
        <v/>
      </c>
    </row>
    <row r="7941" spans="1:1" x14ac:dyDescent="0.25">
      <c r="A7941" t="str">
        <f t="shared" si="146"/>
        <v/>
      </c>
    </row>
    <row r="7942" spans="1:1" x14ac:dyDescent="0.25">
      <c r="A7942" t="str">
        <f t="shared" si="146"/>
        <v/>
      </c>
    </row>
    <row r="7943" spans="1:1" x14ac:dyDescent="0.25">
      <c r="A7943" t="str">
        <f t="shared" si="146"/>
        <v/>
      </c>
    </row>
    <row r="7944" spans="1:1" x14ac:dyDescent="0.25">
      <c r="A7944" t="str">
        <f t="shared" si="146"/>
        <v/>
      </c>
    </row>
    <row r="7945" spans="1:1" x14ac:dyDescent="0.25">
      <c r="A7945" t="str">
        <f t="shared" si="146"/>
        <v/>
      </c>
    </row>
    <row r="7946" spans="1:1" x14ac:dyDescent="0.25">
      <c r="A7946" t="str">
        <f t="shared" si="146"/>
        <v/>
      </c>
    </row>
    <row r="7947" spans="1:1" x14ac:dyDescent="0.25">
      <c r="A7947" t="str">
        <f t="shared" si="146"/>
        <v/>
      </c>
    </row>
    <row r="7948" spans="1:1" x14ac:dyDescent="0.25">
      <c r="A7948" t="str">
        <f t="shared" si="146"/>
        <v/>
      </c>
    </row>
    <row r="7949" spans="1:1" x14ac:dyDescent="0.25">
      <c r="A7949" t="str">
        <f t="shared" si="146"/>
        <v/>
      </c>
    </row>
    <row r="7950" spans="1:1" x14ac:dyDescent="0.25">
      <c r="A7950" t="str">
        <f t="shared" si="146"/>
        <v/>
      </c>
    </row>
    <row r="7951" spans="1:1" x14ac:dyDescent="0.25">
      <c r="A7951" t="str">
        <f t="shared" si="146"/>
        <v/>
      </c>
    </row>
    <row r="7952" spans="1:1" x14ac:dyDescent="0.25">
      <c r="A7952" t="str">
        <f t="shared" si="146"/>
        <v/>
      </c>
    </row>
    <row r="7953" spans="1:1" x14ac:dyDescent="0.25">
      <c r="A7953" t="str">
        <f t="shared" si="146"/>
        <v/>
      </c>
    </row>
    <row r="7954" spans="1:1" x14ac:dyDescent="0.25">
      <c r="A7954" t="str">
        <f t="shared" si="146"/>
        <v/>
      </c>
    </row>
    <row r="7955" spans="1:1" x14ac:dyDescent="0.25">
      <c r="A7955" t="str">
        <f t="shared" si="146"/>
        <v/>
      </c>
    </row>
    <row r="7956" spans="1:1" x14ac:dyDescent="0.25">
      <c r="A7956" t="str">
        <f t="shared" si="146"/>
        <v/>
      </c>
    </row>
    <row r="7957" spans="1:1" x14ac:dyDescent="0.25">
      <c r="A7957" t="str">
        <f t="shared" si="146"/>
        <v/>
      </c>
    </row>
    <row r="7958" spans="1:1" x14ac:dyDescent="0.25">
      <c r="A7958" t="str">
        <f t="shared" si="146"/>
        <v/>
      </c>
    </row>
    <row r="7959" spans="1:1" x14ac:dyDescent="0.25">
      <c r="A7959" t="str">
        <f t="shared" si="146"/>
        <v/>
      </c>
    </row>
    <row r="7960" spans="1:1" x14ac:dyDescent="0.25">
      <c r="A7960" t="str">
        <f t="shared" si="146"/>
        <v/>
      </c>
    </row>
    <row r="7961" spans="1:1" x14ac:dyDescent="0.25">
      <c r="A7961" t="str">
        <f t="shared" si="146"/>
        <v/>
      </c>
    </row>
    <row r="7962" spans="1:1" x14ac:dyDescent="0.25">
      <c r="A7962" t="str">
        <f t="shared" si="146"/>
        <v/>
      </c>
    </row>
    <row r="7963" spans="1:1" x14ac:dyDescent="0.25">
      <c r="A7963" t="str">
        <f t="shared" si="146"/>
        <v/>
      </c>
    </row>
    <row r="7964" spans="1:1" x14ac:dyDescent="0.25">
      <c r="A7964" t="str">
        <f t="shared" si="146"/>
        <v/>
      </c>
    </row>
    <row r="7965" spans="1:1" x14ac:dyDescent="0.25">
      <c r="A7965" t="str">
        <f t="shared" si="146"/>
        <v/>
      </c>
    </row>
    <row r="7966" spans="1:1" x14ac:dyDescent="0.25">
      <c r="A7966" t="str">
        <f t="shared" si="146"/>
        <v/>
      </c>
    </row>
    <row r="7967" spans="1:1" x14ac:dyDescent="0.25">
      <c r="A7967" t="str">
        <f t="shared" si="146"/>
        <v/>
      </c>
    </row>
    <row r="7968" spans="1:1" x14ac:dyDescent="0.25">
      <c r="A7968" t="str">
        <f t="shared" si="146"/>
        <v/>
      </c>
    </row>
    <row r="7969" spans="1:1" x14ac:dyDescent="0.25">
      <c r="A7969" t="str">
        <f t="shared" si="146"/>
        <v/>
      </c>
    </row>
    <row r="7970" spans="1:1" x14ac:dyDescent="0.25">
      <c r="A7970" t="str">
        <f t="shared" si="146"/>
        <v/>
      </c>
    </row>
    <row r="7971" spans="1:1" x14ac:dyDescent="0.25">
      <c r="A7971" t="str">
        <f t="shared" si="146"/>
        <v/>
      </c>
    </row>
    <row r="7972" spans="1:1" x14ac:dyDescent="0.25">
      <c r="A7972" t="str">
        <f t="shared" si="146"/>
        <v/>
      </c>
    </row>
    <row r="7973" spans="1:1" x14ac:dyDescent="0.25">
      <c r="A7973" t="str">
        <f t="shared" si="146"/>
        <v/>
      </c>
    </row>
    <row r="7974" spans="1:1" x14ac:dyDescent="0.25">
      <c r="A7974" t="str">
        <f t="shared" si="146"/>
        <v/>
      </c>
    </row>
    <row r="7975" spans="1:1" x14ac:dyDescent="0.25">
      <c r="A7975" t="str">
        <f t="shared" si="146"/>
        <v/>
      </c>
    </row>
    <row r="7976" spans="1:1" x14ac:dyDescent="0.25">
      <c r="A7976" t="str">
        <f t="shared" si="146"/>
        <v/>
      </c>
    </row>
    <row r="7977" spans="1:1" x14ac:dyDescent="0.25">
      <c r="A7977" t="str">
        <f t="shared" si="146"/>
        <v/>
      </c>
    </row>
    <row r="7978" spans="1:1" x14ac:dyDescent="0.25">
      <c r="A7978" t="str">
        <f t="shared" si="146"/>
        <v/>
      </c>
    </row>
    <row r="7979" spans="1:1" x14ac:dyDescent="0.25">
      <c r="A7979" t="str">
        <f t="shared" si="146"/>
        <v/>
      </c>
    </row>
    <row r="7980" spans="1:1" x14ac:dyDescent="0.25">
      <c r="A7980" t="str">
        <f t="shared" si="146"/>
        <v/>
      </c>
    </row>
    <row r="7981" spans="1:1" x14ac:dyDescent="0.25">
      <c r="A7981" t="str">
        <f t="shared" si="146"/>
        <v/>
      </c>
    </row>
    <row r="7982" spans="1:1" x14ac:dyDescent="0.25">
      <c r="A7982" t="str">
        <f t="shared" si="146"/>
        <v/>
      </c>
    </row>
    <row r="7983" spans="1:1" x14ac:dyDescent="0.25">
      <c r="A7983" t="str">
        <f t="shared" si="146"/>
        <v/>
      </c>
    </row>
    <row r="7984" spans="1:1" x14ac:dyDescent="0.25">
      <c r="A7984" t="str">
        <f t="shared" si="146"/>
        <v/>
      </c>
    </row>
    <row r="7985" spans="1:1" x14ac:dyDescent="0.25">
      <c r="A7985" t="str">
        <f t="shared" si="146"/>
        <v/>
      </c>
    </row>
    <row r="7986" spans="1:1" x14ac:dyDescent="0.25">
      <c r="A7986" t="str">
        <f t="shared" si="146"/>
        <v/>
      </c>
    </row>
    <row r="7987" spans="1:1" x14ac:dyDescent="0.25">
      <c r="A7987" t="str">
        <f t="shared" si="146"/>
        <v/>
      </c>
    </row>
    <row r="7988" spans="1:1" x14ac:dyDescent="0.25">
      <c r="A7988" t="str">
        <f t="shared" si="146"/>
        <v/>
      </c>
    </row>
    <row r="7989" spans="1:1" x14ac:dyDescent="0.25">
      <c r="A7989" t="str">
        <f t="shared" si="146"/>
        <v/>
      </c>
    </row>
    <row r="7990" spans="1:1" x14ac:dyDescent="0.25">
      <c r="A7990" t="str">
        <f t="shared" si="146"/>
        <v/>
      </c>
    </row>
    <row r="7991" spans="1:1" x14ac:dyDescent="0.25">
      <c r="A7991" t="str">
        <f t="shared" si="146"/>
        <v/>
      </c>
    </row>
    <row r="7992" spans="1:1" x14ac:dyDescent="0.25">
      <c r="A7992" t="str">
        <f t="shared" si="146"/>
        <v/>
      </c>
    </row>
    <row r="7993" spans="1:1" x14ac:dyDescent="0.25">
      <c r="A7993" t="str">
        <f t="shared" si="146"/>
        <v/>
      </c>
    </row>
    <row r="7994" spans="1:1" x14ac:dyDescent="0.25">
      <c r="A7994" t="str">
        <f t="shared" si="146"/>
        <v/>
      </c>
    </row>
    <row r="7995" spans="1:1" x14ac:dyDescent="0.25">
      <c r="A7995" t="str">
        <f t="shared" si="146"/>
        <v/>
      </c>
    </row>
    <row r="7996" spans="1:1" x14ac:dyDescent="0.25">
      <c r="A7996" t="str">
        <f t="shared" si="146"/>
        <v/>
      </c>
    </row>
    <row r="7997" spans="1:1" x14ac:dyDescent="0.25">
      <c r="A7997" t="str">
        <f t="shared" si="146"/>
        <v/>
      </c>
    </row>
    <row r="7998" spans="1:1" x14ac:dyDescent="0.25">
      <c r="A7998" t="str">
        <f t="shared" si="146"/>
        <v/>
      </c>
    </row>
    <row r="7999" spans="1:1" x14ac:dyDescent="0.25">
      <c r="A7999" t="str">
        <f t="shared" si="146"/>
        <v/>
      </c>
    </row>
    <row r="8000" spans="1:1" x14ac:dyDescent="0.25">
      <c r="A8000" t="str">
        <f t="shared" si="146"/>
        <v/>
      </c>
    </row>
    <row r="8001" spans="1:1" x14ac:dyDescent="0.25">
      <c r="A8001" t="str">
        <f t="shared" ref="A8001:A8064" si="147">E8001&amp;C8001&amp;D8001</f>
        <v/>
      </c>
    </row>
    <row r="8002" spans="1:1" x14ac:dyDescent="0.25">
      <c r="A8002" t="str">
        <f t="shared" si="147"/>
        <v/>
      </c>
    </row>
    <row r="8003" spans="1:1" x14ac:dyDescent="0.25">
      <c r="A8003" t="str">
        <f t="shared" si="147"/>
        <v/>
      </c>
    </row>
    <row r="8004" spans="1:1" x14ac:dyDescent="0.25">
      <c r="A8004" t="str">
        <f t="shared" si="147"/>
        <v/>
      </c>
    </row>
    <row r="8005" spans="1:1" x14ac:dyDescent="0.25">
      <c r="A8005" t="str">
        <f t="shared" si="147"/>
        <v/>
      </c>
    </row>
    <row r="8006" spans="1:1" x14ac:dyDescent="0.25">
      <c r="A8006" t="str">
        <f t="shared" si="147"/>
        <v/>
      </c>
    </row>
    <row r="8007" spans="1:1" x14ac:dyDescent="0.25">
      <c r="A8007" t="str">
        <f t="shared" si="147"/>
        <v/>
      </c>
    </row>
    <row r="8008" spans="1:1" x14ac:dyDescent="0.25">
      <c r="A8008" t="str">
        <f t="shared" si="147"/>
        <v/>
      </c>
    </row>
    <row r="8009" spans="1:1" x14ac:dyDescent="0.25">
      <c r="A8009" t="str">
        <f t="shared" si="147"/>
        <v/>
      </c>
    </row>
    <row r="8010" spans="1:1" x14ac:dyDescent="0.25">
      <c r="A8010" t="str">
        <f t="shared" si="147"/>
        <v/>
      </c>
    </row>
    <row r="8011" spans="1:1" x14ac:dyDescent="0.25">
      <c r="A8011" t="str">
        <f t="shared" si="147"/>
        <v/>
      </c>
    </row>
    <row r="8012" spans="1:1" x14ac:dyDescent="0.25">
      <c r="A8012" t="str">
        <f t="shared" si="147"/>
        <v/>
      </c>
    </row>
    <row r="8013" spans="1:1" x14ac:dyDescent="0.25">
      <c r="A8013" t="str">
        <f t="shared" si="147"/>
        <v/>
      </c>
    </row>
    <row r="8014" spans="1:1" x14ac:dyDescent="0.25">
      <c r="A8014" t="str">
        <f t="shared" si="147"/>
        <v/>
      </c>
    </row>
    <row r="8015" spans="1:1" x14ac:dyDescent="0.25">
      <c r="A8015" t="str">
        <f t="shared" si="147"/>
        <v/>
      </c>
    </row>
    <row r="8016" spans="1:1" x14ac:dyDescent="0.25">
      <c r="A8016" t="str">
        <f t="shared" si="147"/>
        <v/>
      </c>
    </row>
    <row r="8017" spans="1:1" x14ac:dyDescent="0.25">
      <c r="A8017" t="str">
        <f t="shared" si="147"/>
        <v/>
      </c>
    </row>
    <row r="8018" spans="1:1" x14ac:dyDescent="0.25">
      <c r="A8018" t="str">
        <f t="shared" si="147"/>
        <v/>
      </c>
    </row>
    <row r="8019" spans="1:1" x14ac:dyDescent="0.25">
      <c r="A8019" t="str">
        <f t="shared" si="147"/>
        <v/>
      </c>
    </row>
    <row r="8020" spans="1:1" x14ac:dyDescent="0.25">
      <c r="A8020" t="str">
        <f t="shared" si="147"/>
        <v/>
      </c>
    </row>
    <row r="8021" spans="1:1" x14ac:dyDescent="0.25">
      <c r="A8021" t="str">
        <f t="shared" si="147"/>
        <v/>
      </c>
    </row>
    <row r="8022" spans="1:1" x14ac:dyDescent="0.25">
      <c r="A8022" t="str">
        <f t="shared" si="147"/>
        <v/>
      </c>
    </row>
    <row r="8023" spans="1:1" x14ac:dyDescent="0.25">
      <c r="A8023" t="str">
        <f t="shared" si="147"/>
        <v/>
      </c>
    </row>
    <row r="8024" spans="1:1" x14ac:dyDescent="0.25">
      <c r="A8024" t="str">
        <f t="shared" si="147"/>
        <v/>
      </c>
    </row>
    <row r="8025" spans="1:1" x14ac:dyDescent="0.25">
      <c r="A8025" t="str">
        <f t="shared" si="147"/>
        <v/>
      </c>
    </row>
    <row r="8026" spans="1:1" x14ac:dyDescent="0.25">
      <c r="A8026" t="str">
        <f t="shared" si="147"/>
        <v/>
      </c>
    </row>
    <row r="8027" spans="1:1" x14ac:dyDescent="0.25">
      <c r="A8027" t="str">
        <f t="shared" si="147"/>
        <v/>
      </c>
    </row>
    <row r="8028" spans="1:1" x14ac:dyDescent="0.25">
      <c r="A8028" t="str">
        <f t="shared" si="147"/>
        <v/>
      </c>
    </row>
    <row r="8029" spans="1:1" x14ac:dyDescent="0.25">
      <c r="A8029" t="str">
        <f t="shared" si="147"/>
        <v/>
      </c>
    </row>
    <row r="8030" spans="1:1" x14ac:dyDescent="0.25">
      <c r="A8030" t="str">
        <f t="shared" si="147"/>
        <v/>
      </c>
    </row>
    <row r="8031" spans="1:1" x14ac:dyDescent="0.25">
      <c r="A8031" t="str">
        <f t="shared" si="147"/>
        <v/>
      </c>
    </row>
    <row r="8032" spans="1:1" x14ac:dyDescent="0.25">
      <c r="A8032" t="str">
        <f t="shared" si="147"/>
        <v/>
      </c>
    </row>
    <row r="8033" spans="1:1" x14ac:dyDescent="0.25">
      <c r="A8033" t="str">
        <f t="shared" si="147"/>
        <v/>
      </c>
    </row>
    <row r="8034" spans="1:1" x14ac:dyDescent="0.25">
      <c r="A8034" t="str">
        <f t="shared" si="147"/>
        <v/>
      </c>
    </row>
    <row r="8035" spans="1:1" x14ac:dyDescent="0.25">
      <c r="A8035" t="str">
        <f t="shared" si="147"/>
        <v/>
      </c>
    </row>
    <row r="8036" spans="1:1" x14ac:dyDescent="0.25">
      <c r="A8036" t="str">
        <f t="shared" si="147"/>
        <v/>
      </c>
    </row>
    <row r="8037" spans="1:1" x14ac:dyDescent="0.25">
      <c r="A8037" t="str">
        <f t="shared" si="147"/>
        <v/>
      </c>
    </row>
    <row r="8038" spans="1:1" x14ac:dyDescent="0.25">
      <c r="A8038" t="str">
        <f t="shared" si="147"/>
        <v/>
      </c>
    </row>
    <row r="8039" spans="1:1" x14ac:dyDescent="0.25">
      <c r="A8039" t="str">
        <f t="shared" si="147"/>
        <v/>
      </c>
    </row>
    <row r="8040" spans="1:1" x14ac:dyDescent="0.25">
      <c r="A8040" t="str">
        <f t="shared" si="147"/>
        <v/>
      </c>
    </row>
    <row r="8041" spans="1:1" x14ac:dyDescent="0.25">
      <c r="A8041" t="str">
        <f t="shared" si="147"/>
        <v/>
      </c>
    </row>
    <row r="8042" spans="1:1" x14ac:dyDescent="0.25">
      <c r="A8042" t="str">
        <f t="shared" si="147"/>
        <v/>
      </c>
    </row>
    <row r="8043" spans="1:1" x14ac:dyDescent="0.25">
      <c r="A8043" t="str">
        <f t="shared" si="147"/>
        <v/>
      </c>
    </row>
    <row r="8044" spans="1:1" x14ac:dyDescent="0.25">
      <c r="A8044" t="str">
        <f t="shared" si="147"/>
        <v/>
      </c>
    </row>
    <row r="8045" spans="1:1" x14ac:dyDescent="0.25">
      <c r="A8045" t="str">
        <f t="shared" si="147"/>
        <v/>
      </c>
    </row>
    <row r="8046" spans="1:1" x14ac:dyDescent="0.25">
      <c r="A8046" t="str">
        <f t="shared" si="147"/>
        <v/>
      </c>
    </row>
    <row r="8047" spans="1:1" x14ac:dyDescent="0.25">
      <c r="A8047" t="str">
        <f t="shared" si="147"/>
        <v/>
      </c>
    </row>
    <row r="8048" spans="1:1" x14ac:dyDescent="0.25">
      <c r="A8048" t="str">
        <f t="shared" si="147"/>
        <v/>
      </c>
    </row>
    <row r="8049" spans="1:1" x14ac:dyDescent="0.25">
      <c r="A8049" t="str">
        <f t="shared" si="147"/>
        <v/>
      </c>
    </row>
    <row r="8050" spans="1:1" x14ac:dyDescent="0.25">
      <c r="A8050" t="str">
        <f t="shared" si="147"/>
        <v/>
      </c>
    </row>
    <row r="8051" spans="1:1" x14ac:dyDescent="0.25">
      <c r="A8051" t="str">
        <f t="shared" si="147"/>
        <v/>
      </c>
    </row>
    <row r="8052" spans="1:1" x14ac:dyDescent="0.25">
      <c r="A8052" t="str">
        <f t="shared" si="147"/>
        <v/>
      </c>
    </row>
    <row r="8053" spans="1:1" x14ac:dyDescent="0.25">
      <c r="A8053" t="str">
        <f t="shared" si="147"/>
        <v/>
      </c>
    </row>
    <row r="8054" spans="1:1" x14ac:dyDescent="0.25">
      <c r="A8054" t="str">
        <f t="shared" si="147"/>
        <v/>
      </c>
    </row>
    <row r="8055" spans="1:1" x14ac:dyDescent="0.25">
      <c r="A8055" t="str">
        <f t="shared" si="147"/>
        <v/>
      </c>
    </row>
    <row r="8056" spans="1:1" x14ac:dyDescent="0.25">
      <c r="A8056" t="str">
        <f t="shared" si="147"/>
        <v/>
      </c>
    </row>
    <row r="8057" spans="1:1" x14ac:dyDescent="0.25">
      <c r="A8057" t="str">
        <f t="shared" si="147"/>
        <v/>
      </c>
    </row>
    <row r="8058" spans="1:1" x14ac:dyDescent="0.25">
      <c r="A8058" t="str">
        <f t="shared" si="147"/>
        <v/>
      </c>
    </row>
    <row r="8059" spans="1:1" x14ac:dyDescent="0.25">
      <c r="A8059" t="str">
        <f t="shared" si="147"/>
        <v/>
      </c>
    </row>
    <row r="8060" spans="1:1" x14ac:dyDescent="0.25">
      <c r="A8060" t="str">
        <f t="shared" si="147"/>
        <v/>
      </c>
    </row>
    <row r="8061" spans="1:1" x14ac:dyDescent="0.25">
      <c r="A8061" t="str">
        <f t="shared" si="147"/>
        <v/>
      </c>
    </row>
    <row r="8062" spans="1:1" x14ac:dyDescent="0.25">
      <c r="A8062" t="str">
        <f t="shared" si="147"/>
        <v/>
      </c>
    </row>
    <row r="8063" spans="1:1" x14ac:dyDescent="0.25">
      <c r="A8063" t="str">
        <f t="shared" si="147"/>
        <v/>
      </c>
    </row>
    <row r="8064" spans="1:1" x14ac:dyDescent="0.25">
      <c r="A8064" t="str">
        <f t="shared" si="147"/>
        <v/>
      </c>
    </row>
    <row r="8065" spans="1:1" x14ac:dyDescent="0.25">
      <c r="A8065" t="str">
        <f t="shared" ref="A8065:A8128" si="148">E8065&amp;C8065&amp;D8065</f>
        <v/>
      </c>
    </row>
    <row r="8066" spans="1:1" x14ac:dyDescent="0.25">
      <c r="A8066" t="str">
        <f t="shared" si="148"/>
        <v/>
      </c>
    </row>
    <row r="8067" spans="1:1" x14ac:dyDescent="0.25">
      <c r="A8067" t="str">
        <f t="shared" si="148"/>
        <v/>
      </c>
    </row>
    <row r="8068" spans="1:1" x14ac:dyDescent="0.25">
      <c r="A8068" t="str">
        <f t="shared" si="148"/>
        <v/>
      </c>
    </row>
    <row r="8069" spans="1:1" x14ac:dyDescent="0.25">
      <c r="A8069" t="str">
        <f t="shared" si="148"/>
        <v/>
      </c>
    </row>
    <row r="8070" spans="1:1" x14ac:dyDescent="0.25">
      <c r="A8070" t="str">
        <f t="shared" si="148"/>
        <v/>
      </c>
    </row>
    <row r="8071" spans="1:1" x14ac:dyDescent="0.25">
      <c r="A8071" t="str">
        <f t="shared" si="148"/>
        <v/>
      </c>
    </row>
    <row r="8072" spans="1:1" x14ac:dyDescent="0.25">
      <c r="A8072" t="str">
        <f t="shared" si="148"/>
        <v/>
      </c>
    </row>
    <row r="8073" spans="1:1" x14ac:dyDescent="0.25">
      <c r="A8073" t="str">
        <f t="shared" si="148"/>
        <v/>
      </c>
    </row>
    <row r="8074" spans="1:1" x14ac:dyDescent="0.25">
      <c r="A8074" t="str">
        <f t="shared" si="148"/>
        <v/>
      </c>
    </row>
    <row r="8075" spans="1:1" x14ac:dyDescent="0.25">
      <c r="A8075" t="str">
        <f t="shared" si="148"/>
        <v/>
      </c>
    </row>
    <row r="8076" spans="1:1" x14ac:dyDescent="0.25">
      <c r="A8076" t="str">
        <f t="shared" si="148"/>
        <v/>
      </c>
    </row>
    <row r="8077" spans="1:1" x14ac:dyDescent="0.25">
      <c r="A8077" t="str">
        <f t="shared" si="148"/>
        <v/>
      </c>
    </row>
    <row r="8078" spans="1:1" x14ac:dyDescent="0.25">
      <c r="A8078" t="str">
        <f t="shared" si="148"/>
        <v/>
      </c>
    </row>
    <row r="8079" spans="1:1" x14ac:dyDescent="0.25">
      <c r="A8079" t="str">
        <f t="shared" si="148"/>
        <v/>
      </c>
    </row>
    <row r="8080" spans="1:1" x14ac:dyDescent="0.25">
      <c r="A8080" t="str">
        <f t="shared" si="148"/>
        <v/>
      </c>
    </row>
    <row r="8081" spans="1:1" x14ac:dyDescent="0.25">
      <c r="A8081" t="str">
        <f t="shared" si="148"/>
        <v/>
      </c>
    </row>
    <row r="8082" spans="1:1" x14ac:dyDescent="0.25">
      <c r="A8082" t="str">
        <f t="shared" si="148"/>
        <v/>
      </c>
    </row>
    <row r="8083" spans="1:1" x14ac:dyDescent="0.25">
      <c r="A8083" t="str">
        <f t="shared" si="148"/>
        <v/>
      </c>
    </row>
    <row r="8084" spans="1:1" x14ac:dyDescent="0.25">
      <c r="A8084" t="str">
        <f t="shared" si="148"/>
        <v/>
      </c>
    </row>
    <row r="8085" spans="1:1" x14ac:dyDescent="0.25">
      <c r="A8085" t="str">
        <f t="shared" si="148"/>
        <v/>
      </c>
    </row>
    <row r="8086" spans="1:1" x14ac:dyDescent="0.25">
      <c r="A8086" t="str">
        <f t="shared" si="148"/>
        <v/>
      </c>
    </row>
    <row r="8087" spans="1:1" x14ac:dyDescent="0.25">
      <c r="A8087" t="str">
        <f t="shared" si="148"/>
        <v/>
      </c>
    </row>
    <row r="8088" spans="1:1" x14ac:dyDescent="0.25">
      <c r="A8088" t="str">
        <f t="shared" si="148"/>
        <v/>
      </c>
    </row>
    <row r="8089" spans="1:1" x14ac:dyDescent="0.25">
      <c r="A8089" t="str">
        <f t="shared" si="148"/>
        <v/>
      </c>
    </row>
    <row r="8090" spans="1:1" x14ac:dyDescent="0.25">
      <c r="A8090" t="str">
        <f t="shared" si="148"/>
        <v/>
      </c>
    </row>
    <row r="8091" spans="1:1" x14ac:dyDescent="0.25">
      <c r="A8091" t="str">
        <f t="shared" si="148"/>
        <v/>
      </c>
    </row>
    <row r="8092" spans="1:1" x14ac:dyDescent="0.25">
      <c r="A8092" t="str">
        <f t="shared" si="148"/>
        <v/>
      </c>
    </row>
    <row r="8093" spans="1:1" x14ac:dyDescent="0.25">
      <c r="A8093" t="str">
        <f t="shared" si="148"/>
        <v/>
      </c>
    </row>
    <row r="8094" spans="1:1" x14ac:dyDescent="0.25">
      <c r="A8094" t="str">
        <f t="shared" si="148"/>
        <v/>
      </c>
    </row>
    <row r="8095" spans="1:1" x14ac:dyDescent="0.25">
      <c r="A8095" t="str">
        <f t="shared" si="148"/>
        <v/>
      </c>
    </row>
    <row r="8096" spans="1:1" x14ac:dyDescent="0.25">
      <c r="A8096" t="str">
        <f t="shared" si="148"/>
        <v/>
      </c>
    </row>
    <row r="8097" spans="1:1" x14ac:dyDescent="0.25">
      <c r="A8097" t="str">
        <f t="shared" si="148"/>
        <v/>
      </c>
    </row>
    <row r="8098" spans="1:1" x14ac:dyDescent="0.25">
      <c r="A8098" t="str">
        <f t="shared" si="148"/>
        <v/>
      </c>
    </row>
    <row r="8099" spans="1:1" x14ac:dyDescent="0.25">
      <c r="A8099" t="str">
        <f t="shared" si="148"/>
        <v/>
      </c>
    </row>
    <row r="8100" spans="1:1" x14ac:dyDescent="0.25">
      <c r="A8100" t="str">
        <f t="shared" si="148"/>
        <v/>
      </c>
    </row>
    <row r="8101" spans="1:1" x14ac:dyDescent="0.25">
      <c r="A8101" t="str">
        <f t="shared" si="148"/>
        <v/>
      </c>
    </row>
    <row r="8102" spans="1:1" x14ac:dyDescent="0.25">
      <c r="A8102" t="str">
        <f t="shared" si="148"/>
        <v/>
      </c>
    </row>
    <row r="8103" spans="1:1" x14ac:dyDescent="0.25">
      <c r="A8103" t="str">
        <f t="shared" si="148"/>
        <v/>
      </c>
    </row>
    <row r="8104" spans="1:1" x14ac:dyDescent="0.25">
      <c r="A8104" t="str">
        <f t="shared" si="148"/>
        <v/>
      </c>
    </row>
    <row r="8105" spans="1:1" x14ac:dyDescent="0.25">
      <c r="A8105" t="str">
        <f t="shared" si="148"/>
        <v/>
      </c>
    </row>
    <row r="8106" spans="1:1" x14ac:dyDescent="0.25">
      <c r="A8106" t="str">
        <f t="shared" si="148"/>
        <v/>
      </c>
    </row>
    <row r="8107" spans="1:1" x14ac:dyDescent="0.25">
      <c r="A8107" t="str">
        <f t="shared" si="148"/>
        <v/>
      </c>
    </row>
    <row r="8108" spans="1:1" x14ac:dyDescent="0.25">
      <c r="A8108" t="str">
        <f t="shared" si="148"/>
        <v/>
      </c>
    </row>
    <row r="8109" spans="1:1" x14ac:dyDescent="0.25">
      <c r="A8109" t="str">
        <f t="shared" si="148"/>
        <v/>
      </c>
    </row>
    <row r="8110" spans="1:1" x14ac:dyDescent="0.25">
      <c r="A8110" t="str">
        <f t="shared" si="148"/>
        <v/>
      </c>
    </row>
    <row r="8111" spans="1:1" x14ac:dyDescent="0.25">
      <c r="A8111" t="str">
        <f t="shared" si="148"/>
        <v/>
      </c>
    </row>
    <row r="8112" spans="1:1" x14ac:dyDescent="0.25">
      <c r="A8112" t="str">
        <f t="shared" si="148"/>
        <v/>
      </c>
    </row>
    <row r="8113" spans="1:1" x14ac:dyDescent="0.25">
      <c r="A8113" t="str">
        <f t="shared" si="148"/>
        <v/>
      </c>
    </row>
    <row r="8114" spans="1:1" x14ac:dyDescent="0.25">
      <c r="A8114" t="str">
        <f t="shared" si="148"/>
        <v/>
      </c>
    </row>
    <row r="8115" spans="1:1" x14ac:dyDescent="0.25">
      <c r="A8115" t="str">
        <f t="shared" si="148"/>
        <v/>
      </c>
    </row>
    <row r="8116" spans="1:1" x14ac:dyDescent="0.25">
      <c r="A8116" t="str">
        <f t="shared" si="148"/>
        <v/>
      </c>
    </row>
    <row r="8117" spans="1:1" x14ac:dyDescent="0.25">
      <c r="A8117" t="str">
        <f t="shared" si="148"/>
        <v/>
      </c>
    </row>
    <row r="8118" spans="1:1" x14ac:dyDescent="0.25">
      <c r="A8118" t="str">
        <f t="shared" si="148"/>
        <v/>
      </c>
    </row>
    <row r="8119" spans="1:1" x14ac:dyDescent="0.25">
      <c r="A8119" t="str">
        <f t="shared" si="148"/>
        <v/>
      </c>
    </row>
    <row r="8120" spans="1:1" x14ac:dyDescent="0.25">
      <c r="A8120" t="str">
        <f t="shared" si="148"/>
        <v/>
      </c>
    </row>
    <row r="8121" spans="1:1" x14ac:dyDescent="0.25">
      <c r="A8121" t="str">
        <f t="shared" si="148"/>
        <v/>
      </c>
    </row>
    <row r="8122" spans="1:1" x14ac:dyDescent="0.25">
      <c r="A8122" t="str">
        <f t="shared" si="148"/>
        <v/>
      </c>
    </row>
    <row r="8123" spans="1:1" x14ac:dyDescent="0.25">
      <c r="A8123" t="str">
        <f t="shared" si="148"/>
        <v/>
      </c>
    </row>
    <row r="8124" spans="1:1" x14ac:dyDescent="0.25">
      <c r="A8124" t="str">
        <f t="shared" si="148"/>
        <v/>
      </c>
    </row>
    <row r="8125" spans="1:1" x14ac:dyDescent="0.25">
      <c r="A8125" t="str">
        <f t="shared" si="148"/>
        <v/>
      </c>
    </row>
    <row r="8126" spans="1:1" x14ac:dyDescent="0.25">
      <c r="A8126" t="str">
        <f t="shared" si="148"/>
        <v/>
      </c>
    </row>
    <row r="8127" spans="1:1" x14ac:dyDescent="0.25">
      <c r="A8127" t="str">
        <f t="shared" si="148"/>
        <v/>
      </c>
    </row>
    <row r="8128" spans="1:1" x14ac:dyDescent="0.25">
      <c r="A8128" t="str">
        <f t="shared" si="148"/>
        <v/>
      </c>
    </row>
    <row r="8129" spans="1:1" x14ac:dyDescent="0.25">
      <c r="A8129" t="str">
        <f t="shared" ref="A8129:A8192" si="149">E8129&amp;C8129&amp;D8129</f>
        <v/>
      </c>
    </row>
    <row r="8130" spans="1:1" x14ac:dyDescent="0.25">
      <c r="A8130" t="str">
        <f t="shared" si="149"/>
        <v/>
      </c>
    </row>
    <row r="8131" spans="1:1" x14ac:dyDescent="0.25">
      <c r="A8131" t="str">
        <f t="shared" si="149"/>
        <v/>
      </c>
    </row>
    <row r="8132" spans="1:1" x14ac:dyDescent="0.25">
      <c r="A8132" t="str">
        <f t="shared" si="149"/>
        <v/>
      </c>
    </row>
    <row r="8133" spans="1:1" x14ac:dyDescent="0.25">
      <c r="A8133" t="str">
        <f t="shared" si="149"/>
        <v/>
      </c>
    </row>
    <row r="8134" spans="1:1" x14ac:dyDescent="0.25">
      <c r="A8134" t="str">
        <f t="shared" si="149"/>
        <v/>
      </c>
    </row>
    <row r="8135" spans="1:1" x14ac:dyDescent="0.25">
      <c r="A8135" t="str">
        <f t="shared" si="149"/>
        <v/>
      </c>
    </row>
    <row r="8136" spans="1:1" x14ac:dyDescent="0.25">
      <c r="A8136" t="str">
        <f t="shared" si="149"/>
        <v/>
      </c>
    </row>
    <row r="8137" spans="1:1" x14ac:dyDescent="0.25">
      <c r="A8137" t="str">
        <f t="shared" si="149"/>
        <v/>
      </c>
    </row>
    <row r="8138" spans="1:1" x14ac:dyDescent="0.25">
      <c r="A8138" t="str">
        <f t="shared" si="149"/>
        <v/>
      </c>
    </row>
    <row r="8139" spans="1:1" x14ac:dyDescent="0.25">
      <c r="A8139" t="str">
        <f t="shared" si="149"/>
        <v/>
      </c>
    </row>
    <row r="8140" spans="1:1" x14ac:dyDescent="0.25">
      <c r="A8140" t="str">
        <f t="shared" si="149"/>
        <v/>
      </c>
    </row>
    <row r="8141" spans="1:1" x14ac:dyDescent="0.25">
      <c r="A8141" t="str">
        <f t="shared" si="149"/>
        <v/>
      </c>
    </row>
    <row r="8142" spans="1:1" x14ac:dyDescent="0.25">
      <c r="A8142" t="str">
        <f t="shared" si="149"/>
        <v/>
      </c>
    </row>
    <row r="8143" spans="1:1" x14ac:dyDescent="0.25">
      <c r="A8143" t="str">
        <f t="shared" si="149"/>
        <v/>
      </c>
    </row>
    <row r="8144" spans="1:1" x14ac:dyDescent="0.25">
      <c r="A8144" t="str">
        <f t="shared" si="149"/>
        <v/>
      </c>
    </row>
    <row r="8145" spans="1:1" x14ac:dyDescent="0.25">
      <c r="A8145" t="str">
        <f t="shared" si="149"/>
        <v/>
      </c>
    </row>
    <row r="8146" spans="1:1" x14ac:dyDescent="0.25">
      <c r="A8146" t="str">
        <f t="shared" si="149"/>
        <v/>
      </c>
    </row>
    <row r="8147" spans="1:1" x14ac:dyDescent="0.25">
      <c r="A8147" t="str">
        <f t="shared" si="149"/>
        <v/>
      </c>
    </row>
    <row r="8148" spans="1:1" x14ac:dyDescent="0.25">
      <c r="A8148" t="str">
        <f t="shared" si="149"/>
        <v/>
      </c>
    </row>
    <row r="8149" spans="1:1" x14ac:dyDescent="0.25">
      <c r="A8149" t="str">
        <f t="shared" si="149"/>
        <v/>
      </c>
    </row>
    <row r="8150" spans="1:1" x14ac:dyDescent="0.25">
      <c r="A8150" t="str">
        <f t="shared" si="149"/>
        <v/>
      </c>
    </row>
    <row r="8151" spans="1:1" x14ac:dyDescent="0.25">
      <c r="A8151" t="str">
        <f t="shared" si="149"/>
        <v/>
      </c>
    </row>
    <row r="8152" spans="1:1" x14ac:dyDescent="0.25">
      <c r="A8152" t="str">
        <f t="shared" si="149"/>
        <v/>
      </c>
    </row>
    <row r="8153" spans="1:1" x14ac:dyDescent="0.25">
      <c r="A8153" t="str">
        <f t="shared" si="149"/>
        <v/>
      </c>
    </row>
    <row r="8154" spans="1:1" x14ac:dyDescent="0.25">
      <c r="A8154" t="str">
        <f t="shared" si="149"/>
        <v/>
      </c>
    </row>
    <row r="8155" spans="1:1" x14ac:dyDescent="0.25">
      <c r="A8155" t="str">
        <f t="shared" si="149"/>
        <v/>
      </c>
    </row>
    <row r="8156" spans="1:1" x14ac:dyDescent="0.25">
      <c r="A8156" t="str">
        <f t="shared" si="149"/>
        <v/>
      </c>
    </row>
    <row r="8157" spans="1:1" x14ac:dyDescent="0.25">
      <c r="A8157" t="str">
        <f t="shared" si="149"/>
        <v/>
      </c>
    </row>
    <row r="8158" spans="1:1" x14ac:dyDescent="0.25">
      <c r="A8158" t="str">
        <f t="shared" si="149"/>
        <v/>
      </c>
    </row>
    <row r="8159" spans="1:1" x14ac:dyDescent="0.25">
      <c r="A8159" t="str">
        <f t="shared" si="149"/>
        <v/>
      </c>
    </row>
    <row r="8160" spans="1:1" x14ac:dyDescent="0.25">
      <c r="A8160" t="str">
        <f t="shared" si="149"/>
        <v/>
      </c>
    </row>
    <row r="8161" spans="1:1" x14ac:dyDescent="0.25">
      <c r="A8161" t="str">
        <f t="shared" si="149"/>
        <v/>
      </c>
    </row>
    <row r="8162" spans="1:1" x14ac:dyDescent="0.25">
      <c r="A8162" t="str">
        <f t="shared" si="149"/>
        <v/>
      </c>
    </row>
    <row r="8163" spans="1:1" x14ac:dyDescent="0.25">
      <c r="A8163" t="str">
        <f t="shared" si="149"/>
        <v/>
      </c>
    </row>
    <row r="8164" spans="1:1" x14ac:dyDescent="0.25">
      <c r="A8164" t="str">
        <f t="shared" si="149"/>
        <v/>
      </c>
    </row>
    <row r="8165" spans="1:1" x14ac:dyDescent="0.25">
      <c r="A8165" t="str">
        <f t="shared" si="149"/>
        <v/>
      </c>
    </row>
    <row r="8166" spans="1:1" x14ac:dyDescent="0.25">
      <c r="A8166" t="str">
        <f t="shared" si="149"/>
        <v/>
      </c>
    </row>
    <row r="8167" spans="1:1" x14ac:dyDescent="0.25">
      <c r="A8167" t="str">
        <f t="shared" si="149"/>
        <v/>
      </c>
    </row>
    <row r="8168" spans="1:1" x14ac:dyDescent="0.25">
      <c r="A8168" t="str">
        <f t="shared" si="149"/>
        <v/>
      </c>
    </row>
    <row r="8169" spans="1:1" x14ac:dyDescent="0.25">
      <c r="A8169" t="str">
        <f t="shared" si="149"/>
        <v/>
      </c>
    </row>
    <row r="8170" spans="1:1" x14ac:dyDescent="0.25">
      <c r="A8170" t="str">
        <f t="shared" si="149"/>
        <v/>
      </c>
    </row>
    <row r="8171" spans="1:1" x14ac:dyDescent="0.25">
      <c r="A8171" t="str">
        <f t="shared" si="149"/>
        <v/>
      </c>
    </row>
    <row r="8172" spans="1:1" x14ac:dyDescent="0.25">
      <c r="A8172" t="str">
        <f t="shared" si="149"/>
        <v/>
      </c>
    </row>
    <row r="8173" spans="1:1" x14ac:dyDescent="0.25">
      <c r="A8173" t="str">
        <f t="shared" si="149"/>
        <v/>
      </c>
    </row>
    <row r="8174" spans="1:1" x14ac:dyDescent="0.25">
      <c r="A8174" t="str">
        <f t="shared" si="149"/>
        <v/>
      </c>
    </row>
    <row r="8175" spans="1:1" x14ac:dyDescent="0.25">
      <c r="A8175" t="str">
        <f t="shared" si="149"/>
        <v/>
      </c>
    </row>
    <row r="8176" spans="1:1" x14ac:dyDescent="0.25">
      <c r="A8176" t="str">
        <f t="shared" si="149"/>
        <v/>
      </c>
    </row>
    <row r="8177" spans="1:1" x14ac:dyDescent="0.25">
      <c r="A8177" t="str">
        <f t="shared" si="149"/>
        <v/>
      </c>
    </row>
    <row r="8178" spans="1:1" x14ac:dyDescent="0.25">
      <c r="A8178" t="str">
        <f t="shared" si="149"/>
        <v/>
      </c>
    </row>
    <row r="8179" spans="1:1" x14ac:dyDescent="0.25">
      <c r="A8179" t="str">
        <f t="shared" si="149"/>
        <v/>
      </c>
    </row>
    <row r="8180" spans="1:1" x14ac:dyDescent="0.25">
      <c r="A8180" t="str">
        <f t="shared" si="149"/>
        <v/>
      </c>
    </row>
    <row r="8181" spans="1:1" x14ac:dyDescent="0.25">
      <c r="A8181" t="str">
        <f t="shared" si="149"/>
        <v/>
      </c>
    </row>
    <row r="8182" spans="1:1" x14ac:dyDescent="0.25">
      <c r="A8182" t="str">
        <f t="shared" si="149"/>
        <v/>
      </c>
    </row>
    <row r="8183" spans="1:1" x14ac:dyDescent="0.25">
      <c r="A8183" t="str">
        <f t="shared" si="149"/>
        <v/>
      </c>
    </row>
    <row r="8184" spans="1:1" x14ac:dyDescent="0.25">
      <c r="A8184" t="str">
        <f t="shared" si="149"/>
        <v/>
      </c>
    </row>
    <row r="8185" spans="1:1" x14ac:dyDescent="0.25">
      <c r="A8185" t="str">
        <f t="shared" si="149"/>
        <v/>
      </c>
    </row>
    <row r="8186" spans="1:1" x14ac:dyDescent="0.25">
      <c r="A8186" t="str">
        <f t="shared" si="149"/>
        <v/>
      </c>
    </row>
    <row r="8187" spans="1:1" x14ac:dyDescent="0.25">
      <c r="A8187" t="str">
        <f t="shared" si="149"/>
        <v/>
      </c>
    </row>
    <row r="8188" spans="1:1" x14ac:dyDescent="0.25">
      <c r="A8188" t="str">
        <f t="shared" si="149"/>
        <v/>
      </c>
    </row>
    <row r="8189" spans="1:1" x14ac:dyDescent="0.25">
      <c r="A8189" t="str">
        <f t="shared" si="149"/>
        <v/>
      </c>
    </row>
    <row r="8190" spans="1:1" x14ac:dyDescent="0.25">
      <c r="A8190" t="str">
        <f t="shared" si="149"/>
        <v/>
      </c>
    </row>
    <row r="8191" spans="1:1" x14ac:dyDescent="0.25">
      <c r="A8191" t="str">
        <f t="shared" si="149"/>
        <v/>
      </c>
    </row>
    <row r="8192" spans="1:1" x14ac:dyDescent="0.25">
      <c r="A8192" t="str">
        <f t="shared" si="149"/>
        <v/>
      </c>
    </row>
    <row r="8193" spans="1:1" x14ac:dyDescent="0.25">
      <c r="A8193" t="str">
        <f t="shared" ref="A8193:A8256" si="150">E8193&amp;C8193&amp;D8193</f>
        <v/>
      </c>
    </row>
    <row r="8194" spans="1:1" x14ac:dyDescent="0.25">
      <c r="A8194" t="str">
        <f t="shared" si="150"/>
        <v/>
      </c>
    </row>
    <row r="8195" spans="1:1" x14ac:dyDescent="0.25">
      <c r="A8195" t="str">
        <f t="shared" si="150"/>
        <v/>
      </c>
    </row>
    <row r="8196" spans="1:1" x14ac:dyDescent="0.25">
      <c r="A8196" t="str">
        <f t="shared" si="150"/>
        <v/>
      </c>
    </row>
    <row r="8197" spans="1:1" x14ac:dyDescent="0.25">
      <c r="A8197" t="str">
        <f t="shared" si="150"/>
        <v/>
      </c>
    </row>
    <row r="8198" spans="1:1" x14ac:dyDescent="0.25">
      <c r="A8198" t="str">
        <f t="shared" si="150"/>
        <v/>
      </c>
    </row>
    <row r="8199" spans="1:1" x14ac:dyDescent="0.25">
      <c r="A8199" t="str">
        <f t="shared" si="150"/>
        <v/>
      </c>
    </row>
    <row r="8200" spans="1:1" x14ac:dyDescent="0.25">
      <c r="A8200" t="str">
        <f t="shared" si="150"/>
        <v/>
      </c>
    </row>
    <row r="8201" spans="1:1" x14ac:dyDescent="0.25">
      <c r="A8201" t="str">
        <f t="shared" si="150"/>
        <v/>
      </c>
    </row>
    <row r="8202" spans="1:1" x14ac:dyDescent="0.25">
      <c r="A8202" t="str">
        <f t="shared" si="150"/>
        <v/>
      </c>
    </row>
    <row r="8203" spans="1:1" x14ac:dyDescent="0.25">
      <c r="A8203" t="str">
        <f t="shared" si="150"/>
        <v/>
      </c>
    </row>
    <row r="8204" spans="1:1" x14ac:dyDescent="0.25">
      <c r="A8204" t="str">
        <f t="shared" si="150"/>
        <v/>
      </c>
    </row>
    <row r="8205" spans="1:1" x14ac:dyDescent="0.25">
      <c r="A8205" t="str">
        <f t="shared" si="150"/>
        <v/>
      </c>
    </row>
    <row r="8206" spans="1:1" x14ac:dyDescent="0.25">
      <c r="A8206" t="str">
        <f t="shared" si="150"/>
        <v/>
      </c>
    </row>
    <row r="8207" spans="1:1" x14ac:dyDescent="0.25">
      <c r="A8207" t="str">
        <f t="shared" si="150"/>
        <v/>
      </c>
    </row>
    <row r="8208" spans="1:1" x14ac:dyDescent="0.25">
      <c r="A8208" t="str">
        <f t="shared" si="150"/>
        <v/>
      </c>
    </row>
    <row r="8209" spans="1:1" x14ac:dyDescent="0.25">
      <c r="A8209" t="str">
        <f t="shared" si="150"/>
        <v/>
      </c>
    </row>
    <row r="8210" spans="1:1" x14ac:dyDescent="0.25">
      <c r="A8210" t="str">
        <f t="shared" si="150"/>
        <v/>
      </c>
    </row>
    <row r="8211" spans="1:1" x14ac:dyDescent="0.25">
      <c r="A8211" t="str">
        <f t="shared" si="150"/>
        <v/>
      </c>
    </row>
    <row r="8212" spans="1:1" x14ac:dyDescent="0.25">
      <c r="A8212" t="str">
        <f t="shared" si="150"/>
        <v/>
      </c>
    </row>
    <row r="8213" spans="1:1" x14ac:dyDescent="0.25">
      <c r="A8213" t="str">
        <f t="shared" si="150"/>
        <v/>
      </c>
    </row>
    <row r="8214" spans="1:1" x14ac:dyDescent="0.25">
      <c r="A8214" t="str">
        <f t="shared" si="150"/>
        <v/>
      </c>
    </row>
    <row r="8215" spans="1:1" x14ac:dyDescent="0.25">
      <c r="A8215" t="str">
        <f t="shared" si="150"/>
        <v/>
      </c>
    </row>
    <row r="8216" spans="1:1" x14ac:dyDescent="0.25">
      <c r="A8216" t="str">
        <f t="shared" si="150"/>
        <v/>
      </c>
    </row>
    <row r="8217" spans="1:1" x14ac:dyDescent="0.25">
      <c r="A8217" t="str">
        <f t="shared" si="150"/>
        <v/>
      </c>
    </row>
    <row r="8218" spans="1:1" x14ac:dyDescent="0.25">
      <c r="A8218" t="str">
        <f t="shared" si="150"/>
        <v/>
      </c>
    </row>
    <row r="8219" spans="1:1" x14ac:dyDescent="0.25">
      <c r="A8219" t="str">
        <f t="shared" si="150"/>
        <v/>
      </c>
    </row>
    <row r="8220" spans="1:1" x14ac:dyDescent="0.25">
      <c r="A8220" t="str">
        <f t="shared" si="150"/>
        <v/>
      </c>
    </row>
    <row r="8221" spans="1:1" x14ac:dyDescent="0.25">
      <c r="A8221" t="str">
        <f t="shared" si="150"/>
        <v/>
      </c>
    </row>
    <row r="8222" spans="1:1" x14ac:dyDescent="0.25">
      <c r="A8222" t="str">
        <f t="shared" si="150"/>
        <v/>
      </c>
    </row>
    <row r="8223" spans="1:1" x14ac:dyDescent="0.25">
      <c r="A8223" t="str">
        <f t="shared" si="150"/>
        <v/>
      </c>
    </row>
    <row r="8224" spans="1:1" x14ac:dyDescent="0.25">
      <c r="A8224" t="str">
        <f t="shared" si="150"/>
        <v/>
      </c>
    </row>
    <row r="8225" spans="1:1" x14ac:dyDescent="0.25">
      <c r="A8225" t="str">
        <f t="shared" si="150"/>
        <v/>
      </c>
    </row>
    <row r="8226" spans="1:1" x14ac:dyDescent="0.25">
      <c r="A8226" t="str">
        <f t="shared" si="150"/>
        <v/>
      </c>
    </row>
    <row r="8227" spans="1:1" x14ac:dyDescent="0.25">
      <c r="A8227" t="str">
        <f t="shared" si="150"/>
        <v/>
      </c>
    </row>
    <row r="8228" spans="1:1" x14ac:dyDescent="0.25">
      <c r="A8228" t="str">
        <f t="shared" si="150"/>
        <v/>
      </c>
    </row>
    <row r="8229" spans="1:1" x14ac:dyDescent="0.25">
      <c r="A8229" t="str">
        <f t="shared" si="150"/>
        <v/>
      </c>
    </row>
    <row r="8230" spans="1:1" x14ac:dyDescent="0.25">
      <c r="A8230" t="str">
        <f t="shared" si="150"/>
        <v/>
      </c>
    </row>
    <row r="8231" spans="1:1" x14ac:dyDescent="0.25">
      <c r="A8231" t="str">
        <f t="shared" si="150"/>
        <v/>
      </c>
    </row>
    <row r="8232" spans="1:1" x14ac:dyDescent="0.25">
      <c r="A8232" t="str">
        <f t="shared" si="150"/>
        <v/>
      </c>
    </row>
    <row r="8233" spans="1:1" x14ac:dyDescent="0.25">
      <c r="A8233" t="str">
        <f t="shared" si="150"/>
        <v/>
      </c>
    </row>
    <row r="8234" spans="1:1" x14ac:dyDescent="0.25">
      <c r="A8234" t="str">
        <f t="shared" si="150"/>
        <v/>
      </c>
    </row>
    <row r="8235" spans="1:1" x14ac:dyDescent="0.25">
      <c r="A8235" t="str">
        <f t="shared" si="150"/>
        <v/>
      </c>
    </row>
    <row r="8236" spans="1:1" x14ac:dyDescent="0.25">
      <c r="A8236" t="str">
        <f t="shared" si="150"/>
        <v/>
      </c>
    </row>
    <row r="8237" spans="1:1" x14ac:dyDescent="0.25">
      <c r="A8237" t="str">
        <f t="shared" si="150"/>
        <v/>
      </c>
    </row>
    <row r="8238" spans="1:1" x14ac:dyDescent="0.25">
      <c r="A8238" t="str">
        <f t="shared" si="150"/>
        <v/>
      </c>
    </row>
    <row r="8239" spans="1:1" x14ac:dyDescent="0.25">
      <c r="A8239" t="str">
        <f t="shared" si="150"/>
        <v/>
      </c>
    </row>
    <row r="8240" spans="1:1" x14ac:dyDescent="0.25">
      <c r="A8240" t="str">
        <f t="shared" si="150"/>
        <v/>
      </c>
    </row>
    <row r="8241" spans="1:1" x14ac:dyDescent="0.25">
      <c r="A8241" t="str">
        <f t="shared" si="150"/>
        <v/>
      </c>
    </row>
    <row r="8242" spans="1:1" x14ac:dyDescent="0.25">
      <c r="A8242" t="str">
        <f t="shared" si="150"/>
        <v/>
      </c>
    </row>
    <row r="8243" spans="1:1" x14ac:dyDescent="0.25">
      <c r="A8243" t="str">
        <f t="shared" si="150"/>
        <v/>
      </c>
    </row>
    <row r="8244" spans="1:1" x14ac:dyDescent="0.25">
      <c r="A8244" t="str">
        <f t="shared" si="150"/>
        <v/>
      </c>
    </row>
    <row r="8245" spans="1:1" x14ac:dyDescent="0.25">
      <c r="A8245" t="str">
        <f t="shared" si="150"/>
        <v/>
      </c>
    </row>
    <row r="8246" spans="1:1" x14ac:dyDescent="0.25">
      <c r="A8246" t="str">
        <f t="shared" si="150"/>
        <v/>
      </c>
    </row>
    <row r="8247" spans="1:1" x14ac:dyDescent="0.25">
      <c r="A8247" t="str">
        <f t="shared" si="150"/>
        <v/>
      </c>
    </row>
    <row r="8248" spans="1:1" x14ac:dyDescent="0.25">
      <c r="A8248" t="str">
        <f t="shared" si="150"/>
        <v/>
      </c>
    </row>
    <row r="8249" spans="1:1" x14ac:dyDescent="0.25">
      <c r="A8249" t="str">
        <f t="shared" si="150"/>
        <v/>
      </c>
    </row>
    <row r="8250" spans="1:1" x14ac:dyDescent="0.25">
      <c r="A8250" t="str">
        <f t="shared" si="150"/>
        <v/>
      </c>
    </row>
    <row r="8251" spans="1:1" x14ac:dyDescent="0.25">
      <c r="A8251" t="str">
        <f t="shared" si="150"/>
        <v/>
      </c>
    </row>
    <row r="8252" spans="1:1" x14ac:dyDescent="0.25">
      <c r="A8252" t="str">
        <f t="shared" si="150"/>
        <v/>
      </c>
    </row>
    <row r="8253" spans="1:1" x14ac:dyDescent="0.25">
      <c r="A8253" t="str">
        <f t="shared" si="150"/>
        <v/>
      </c>
    </row>
    <row r="8254" spans="1:1" x14ac:dyDescent="0.25">
      <c r="A8254" t="str">
        <f t="shared" si="150"/>
        <v/>
      </c>
    </row>
    <row r="8255" spans="1:1" x14ac:dyDescent="0.25">
      <c r="A8255" t="str">
        <f t="shared" si="150"/>
        <v/>
      </c>
    </row>
    <row r="8256" spans="1:1" x14ac:dyDescent="0.25">
      <c r="A8256" t="str">
        <f t="shared" si="150"/>
        <v/>
      </c>
    </row>
    <row r="8257" spans="1:1" x14ac:dyDescent="0.25">
      <c r="A8257" t="str">
        <f t="shared" ref="A8257:A8320" si="151">E8257&amp;C8257&amp;D8257</f>
        <v/>
      </c>
    </row>
    <row r="8258" spans="1:1" x14ac:dyDescent="0.25">
      <c r="A8258" t="str">
        <f t="shared" si="151"/>
        <v/>
      </c>
    </row>
    <row r="8259" spans="1:1" x14ac:dyDescent="0.25">
      <c r="A8259" t="str">
        <f t="shared" si="151"/>
        <v/>
      </c>
    </row>
    <row r="8260" spans="1:1" x14ac:dyDescent="0.25">
      <c r="A8260" t="str">
        <f t="shared" si="151"/>
        <v/>
      </c>
    </row>
    <row r="8261" spans="1:1" x14ac:dyDescent="0.25">
      <c r="A8261" t="str">
        <f t="shared" si="151"/>
        <v/>
      </c>
    </row>
    <row r="8262" spans="1:1" x14ac:dyDescent="0.25">
      <c r="A8262" t="str">
        <f t="shared" si="151"/>
        <v/>
      </c>
    </row>
    <row r="8263" spans="1:1" x14ac:dyDescent="0.25">
      <c r="A8263" t="str">
        <f t="shared" si="151"/>
        <v/>
      </c>
    </row>
    <row r="8264" spans="1:1" x14ac:dyDescent="0.25">
      <c r="A8264" t="str">
        <f t="shared" si="151"/>
        <v/>
      </c>
    </row>
    <row r="8265" spans="1:1" x14ac:dyDescent="0.25">
      <c r="A8265" t="str">
        <f t="shared" si="151"/>
        <v/>
      </c>
    </row>
    <row r="8266" spans="1:1" x14ac:dyDescent="0.25">
      <c r="A8266" t="str">
        <f t="shared" si="151"/>
        <v/>
      </c>
    </row>
    <row r="8267" spans="1:1" x14ac:dyDescent="0.25">
      <c r="A8267" t="str">
        <f t="shared" si="151"/>
        <v/>
      </c>
    </row>
    <row r="8268" spans="1:1" x14ac:dyDescent="0.25">
      <c r="A8268" t="str">
        <f t="shared" si="151"/>
        <v/>
      </c>
    </row>
    <row r="8269" spans="1:1" x14ac:dyDescent="0.25">
      <c r="A8269" t="str">
        <f t="shared" si="151"/>
        <v/>
      </c>
    </row>
    <row r="8270" spans="1:1" x14ac:dyDescent="0.25">
      <c r="A8270" t="str">
        <f t="shared" si="151"/>
        <v/>
      </c>
    </row>
    <row r="8271" spans="1:1" x14ac:dyDescent="0.25">
      <c r="A8271" t="str">
        <f t="shared" si="151"/>
        <v/>
      </c>
    </row>
    <row r="8272" spans="1:1" x14ac:dyDescent="0.25">
      <c r="A8272" t="str">
        <f t="shared" si="151"/>
        <v/>
      </c>
    </row>
    <row r="8273" spans="1:1" x14ac:dyDescent="0.25">
      <c r="A8273" t="str">
        <f t="shared" si="151"/>
        <v/>
      </c>
    </row>
    <row r="8274" spans="1:1" x14ac:dyDescent="0.25">
      <c r="A8274" t="str">
        <f t="shared" si="151"/>
        <v/>
      </c>
    </row>
    <row r="8275" spans="1:1" x14ac:dyDescent="0.25">
      <c r="A8275" t="str">
        <f t="shared" si="151"/>
        <v/>
      </c>
    </row>
    <row r="8276" spans="1:1" x14ac:dyDescent="0.25">
      <c r="A8276" t="str">
        <f t="shared" si="151"/>
        <v/>
      </c>
    </row>
    <row r="8277" spans="1:1" x14ac:dyDescent="0.25">
      <c r="A8277" t="str">
        <f t="shared" si="151"/>
        <v/>
      </c>
    </row>
    <row r="8278" spans="1:1" x14ac:dyDescent="0.25">
      <c r="A8278" t="str">
        <f t="shared" si="151"/>
        <v/>
      </c>
    </row>
    <row r="8279" spans="1:1" x14ac:dyDescent="0.25">
      <c r="A8279" t="str">
        <f t="shared" si="151"/>
        <v/>
      </c>
    </row>
    <row r="8280" spans="1:1" x14ac:dyDescent="0.25">
      <c r="A8280" t="str">
        <f t="shared" si="151"/>
        <v/>
      </c>
    </row>
    <row r="8281" spans="1:1" x14ac:dyDescent="0.25">
      <c r="A8281" t="str">
        <f t="shared" si="151"/>
        <v/>
      </c>
    </row>
    <row r="8282" spans="1:1" x14ac:dyDescent="0.25">
      <c r="A8282" t="str">
        <f t="shared" si="151"/>
        <v/>
      </c>
    </row>
    <row r="8283" spans="1:1" x14ac:dyDescent="0.25">
      <c r="A8283" t="str">
        <f t="shared" si="151"/>
        <v/>
      </c>
    </row>
    <row r="8284" spans="1:1" x14ac:dyDescent="0.25">
      <c r="A8284" t="str">
        <f t="shared" si="151"/>
        <v/>
      </c>
    </row>
    <row r="8285" spans="1:1" x14ac:dyDescent="0.25">
      <c r="A8285" t="str">
        <f t="shared" si="151"/>
        <v/>
      </c>
    </row>
    <row r="8286" spans="1:1" x14ac:dyDescent="0.25">
      <c r="A8286" t="str">
        <f t="shared" si="151"/>
        <v/>
      </c>
    </row>
    <row r="8287" spans="1:1" x14ac:dyDescent="0.25">
      <c r="A8287" t="str">
        <f t="shared" si="151"/>
        <v/>
      </c>
    </row>
    <row r="8288" spans="1:1" x14ac:dyDescent="0.25">
      <c r="A8288" t="str">
        <f t="shared" si="151"/>
        <v/>
      </c>
    </row>
    <row r="8289" spans="1:1" x14ac:dyDescent="0.25">
      <c r="A8289" t="str">
        <f t="shared" si="151"/>
        <v/>
      </c>
    </row>
    <row r="8290" spans="1:1" x14ac:dyDescent="0.25">
      <c r="A8290" t="str">
        <f t="shared" si="151"/>
        <v/>
      </c>
    </row>
    <row r="8291" spans="1:1" x14ac:dyDescent="0.25">
      <c r="A8291" t="str">
        <f t="shared" si="151"/>
        <v/>
      </c>
    </row>
    <row r="8292" spans="1:1" x14ac:dyDescent="0.25">
      <c r="A8292" t="str">
        <f t="shared" si="151"/>
        <v/>
      </c>
    </row>
    <row r="8293" spans="1:1" x14ac:dyDescent="0.25">
      <c r="A8293" t="str">
        <f t="shared" si="151"/>
        <v/>
      </c>
    </row>
    <row r="8294" spans="1:1" x14ac:dyDescent="0.25">
      <c r="A8294" t="str">
        <f t="shared" si="151"/>
        <v/>
      </c>
    </row>
    <row r="8295" spans="1:1" x14ac:dyDescent="0.25">
      <c r="A8295" t="str">
        <f t="shared" si="151"/>
        <v/>
      </c>
    </row>
    <row r="8296" spans="1:1" x14ac:dyDescent="0.25">
      <c r="A8296" t="str">
        <f t="shared" si="151"/>
        <v/>
      </c>
    </row>
    <row r="8297" spans="1:1" x14ac:dyDescent="0.25">
      <c r="A8297" t="str">
        <f t="shared" si="151"/>
        <v/>
      </c>
    </row>
    <row r="8298" spans="1:1" x14ac:dyDescent="0.25">
      <c r="A8298" t="str">
        <f t="shared" si="151"/>
        <v/>
      </c>
    </row>
    <row r="8299" spans="1:1" x14ac:dyDescent="0.25">
      <c r="A8299" t="str">
        <f t="shared" si="151"/>
        <v/>
      </c>
    </row>
    <row r="8300" spans="1:1" x14ac:dyDescent="0.25">
      <c r="A8300" t="str">
        <f t="shared" si="151"/>
        <v/>
      </c>
    </row>
    <row r="8301" spans="1:1" x14ac:dyDescent="0.25">
      <c r="A8301" t="str">
        <f t="shared" si="151"/>
        <v/>
      </c>
    </row>
    <row r="8302" spans="1:1" x14ac:dyDescent="0.25">
      <c r="A8302" t="str">
        <f t="shared" si="151"/>
        <v/>
      </c>
    </row>
    <row r="8303" spans="1:1" x14ac:dyDescent="0.25">
      <c r="A8303" t="str">
        <f t="shared" si="151"/>
        <v/>
      </c>
    </row>
    <row r="8304" spans="1:1" x14ac:dyDescent="0.25">
      <c r="A8304" t="str">
        <f t="shared" si="151"/>
        <v/>
      </c>
    </row>
    <row r="8305" spans="1:1" x14ac:dyDescent="0.25">
      <c r="A8305" t="str">
        <f t="shared" si="151"/>
        <v/>
      </c>
    </row>
    <row r="8306" spans="1:1" x14ac:dyDescent="0.25">
      <c r="A8306" t="str">
        <f t="shared" si="151"/>
        <v/>
      </c>
    </row>
    <row r="8307" spans="1:1" x14ac:dyDescent="0.25">
      <c r="A8307" t="str">
        <f t="shared" si="151"/>
        <v/>
      </c>
    </row>
    <row r="8308" spans="1:1" x14ac:dyDescent="0.25">
      <c r="A8308" t="str">
        <f t="shared" si="151"/>
        <v/>
      </c>
    </row>
    <row r="8309" spans="1:1" x14ac:dyDescent="0.25">
      <c r="A8309" t="str">
        <f t="shared" si="151"/>
        <v/>
      </c>
    </row>
    <row r="8310" spans="1:1" x14ac:dyDescent="0.25">
      <c r="A8310" t="str">
        <f t="shared" si="151"/>
        <v/>
      </c>
    </row>
    <row r="8311" spans="1:1" x14ac:dyDescent="0.25">
      <c r="A8311" t="str">
        <f t="shared" si="151"/>
        <v/>
      </c>
    </row>
    <row r="8312" spans="1:1" x14ac:dyDescent="0.25">
      <c r="A8312" t="str">
        <f t="shared" si="151"/>
        <v/>
      </c>
    </row>
    <row r="8313" spans="1:1" x14ac:dyDescent="0.25">
      <c r="A8313" t="str">
        <f t="shared" si="151"/>
        <v/>
      </c>
    </row>
    <row r="8314" spans="1:1" x14ac:dyDescent="0.25">
      <c r="A8314" t="str">
        <f t="shared" si="151"/>
        <v/>
      </c>
    </row>
    <row r="8315" spans="1:1" x14ac:dyDescent="0.25">
      <c r="A8315" t="str">
        <f t="shared" si="151"/>
        <v/>
      </c>
    </row>
    <row r="8316" spans="1:1" x14ac:dyDescent="0.25">
      <c r="A8316" t="str">
        <f t="shared" si="151"/>
        <v/>
      </c>
    </row>
    <row r="8317" spans="1:1" x14ac:dyDescent="0.25">
      <c r="A8317" t="str">
        <f t="shared" si="151"/>
        <v/>
      </c>
    </row>
    <row r="8318" spans="1:1" x14ac:dyDescent="0.25">
      <c r="A8318" t="str">
        <f t="shared" si="151"/>
        <v/>
      </c>
    </row>
    <row r="8319" spans="1:1" x14ac:dyDescent="0.25">
      <c r="A8319" t="str">
        <f t="shared" si="151"/>
        <v/>
      </c>
    </row>
    <row r="8320" spans="1:1" x14ac:dyDescent="0.25">
      <c r="A8320" t="str">
        <f t="shared" si="151"/>
        <v/>
      </c>
    </row>
    <row r="8321" spans="1:1" x14ac:dyDescent="0.25">
      <c r="A8321" t="str">
        <f t="shared" ref="A8321:A8384" si="152">E8321&amp;C8321&amp;D8321</f>
        <v/>
      </c>
    </row>
    <row r="8322" spans="1:1" x14ac:dyDescent="0.25">
      <c r="A8322" t="str">
        <f t="shared" si="152"/>
        <v/>
      </c>
    </row>
    <row r="8323" spans="1:1" x14ac:dyDescent="0.25">
      <c r="A8323" t="str">
        <f t="shared" si="152"/>
        <v/>
      </c>
    </row>
    <row r="8324" spans="1:1" x14ac:dyDescent="0.25">
      <c r="A8324" t="str">
        <f t="shared" si="152"/>
        <v/>
      </c>
    </row>
    <row r="8325" spans="1:1" x14ac:dyDescent="0.25">
      <c r="A8325" t="str">
        <f t="shared" si="152"/>
        <v/>
      </c>
    </row>
    <row r="8326" spans="1:1" x14ac:dyDescent="0.25">
      <c r="A8326" t="str">
        <f t="shared" si="152"/>
        <v/>
      </c>
    </row>
    <row r="8327" spans="1:1" x14ac:dyDescent="0.25">
      <c r="A8327" t="str">
        <f t="shared" si="152"/>
        <v/>
      </c>
    </row>
    <row r="8328" spans="1:1" x14ac:dyDescent="0.25">
      <c r="A8328" t="str">
        <f t="shared" si="152"/>
        <v/>
      </c>
    </row>
    <row r="8329" spans="1:1" x14ac:dyDescent="0.25">
      <c r="A8329" t="str">
        <f t="shared" si="152"/>
        <v/>
      </c>
    </row>
    <row r="8330" spans="1:1" x14ac:dyDescent="0.25">
      <c r="A8330" t="str">
        <f t="shared" si="152"/>
        <v/>
      </c>
    </row>
    <row r="8331" spans="1:1" x14ac:dyDescent="0.25">
      <c r="A8331" t="str">
        <f t="shared" si="152"/>
        <v/>
      </c>
    </row>
    <row r="8332" spans="1:1" x14ac:dyDescent="0.25">
      <c r="A8332" t="str">
        <f t="shared" si="152"/>
        <v/>
      </c>
    </row>
    <row r="8333" spans="1:1" x14ac:dyDescent="0.25">
      <c r="A8333" t="str">
        <f t="shared" si="152"/>
        <v/>
      </c>
    </row>
    <row r="8334" spans="1:1" x14ac:dyDescent="0.25">
      <c r="A8334" t="str">
        <f t="shared" si="152"/>
        <v/>
      </c>
    </row>
    <row r="8335" spans="1:1" x14ac:dyDescent="0.25">
      <c r="A8335" t="str">
        <f t="shared" si="152"/>
        <v/>
      </c>
    </row>
    <row r="8336" spans="1:1" x14ac:dyDescent="0.25">
      <c r="A8336" t="str">
        <f t="shared" si="152"/>
        <v/>
      </c>
    </row>
    <row r="8337" spans="1:1" x14ac:dyDescent="0.25">
      <c r="A8337" t="str">
        <f t="shared" si="152"/>
        <v/>
      </c>
    </row>
    <row r="8338" spans="1:1" x14ac:dyDescent="0.25">
      <c r="A8338" t="str">
        <f t="shared" si="152"/>
        <v/>
      </c>
    </row>
    <row r="8339" spans="1:1" x14ac:dyDescent="0.25">
      <c r="A8339" t="str">
        <f t="shared" si="152"/>
        <v/>
      </c>
    </row>
    <row r="8340" spans="1:1" x14ac:dyDescent="0.25">
      <c r="A8340" t="str">
        <f t="shared" si="152"/>
        <v/>
      </c>
    </row>
    <row r="8341" spans="1:1" x14ac:dyDescent="0.25">
      <c r="A8341" t="str">
        <f t="shared" si="152"/>
        <v/>
      </c>
    </row>
    <row r="8342" spans="1:1" x14ac:dyDescent="0.25">
      <c r="A8342" t="str">
        <f t="shared" si="152"/>
        <v/>
      </c>
    </row>
    <row r="8343" spans="1:1" x14ac:dyDescent="0.25">
      <c r="A8343" t="str">
        <f t="shared" si="152"/>
        <v/>
      </c>
    </row>
    <row r="8344" spans="1:1" x14ac:dyDescent="0.25">
      <c r="A8344" t="str">
        <f t="shared" si="152"/>
        <v/>
      </c>
    </row>
    <row r="8345" spans="1:1" x14ac:dyDescent="0.25">
      <c r="A8345" t="str">
        <f t="shared" si="152"/>
        <v/>
      </c>
    </row>
    <row r="8346" spans="1:1" x14ac:dyDescent="0.25">
      <c r="A8346" t="str">
        <f t="shared" si="152"/>
        <v/>
      </c>
    </row>
    <row r="8347" spans="1:1" x14ac:dyDescent="0.25">
      <c r="A8347" t="str">
        <f t="shared" si="152"/>
        <v/>
      </c>
    </row>
    <row r="8348" spans="1:1" x14ac:dyDescent="0.25">
      <c r="A8348" t="str">
        <f t="shared" si="152"/>
        <v/>
      </c>
    </row>
    <row r="8349" spans="1:1" x14ac:dyDescent="0.25">
      <c r="A8349" t="str">
        <f t="shared" si="152"/>
        <v/>
      </c>
    </row>
    <row r="8350" spans="1:1" x14ac:dyDescent="0.25">
      <c r="A8350" t="str">
        <f t="shared" si="152"/>
        <v/>
      </c>
    </row>
    <row r="8351" spans="1:1" x14ac:dyDescent="0.25">
      <c r="A8351" t="str">
        <f t="shared" si="152"/>
        <v/>
      </c>
    </row>
    <row r="8352" spans="1:1" x14ac:dyDescent="0.25">
      <c r="A8352" t="str">
        <f t="shared" si="152"/>
        <v/>
      </c>
    </row>
    <row r="8353" spans="1:1" x14ac:dyDescent="0.25">
      <c r="A8353" t="str">
        <f t="shared" si="152"/>
        <v/>
      </c>
    </row>
    <row r="8354" spans="1:1" x14ac:dyDescent="0.25">
      <c r="A8354" t="str">
        <f t="shared" si="152"/>
        <v/>
      </c>
    </row>
    <row r="8355" spans="1:1" x14ac:dyDescent="0.25">
      <c r="A8355" t="str">
        <f t="shared" si="152"/>
        <v/>
      </c>
    </row>
    <row r="8356" spans="1:1" x14ac:dyDescent="0.25">
      <c r="A8356" t="str">
        <f t="shared" si="152"/>
        <v/>
      </c>
    </row>
    <row r="8357" spans="1:1" x14ac:dyDescent="0.25">
      <c r="A8357" t="str">
        <f t="shared" si="152"/>
        <v/>
      </c>
    </row>
    <row r="8358" spans="1:1" x14ac:dyDescent="0.25">
      <c r="A8358" t="str">
        <f t="shared" si="152"/>
        <v/>
      </c>
    </row>
    <row r="8359" spans="1:1" x14ac:dyDescent="0.25">
      <c r="A8359" t="str">
        <f t="shared" si="152"/>
        <v/>
      </c>
    </row>
    <row r="8360" spans="1:1" x14ac:dyDescent="0.25">
      <c r="A8360" t="str">
        <f t="shared" si="152"/>
        <v/>
      </c>
    </row>
    <row r="8361" spans="1:1" x14ac:dyDescent="0.25">
      <c r="A8361" t="str">
        <f t="shared" si="152"/>
        <v/>
      </c>
    </row>
    <row r="8362" spans="1:1" x14ac:dyDescent="0.25">
      <c r="A8362" t="str">
        <f t="shared" si="152"/>
        <v/>
      </c>
    </row>
    <row r="8363" spans="1:1" x14ac:dyDescent="0.25">
      <c r="A8363" t="str">
        <f t="shared" si="152"/>
        <v/>
      </c>
    </row>
    <row r="8364" spans="1:1" x14ac:dyDescent="0.25">
      <c r="A8364" t="str">
        <f t="shared" si="152"/>
        <v/>
      </c>
    </row>
    <row r="8365" spans="1:1" x14ac:dyDescent="0.25">
      <c r="A8365" t="str">
        <f t="shared" si="152"/>
        <v/>
      </c>
    </row>
    <row r="8366" spans="1:1" x14ac:dyDescent="0.25">
      <c r="A8366" t="str">
        <f t="shared" si="152"/>
        <v/>
      </c>
    </row>
    <row r="8367" spans="1:1" x14ac:dyDescent="0.25">
      <c r="A8367" t="str">
        <f t="shared" si="152"/>
        <v/>
      </c>
    </row>
    <row r="8368" spans="1:1" x14ac:dyDescent="0.25">
      <c r="A8368" t="str">
        <f t="shared" si="152"/>
        <v/>
      </c>
    </row>
    <row r="8369" spans="1:1" x14ac:dyDescent="0.25">
      <c r="A8369" t="str">
        <f t="shared" si="152"/>
        <v/>
      </c>
    </row>
    <row r="8370" spans="1:1" x14ac:dyDescent="0.25">
      <c r="A8370" t="str">
        <f t="shared" si="152"/>
        <v/>
      </c>
    </row>
    <row r="8371" spans="1:1" x14ac:dyDescent="0.25">
      <c r="A8371" t="str">
        <f t="shared" si="152"/>
        <v/>
      </c>
    </row>
    <row r="8372" spans="1:1" x14ac:dyDescent="0.25">
      <c r="A8372" t="str">
        <f t="shared" si="152"/>
        <v/>
      </c>
    </row>
    <row r="8373" spans="1:1" x14ac:dyDescent="0.25">
      <c r="A8373" t="str">
        <f t="shared" si="152"/>
        <v/>
      </c>
    </row>
    <row r="8374" spans="1:1" x14ac:dyDescent="0.25">
      <c r="A8374" t="str">
        <f t="shared" si="152"/>
        <v/>
      </c>
    </row>
    <row r="8375" spans="1:1" x14ac:dyDescent="0.25">
      <c r="A8375" t="str">
        <f t="shared" si="152"/>
        <v/>
      </c>
    </row>
    <row r="8376" spans="1:1" x14ac:dyDescent="0.25">
      <c r="A8376" t="str">
        <f t="shared" si="152"/>
        <v/>
      </c>
    </row>
    <row r="8377" spans="1:1" x14ac:dyDescent="0.25">
      <c r="A8377" t="str">
        <f t="shared" si="152"/>
        <v/>
      </c>
    </row>
    <row r="8378" spans="1:1" x14ac:dyDescent="0.25">
      <c r="A8378" t="str">
        <f t="shared" si="152"/>
        <v/>
      </c>
    </row>
    <row r="8379" spans="1:1" x14ac:dyDescent="0.25">
      <c r="A8379" t="str">
        <f t="shared" si="152"/>
        <v/>
      </c>
    </row>
    <row r="8380" spans="1:1" x14ac:dyDescent="0.25">
      <c r="A8380" t="str">
        <f t="shared" si="152"/>
        <v/>
      </c>
    </row>
    <row r="8381" spans="1:1" x14ac:dyDescent="0.25">
      <c r="A8381" t="str">
        <f t="shared" si="152"/>
        <v/>
      </c>
    </row>
    <row r="8382" spans="1:1" x14ac:dyDescent="0.25">
      <c r="A8382" t="str">
        <f t="shared" si="152"/>
        <v/>
      </c>
    </row>
    <row r="8383" spans="1:1" x14ac:dyDescent="0.25">
      <c r="A8383" t="str">
        <f t="shared" si="152"/>
        <v/>
      </c>
    </row>
    <row r="8384" spans="1:1" x14ac:dyDescent="0.25">
      <c r="A8384" t="str">
        <f t="shared" si="152"/>
        <v/>
      </c>
    </row>
    <row r="8385" spans="1:1" x14ac:dyDescent="0.25">
      <c r="A8385" t="str">
        <f t="shared" ref="A8385:A8448" si="153">E8385&amp;C8385&amp;D8385</f>
        <v/>
      </c>
    </row>
    <row r="8386" spans="1:1" x14ac:dyDescent="0.25">
      <c r="A8386" t="str">
        <f t="shared" si="153"/>
        <v/>
      </c>
    </row>
    <row r="8387" spans="1:1" x14ac:dyDescent="0.25">
      <c r="A8387" t="str">
        <f t="shared" si="153"/>
        <v/>
      </c>
    </row>
    <row r="8388" spans="1:1" x14ac:dyDescent="0.25">
      <c r="A8388" t="str">
        <f t="shared" si="153"/>
        <v/>
      </c>
    </row>
    <row r="8389" spans="1:1" x14ac:dyDescent="0.25">
      <c r="A8389" t="str">
        <f t="shared" si="153"/>
        <v/>
      </c>
    </row>
    <row r="8390" spans="1:1" x14ac:dyDescent="0.25">
      <c r="A8390" t="str">
        <f t="shared" si="153"/>
        <v/>
      </c>
    </row>
    <row r="8391" spans="1:1" x14ac:dyDescent="0.25">
      <c r="A8391" t="str">
        <f t="shared" si="153"/>
        <v/>
      </c>
    </row>
    <row r="8392" spans="1:1" x14ac:dyDescent="0.25">
      <c r="A8392" t="str">
        <f t="shared" si="153"/>
        <v/>
      </c>
    </row>
    <row r="8393" spans="1:1" x14ac:dyDescent="0.25">
      <c r="A8393" t="str">
        <f t="shared" si="153"/>
        <v/>
      </c>
    </row>
    <row r="8394" spans="1:1" x14ac:dyDescent="0.25">
      <c r="A8394" t="str">
        <f t="shared" si="153"/>
        <v/>
      </c>
    </row>
    <row r="8395" spans="1:1" x14ac:dyDescent="0.25">
      <c r="A8395" t="str">
        <f t="shared" si="153"/>
        <v/>
      </c>
    </row>
    <row r="8396" spans="1:1" x14ac:dyDescent="0.25">
      <c r="A8396" t="str">
        <f t="shared" si="153"/>
        <v/>
      </c>
    </row>
    <row r="8397" spans="1:1" x14ac:dyDescent="0.25">
      <c r="A8397" t="str">
        <f t="shared" si="153"/>
        <v/>
      </c>
    </row>
    <row r="8398" spans="1:1" x14ac:dyDescent="0.25">
      <c r="A8398" t="str">
        <f t="shared" si="153"/>
        <v/>
      </c>
    </row>
    <row r="8399" spans="1:1" x14ac:dyDescent="0.25">
      <c r="A8399" t="str">
        <f t="shared" si="153"/>
        <v/>
      </c>
    </row>
    <row r="8400" spans="1:1" x14ac:dyDescent="0.25">
      <c r="A8400" t="str">
        <f t="shared" si="153"/>
        <v/>
      </c>
    </row>
    <row r="8401" spans="1:1" x14ac:dyDescent="0.25">
      <c r="A8401" t="str">
        <f t="shared" si="153"/>
        <v/>
      </c>
    </row>
    <row r="8402" spans="1:1" x14ac:dyDescent="0.25">
      <c r="A8402" t="str">
        <f t="shared" si="153"/>
        <v/>
      </c>
    </row>
    <row r="8403" spans="1:1" x14ac:dyDescent="0.25">
      <c r="A8403" t="str">
        <f t="shared" si="153"/>
        <v/>
      </c>
    </row>
    <row r="8404" spans="1:1" x14ac:dyDescent="0.25">
      <c r="A8404" t="str">
        <f t="shared" si="153"/>
        <v/>
      </c>
    </row>
    <row r="8405" spans="1:1" x14ac:dyDescent="0.25">
      <c r="A8405" t="str">
        <f t="shared" si="153"/>
        <v/>
      </c>
    </row>
    <row r="8406" spans="1:1" x14ac:dyDescent="0.25">
      <c r="A8406" t="str">
        <f t="shared" si="153"/>
        <v/>
      </c>
    </row>
    <row r="8407" spans="1:1" x14ac:dyDescent="0.25">
      <c r="A8407" t="str">
        <f t="shared" si="153"/>
        <v/>
      </c>
    </row>
    <row r="8408" spans="1:1" x14ac:dyDescent="0.25">
      <c r="A8408" t="str">
        <f t="shared" si="153"/>
        <v/>
      </c>
    </row>
    <row r="8409" spans="1:1" x14ac:dyDescent="0.25">
      <c r="A8409" t="str">
        <f t="shared" si="153"/>
        <v/>
      </c>
    </row>
    <row r="8410" spans="1:1" x14ac:dyDescent="0.25">
      <c r="A8410" t="str">
        <f t="shared" si="153"/>
        <v/>
      </c>
    </row>
    <row r="8411" spans="1:1" x14ac:dyDescent="0.25">
      <c r="A8411" t="str">
        <f t="shared" si="153"/>
        <v/>
      </c>
    </row>
    <row r="8412" spans="1:1" x14ac:dyDescent="0.25">
      <c r="A8412" t="str">
        <f t="shared" si="153"/>
        <v/>
      </c>
    </row>
    <row r="8413" spans="1:1" x14ac:dyDescent="0.25">
      <c r="A8413" t="str">
        <f t="shared" si="153"/>
        <v/>
      </c>
    </row>
    <row r="8414" spans="1:1" x14ac:dyDescent="0.25">
      <c r="A8414" t="str">
        <f t="shared" si="153"/>
        <v/>
      </c>
    </row>
    <row r="8415" spans="1:1" x14ac:dyDescent="0.25">
      <c r="A8415" t="str">
        <f t="shared" si="153"/>
        <v/>
      </c>
    </row>
    <row r="8416" spans="1:1" x14ac:dyDescent="0.25">
      <c r="A8416" t="str">
        <f t="shared" si="153"/>
        <v/>
      </c>
    </row>
    <row r="8417" spans="1:1" x14ac:dyDescent="0.25">
      <c r="A8417" t="str">
        <f t="shared" si="153"/>
        <v/>
      </c>
    </row>
    <row r="8418" spans="1:1" x14ac:dyDescent="0.25">
      <c r="A8418" t="str">
        <f t="shared" si="153"/>
        <v/>
      </c>
    </row>
    <row r="8419" spans="1:1" x14ac:dyDescent="0.25">
      <c r="A8419" t="str">
        <f t="shared" si="153"/>
        <v/>
      </c>
    </row>
    <row r="8420" spans="1:1" x14ac:dyDescent="0.25">
      <c r="A8420" t="str">
        <f t="shared" si="153"/>
        <v/>
      </c>
    </row>
    <row r="8421" spans="1:1" x14ac:dyDescent="0.25">
      <c r="A8421" t="str">
        <f t="shared" si="153"/>
        <v/>
      </c>
    </row>
    <row r="8422" spans="1:1" x14ac:dyDescent="0.25">
      <c r="A8422" t="str">
        <f t="shared" si="153"/>
        <v/>
      </c>
    </row>
    <row r="8423" spans="1:1" x14ac:dyDescent="0.25">
      <c r="A8423" t="str">
        <f t="shared" si="153"/>
        <v/>
      </c>
    </row>
    <row r="8424" spans="1:1" x14ac:dyDescent="0.25">
      <c r="A8424" t="str">
        <f t="shared" si="153"/>
        <v/>
      </c>
    </row>
    <row r="8425" spans="1:1" x14ac:dyDescent="0.25">
      <c r="A8425" t="str">
        <f t="shared" si="153"/>
        <v/>
      </c>
    </row>
    <row r="8426" spans="1:1" x14ac:dyDescent="0.25">
      <c r="A8426" t="str">
        <f t="shared" si="153"/>
        <v/>
      </c>
    </row>
    <row r="8427" spans="1:1" x14ac:dyDescent="0.25">
      <c r="A8427" t="str">
        <f t="shared" si="153"/>
        <v/>
      </c>
    </row>
    <row r="8428" spans="1:1" x14ac:dyDescent="0.25">
      <c r="A8428" t="str">
        <f t="shared" si="153"/>
        <v/>
      </c>
    </row>
    <row r="8429" spans="1:1" x14ac:dyDescent="0.25">
      <c r="A8429" t="str">
        <f t="shared" si="153"/>
        <v/>
      </c>
    </row>
    <row r="8430" spans="1:1" x14ac:dyDescent="0.25">
      <c r="A8430" t="str">
        <f t="shared" si="153"/>
        <v/>
      </c>
    </row>
    <row r="8431" spans="1:1" x14ac:dyDescent="0.25">
      <c r="A8431" t="str">
        <f t="shared" si="153"/>
        <v/>
      </c>
    </row>
    <row r="8432" spans="1:1" x14ac:dyDescent="0.25">
      <c r="A8432" t="str">
        <f t="shared" si="153"/>
        <v/>
      </c>
    </row>
    <row r="8433" spans="1:1" x14ac:dyDescent="0.25">
      <c r="A8433" t="str">
        <f t="shared" si="153"/>
        <v/>
      </c>
    </row>
    <row r="8434" spans="1:1" x14ac:dyDescent="0.25">
      <c r="A8434" t="str">
        <f t="shared" si="153"/>
        <v/>
      </c>
    </row>
    <row r="8435" spans="1:1" x14ac:dyDescent="0.25">
      <c r="A8435" t="str">
        <f t="shared" si="153"/>
        <v/>
      </c>
    </row>
    <row r="8436" spans="1:1" x14ac:dyDescent="0.25">
      <c r="A8436" t="str">
        <f t="shared" si="153"/>
        <v/>
      </c>
    </row>
    <row r="8437" spans="1:1" x14ac:dyDescent="0.25">
      <c r="A8437" t="str">
        <f t="shared" si="153"/>
        <v/>
      </c>
    </row>
    <row r="8438" spans="1:1" x14ac:dyDescent="0.25">
      <c r="A8438" t="str">
        <f t="shared" si="153"/>
        <v/>
      </c>
    </row>
    <row r="8439" spans="1:1" x14ac:dyDescent="0.25">
      <c r="A8439" t="str">
        <f t="shared" si="153"/>
        <v/>
      </c>
    </row>
    <row r="8440" spans="1:1" x14ac:dyDescent="0.25">
      <c r="A8440" t="str">
        <f t="shared" si="153"/>
        <v/>
      </c>
    </row>
    <row r="8441" spans="1:1" x14ac:dyDescent="0.25">
      <c r="A8441" t="str">
        <f t="shared" si="153"/>
        <v/>
      </c>
    </row>
    <row r="8442" spans="1:1" x14ac:dyDescent="0.25">
      <c r="A8442" t="str">
        <f t="shared" si="153"/>
        <v/>
      </c>
    </row>
    <row r="8443" spans="1:1" x14ac:dyDescent="0.25">
      <c r="A8443" t="str">
        <f t="shared" si="153"/>
        <v/>
      </c>
    </row>
    <row r="8444" spans="1:1" x14ac:dyDescent="0.25">
      <c r="A8444" t="str">
        <f t="shared" si="153"/>
        <v/>
      </c>
    </row>
    <row r="8445" spans="1:1" x14ac:dyDescent="0.25">
      <c r="A8445" t="str">
        <f t="shared" si="153"/>
        <v/>
      </c>
    </row>
    <row r="8446" spans="1:1" x14ac:dyDescent="0.25">
      <c r="A8446" t="str">
        <f t="shared" si="153"/>
        <v/>
      </c>
    </row>
    <row r="8447" spans="1:1" x14ac:dyDescent="0.25">
      <c r="A8447" t="str">
        <f t="shared" si="153"/>
        <v/>
      </c>
    </row>
    <row r="8448" spans="1:1" x14ac:dyDescent="0.25">
      <c r="A8448" t="str">
        <f t="shared" si="153"/>
        <v/>
      </c>
    </row>
    <row r="8449" spans="1:1" x14ac:dyDescent="0.25">
      <c r="A8449" t="str">
        <f t="shared" ref="A8449:A8512" si="154">E8449&amp;C8449&amp;D8449</f>
        <v/>
      </c>
    </row>
    <row r="8450" spans="1:1" x14ac:dyDescent="0.25">
      <c r="A8450" t="str">
        <f t="shared" si="154"/>
        <v/>
      </c>
    </row>
    <row r="8451" spans="1:1" x14ac:dyDescent="0.25">
      <c r="A8451" t="str">
        <f t="shared" si="154"/>
        <v/>
      </c>
    </row>
    <row r="8452" spans="1:1" x14ac:dyDescent="0.25">
      <c r="A8452" t="str">
        <f t="shared" si="154"/>
        <v/>
      </c>
    </row>
    <row r="8453" spans="1:1" x14ac:dyDescent="0.25">
      <c r="A8453" t="str">
        <f t="shared" si="154"/>
        <v/>
      </c>
    </row>
    <row r="8454" spans="1:1" x14ac:dyDescent="0.25">
      <c r="A8454" t="str">
        <f t="shared" si="154"/>
        <v/>
      </c>
    </row>
    <row r="8455" spans="1:1" x14ac:dyDescent="0.25">
      <c r="A8455" t="str">
        <f t="shared" si="154"/>
        <v/>
      </c>
    </row>
    <row r="8456" spans="1:1" x14ac:dyDescent="0.25">
      <c r="A8456" t="str">
        <f t="shared" si="154"/>
        <v/>
      </c>
    </row>
    <row r="8457" spans="1:1" x14ac:dyDescent="0.25">
      <c r="A8457" t="str">
        <f t="shared" si="154"/>
        <v/>
      </c>
    </row>
    <row r="8458" spans="1:1" x14ac:dyDescent="0.25">
      <c r="A8458" t="str">
        <f t="shared" si="154"/>
        <v/>
      </c>
    </row>
    <row r="8459" spans="1:1" x14ac:dyDescent="0.25">
      <c r="A8459" t="str">
        <f t="shared" si="154"/>
        <v/>
      </c>
    </row>
    <row r="8460" spans="1:1" x14ac:dyDescent="0.25">
      <c r="A8460" t="str">
        <f t="shared" si="154"/>
        <v/>
      </c>
    </row>
    <row r="8461" spans="1:1" x14ac:dyDescent="0.25">
      <c r="A8461" t="str">
        <f t="shared" si="154"/>
        <v/>
      </c>
    </row>
    <row r="8462" spans="1:1" x14ac:dyDescent="0.25">
      <c r="A8462" t="str">
        <f t="shared" si="154"/>
        <v/>
      </c>
    </row>
    <row r="8463" spans="1:1" x14ac:dyDescent="0.25">
      <c r="A8463" t="str">
        <f t="shared" si="154"/>
        <v/>
      </c>
    </row>
    <row r="8464" spans="1:1" x14ac:dyDescent="0.25">
      <c r="A8464" t="str">
        <f t="shared" si="154"/>
        <v/>
      </c>
    </row>
    <row r="8465" spans="1:1" x14ac:dyDescent="0.25">
      <c r="A8465" t="str">
        <f t="shared" si="154"/>
        <v/>
      </c>
    </row>
    <row r="8466" spans="1:1" x14ac:dyDescent="0.25">
      <c r="A8466" t="str">
        <f t="shared" si="154"/>
        <v/>
      </c>
    </row>
    <row r="8467" spans="1:1" x14ac:dyDescent="0.25">
      <c r="A8467" t="str">
        <f t="shared" si="154"/>
        <v/>
      </c>
    </row>
    <row r="8468" spans="1:1" x14ac:dyDescent="0.25">
      <c r="A8468" t="str">
        <f t="shared" si="154"/>
        <v/>
      </c>
    </row>
    <row r="8469" spans="1:1" x14ac:dyDescent="0.25">
      <c r="A8469" t="str">
        <f t="shared" si="154"/>
        <v/>
      </c>
    </row>
    <row r="8470" spans="1:1" x14ac:dyDescent="0.25">
      <c r="A8470" t="str">
        <f t="shared" si="154"/>
        <v/>
      </c>
    </row>
    <row r="8471" spans="1:1" x14ac:dyDescent="0.25">
      <c r="A8471" t="str">
        <f t="shared" si="154"/>
        <v/>
      </c>
    </row>
    <row r="8472" spans="1:1" x14ac:dyDescent="0.25">
      <c r="A8472" t="str">
        <f t="shared" si="154"/>
        <v/>
      </c>
    </row>
    <row r="8473" spans="1:1" x14ac:dyDescent="0.25">
      <c r="A8473" t="str">
        <f t="shared" si="154"/>
        <v/>
      </c>
    </row>
    <row r="8474" spans="1:1" x14ac:dyDescent="0.25">
      <c r="A8474" t="str">
        <f t="shared" si="154"/>
        <v/>
      </c>
    </row>
    <row r="8475" spans="1:1" x14ac:dyDescent="0.25">
      <c r="A8475" t="str">
        <f t="shared" si="154"/>
        <v/>
      </c>
    </row>
    <row r="8476" spans="1:1" x14ac:dyDescent="0.25">
      <c r="A8476" t="str">
        <f t="shared" si="154"/>
        <v/>
      </c>
    </row>
    <row r="8477" spans="1:1" x14ac:dyDescent="0.25">
      <c r="A8477" t="str">
        <f t="shared" si="154"/>
        <v/>
      </c>
    </row>
    <row r="8478" spans="1:1" x14ac:dyDescent="0.25">
      <c r="A8478" t="str">
        <f t="shared" si="154"/>
        <v/>
      </c>
    </row>
    <row r="8479" spans="1:1" x14ac:dyDescent="0.25">
      <c r="A8479" t="str">
        <f t="shared" si="154"/>
        <v/>
      </c>
    </row>
    <row r="8480" spans="1:1" x14ac:dyDescent="0.25">
      <c r="A8480" t="str">
        <f t="shared" si="154"/>
        <v/>
      </c>
    </row>
    <row r="8481" spans="1:1" x14ac:dyDescent="0.25">
      <c r="A8481" t="str">
        <f t="shared" si="154"/>
        <v/>
      </c>
    </row>
    <row r="8482" spans="1:1" x14ac:dyDescent="0.25">
      <c r="A8482" t="str">
        <f t="shared" si="154"/>
        <v/>
      </c>
    </row>
    <row r="8483" spans="1:1" x14ac:dyDescent="0.25">
      <c r="A8483" t="str">
        <f t="shared" si="154"/>
        <v/>
      </c>
    </row>
    <row r="8484" spans="1:1" x14ac:dyDescent="0.25">
      <c r="A8484" t="str">
        <f t="shared" si="154"/>
        <v/>
      </c>
    </row>
    <row r="8485" spans="1:1" x14ac:dyDescent="0.25">
      <c r="A8485" t="str">
        <f t="shared" si="154"/>
        <v/>
      </c>
    </row>
    <row r="8486" spans="1:1" x14ac:dyDescent="0.25">
      <c r="A8486" t="str">
        <f t="shared" si="154"/>
        <v/>
      </c>
    </row>
    <row r="8487" spans="1:1" x14ac:dyDescent="0.25">
      <c r="A8487" t="str">
        <f t="shared" si="154"/>
        <v/>
      </c>
    </row>
    <row r="8488" spans="1:1" x14ac:dyDescent="0.25">
      <c r="A8488" t="str">
        <f t="shared" si="154"/>
        <v/>
      </c>
    </row>
    <row r="8489" spans="1:1" x14ac:dyDescent="0.25">
      <c r="A8489" t="str">
        <f t="shared" si="154"/>
        <v/>
      </c>
    </row>
    <row r="8490" spans="1:1" x14ac:dyDescent="0.25">
      <c r="A8490" t="str">
        <f t="shared" si="154"/>
        <v/>
      </c>
    </row>
    <row r="8491" spans="1:1" x14ac:dyDescent="0.25">
      <c r="A8491" t="str">
        <f t="shared" si="154"/>
        <v/>
      </c>
    </row>
    <row r="8492" spans="1:1" x14ac:dyDescent="0.25">
      <c r="A8492" t="str">
        <f t="shared" si="154"/>
        <v/>
      </c>
    </row>
    <row r="8493" spans="1:1" x14ac:dyDescent="0.25">
      <c r="A8493" t="str">
        <f t="shared" si="154"/>
        <v/>
      </c>
    </row>
    <row r="8494" spans="1:1" x14ac:dyDescent="0.25">
      <c r="A8494" t="str">
        <f t="shared" si="154"/>
        <v/>
      </c>
    </row>
    <row r="8495" spans="1:1" x14ac:dyDescent="0.25">
      <c r="A8495" t="str">
        <f t="shared" si="154"/>
        <v/>
      </c>
    </row>
    <row r="8496" spans="1:1" x14ac:dyDescent="0.25">
      <c r="A8496" t="str">
        <f t="shared" si="154"/>
        <v/>
      </c>
    </row>
    <row r="8497" spans="1:1" x14ac:dyDescent="0.25">
      <c r="A8497" t="str">
        <f t="shared" si="154"/>
        <v/>
      </c>
    </row>
    <row r="8498" spans="1:1" x14ac:dyDescent="0.25">
      <c r="A8498" t="str">
        <f t="shared" si="154"/>
        <v/>
      </c>
    </row>
    <row r="8499" spans="1:1" x14ac:dyDescent="0.25">
      <c r="A8499" t="str">
        <f t="shared" si="154"/>
        <v/>
      </c>
    </row>
    <row r="8500" spans="1:1" x14ac:dyDescent="0.25">
      <c r="A8500" t="str">
        <f t="shared" si="154"/>
        <v/>
      </c>
    </row>
    <row r="8501" spans="1:1" x14ac:dyDescent="0.25">
      <c r="A8501" t="str">
        <f t="shared" si="154"/>
        <v/>
      </c>
    </row>
    <row r="8502" spans="1:1" x14ac:dyDescent="0.25">
      <c r="A8502" t="str">
        <f t="shared" si="154"/>
        <v/>
      </c>
    </row>
    <row r="8503" spans="1:1" x14ac:dyDescent="0.25">
      <c r="A8503" t="str">
        <f t="shared" si="154"/>
        <v/>
      </c>
    </row>
    <row r="8504" spans="1:1" x14ac:dyDescent="0.25">
      <c r="A8504" t="str">
        <f t="shared" si="154"/>
        <v/>
      </c>
    </row>
    <row r="8505" spans="1:1" x14ac:dyDescent="0.25">
      <c r="A8505" t="str">
        <f t="shared" si="154"/>
        <v/>
      </c>
    </row>
    <row r="8506" spans="1:1" x14ac:dyDescent="0.25">
      <c r="A8506" t="str">
        <f t="shared" si="154"/>
        <v/>
      </c>
    </row>
    <row r="8507" spans="1:1" x14ac:dyDescent="0.25">
      <c r="A8507" t="str">
        <f t="shared" si="154"/>
        <v/>
      </c>
    </row>
    <row r="8508" spans="1:1" x14ac:dyDescent="0.25">
      <c r="A8508" t="str">
        <f t="shared" si="154"/>
        <v/>
      </c>
    </row>
    <row r="8509" spans="1:1" x14ac:dyDescent="0.25">
      <c r="A8509" t="str">
        <f t="shared" si="154"/>
        <v/>
      </c>
    </row>
    <row r="8510" spans="1:1" x14ac:dyDescent="0.25">
      <c r="A8510" t="str">
        <f t="shared" si="154"/>
        <v/>
      </c>
    </row>
    <row r="8511" spans="1:1" x14ac:dyDescent="0.25">
      <c r="A8511" t="str">
        <f t="shared" si="154"/>
        <v/>
      </c>
    </row>
    <row r="8512" spans="1:1" x14ac:dyDescent="0.25">
      <c r="A8512" t="str">
        <f t="shared" si="154"/>
        <v/>
      </c>
    </row>
    <row r="8513" spans="1:1" x14ac:dyDescent="0.25">
      <c r="A8513" t="str">
        <f t="shared" ref="A8513:A8576" si="155">E8513&amp;C8513&amp;D8513</f>
        <v/>
      </c>
    </row>
    <row r="8514" spans="1:1" x14ac:dyDescent="0.25">
      <c r="A8514" t="str">
        <f t="shared" si="155"/>
        <v/>
      </c>
    </row>
    <row r="8515" spans="1:1" x14ac:dyDescent="0.25">
      <c r="A8515" t="str">
        <f t="shared" si="155"/>
        <v/>
      </c>
    </row>
    <row r="8516" spans="1:1" x14ac:dyDescent="0.25">
      <c r="A8516" t="str">
        <f t="shared" si="155"/>
        <v/>
      </c>
    </row>
    <row r="8517" spans="1:1" x14ac:dyDescent="0.25">
      <c r="A8517" t="str">
        <f t="shared" si="155"/>
        <v/>
      </c>
    </row>
    <row r="8518" spans="1:1" x14ac:dyDescent="0.25">
      <c r="A8518" t="str">
        <f t="shared" si="155"/>
        <v/>
      </c>
    </row>
    <row r="8519" spans="1:1" x14ac:dyDescent="0.25">
      <c r="A8519" t="str">
        <f t="shared" si="155"/>
        <v/>
      </c>
    </row>
    <row r="8520" spans="1:1" x14ac:dyDescent="0.25">
      <c r="A8520" t="str">
        <f t="shared" si="155"/>
        <v/>
      </c>
    </row>
    <row r="8521" spans="1:1" x14ac:dyDescent="0.25">
      <c r="A8521" t="str">
        <f t="shared" si="155"/>
        <v/>
      </c>
    </row>
    <row r="8522" spans="1:1" x14ac:dyDescent="0.25">
      <c r="A8522" t="str">
        <f t="shared" si="155"/>
        <v/>
      </c>
    </row>
    <row r="8523" spans="1:1" x14ac:dyDescent="0.25">
      <c r="A8523" t="str">
        <f t="shared" si="155"/>
        <v/>
      </c>
    </row>
    <row r="8524" spans="1:1" x14ac:dyDescent="0.25">
      <c r="A8524" t="str">
        <f t="shared" si="155"/>
        <v/>
      </c>
    </row>
    <row r="8525" spans="1:1" x14ac:dyDescent="0.25">
      <c r="A8525" t="str">
        <f t="shared" si="155"/>
        <v/>
      </c>
    </row>
    <row r="8526" spans="1:1" x14ac:dyDescent="0.25">
      <c r="A8526" t="str">
        <f t="shared" si="155"/>
        <v/>
      </c>
    </row>
    <row r="8527" spans="1:1" x14ac:dyDescent="0.25">
      <c r="A8527" t="str">
        <f t="shared" si="155"/>
        <v/>
      </c>
    </row>
    <row r="8528" spans="1:1" x14ac:dyDescent="0.25">
      <c r="A8528" t="str">
        <f t="shared" si="155"/>
        <v/>
      </c>
    </row>
    <row r="8529" spans="1:1" x14ac:dyDescent="0.25">
      <c r="A8529" t="str">
        <f t="shared" si="155"/>
        <v/>
      </c>
    </row>
    <row r="8530" spans="1:1" x14ac:dyDescent="0.25">
      <c r="A8530" t="str">
        <f t="shared" si="155"/>
        <v/>
      </c>
    </row>
    <row r="8531" spans="1:1" x14ac:dyDescent="0.25">
      <c r="A8531" t="str">
        <f t="shared" si="155"/>
        <v/>
      </c>
    </row>
    <row r="8532" spans="1:1" x14ac:dyDescent="0.25">
      <c r="A8532" t="str">
        <f t="shared" si="155"/>
        <v/>
      </c>
    </row>
    <row r="8533" spans="1:1" x14ac:dyDescent="0.25">
      <c r="A8533" t="str">
        <f t="shared" si="155"/>
        <v/>
      </c>
    </row>
    <row r="8534" spans="1:1" x14ac:dyDescent="0.25">
      <c r="A8534" t="str">
        <f t="shared" si="155"/>
        <v/>
      </c>
    </row>
    <row r="8535" spans="1:1" x14ac:dyDescent="0.25">
      <c r="A8535" t="str">
        <f t="shared" si="155"/>
        <v/>
      </c>
    </row>
    <row r="8536" spans="1:1" x14ac:dyDescent="0.25">
      <c r="A8536" t="str">
        <f t="shared" si="155"/>
        <v/>
      </c>
    </row>
    <row r="8537" spans="1:1" x14ac:dyDescent="0.25">
      <c r="A8537" t="str">
        <f t="shared" si="155"/>
        <v/>
      </c>
    </row>
    <row r="8538" spans="1:1" x14ac:dyDescent="0.25">
      <c r="A8538" t="str">
        <f t="shared" si="155"/>
        <v/>
      </c>
    </row>
    <row r="8539" spans="1:1" x14ac:dyDescent="0.25">
      <c r="A8539" t="str">
        <f t="shared" si="155"/>
        <v/>
      </c>
    </row>
    <row r="8540" spans="1:1" x14ac:dyDescent="0.25">
      <c r="A8540" t="str">
        <f t="shared" si="155"/>
        <v/>
      </c>
    </row>
    <row r="8541" spans="1:1" x14ac:dyDescent="0.25">
      <c r="A8541" t="str">
        <f t="shared" si="155"/>
        <v/>
      </c>
    </row>
    <row r="8542" spans="1:1" x14ac:dyDescent="0.25">
      <c r="A8542" t="str">
        <f t="shared" si="155"/>
        <v/>
      </c>
    </row>
    <row r="8543" spans="1:1" x14ac:dyDescent="0.25">
      <c r="A8543" t="str">
        <f t="shared" si="155"/>
        <v/>
      </c>
    </row>
    <row r="8544" spans="1:1" x14ac:dyDescent="0.25">
      <c r="A8544" t="str">
        <f t="shared" si="155"/>
        <v/>
      </c>
    </row>
    <row r="8545" spans="1:1" x14ac:dyDescent="0.25">
      <c r="A8545" t="str">
        <f t="shared" si="155"/>
        <v/>
      </c>
    </row>
    <row r="8546" spans="1:1" x14ac:dyDescent="0.25">
      <c r="A8546" t="str">
        <f t="shared" si="155"/>
        <v/>
      </c>
    </row>
    <row r="8547" spans="1:1" x14ac:dyDescent="0.25">
      <c r="A8547" t="str">
        <f t="shared" si="155"/>
        <v/>
      </c>
    </row>
    <row r="8548" spans="1:1" x14ac:dyDescent="0.25">
      <c r="A8548" t="str">
        <f t="shared" si="155"/>
        <v/>
      </c>
    </row>
    <row r="8549" spans="1:1" x14ac:dyDescent="0.25">
      <c r="A8549" t="str">
        <f t="shared" si="155"/>
        <v/>
      </c>
    </row>
    <row r="8550" spans="1:1" x14ac:dyDescent="0.25">
      <c r="A8550" t="str">
        <f t="shared" si="155"/>
        <v/>
      </c>
    </row>
    <row r="8551" spans="1:1" x14ac:dyDescent="0.25">
      <c r="A8551" t="str">
        <f t="shared" si="155"/>
        <v/>
      </c>
    </row>
    <row r="8552" spans="1:1" x14ac:dyDescent="0.25">
      <c r="A8552" t="str">
        <f t="shared" si="155"/>
        <v/>
      </c>
    </row>
    <row r="8553" spans="1:1" x14ac:dyDescent="0.25">
      <c r="A8553" t="str">
        <f t="shared" si="155"/>
        <v/>
      </c>
    </row>
    <row r="8554" spans="1:1" x14ac:dyDescent="0.25">
      <c r="A8554" t="str">
        <f t="shared" si="155"/>
        <v/>
      </c>
    </row>
    <row r="8555" spans="1:1" x14ac:dyDescent="0.25">
      <c r="A8555" t="str">
        <f t="shared" si="155"/>
        <v/>
      </c>
    </row>
    <row r="8556" spans="1:1" x14ac:dyDescent="0.25">
      <c r="A8556" t="str">
        <f t="shared" si="155"/>
        <v/>
      </c>
    </row>
    <row r="8557" spans="1:1" x14ac:dyDescent="0.25">
      <c r="A8557" t="str">
        <f t="shared" si="155"/>
        <v/>
      </c>
    </row>
    <row r="8558" spans="1:1" x14ac:dyDescent="0.25">
      <c r="A8558" t="str">
        <f t="shared" si="155"/>
        <v/>
      </c>
    </row>
    <row r="8559" spans="1:1" x14ac:dyDescent="0.25">
      <c r="A8559" t="str">
        <f t="shared" si="155"/>
        <v/>
      </c>
    </row>
    <row r="8560" spans="1:1" x14ac:dyDescent="0.25">
      <c r="A8560" t="str">
        <f t="shared" si="155"/>
        <v/>
      </c>
    </row>
    <row r="8561" spans="1:1" x14ac:dyDescent="0.25">
      <c r="A8561" t="str">
        <f t="shared" si="155"/>
        <v/>
      </c>
    </row>
    <row r="8562" spans="1:1" x14ac:dyDescent="0.25">
      <c r="A8562" t="str">
        <f t="shared" si="155"/>
        <v/>
      </c>
    </row>
    <row r="8563" spans="1:1" x14ac:dyDescent="0.25">
      <c r="A8563" t="str">
        <f t="shared" si="155"/>
        <v/>
      </c>
    </row>
    <row r="8564" spans="1:1" x14ac:dyDescent="0.25">
      <c r="A8564" t="str">
        <f t="shared" si="155"/>
        <v/>
      </c>
    </row>
    <row r="8565" spans="1:1" x14ac:dyDescent="0.25">
      <c r="A8565" t="str">
        <f t="shared" si="155"/>
        <v/>
      </c>
    </row>
    <row r="8566" spans="1:1" x14ac:dyDescent="0.25">
      <c r="A8566" t="str">
        <f t="shared" si="155"/>
        <v/>
      </c>
    </row>
    <row r="8567" spans="1:1" x14ac:dyDescent="0.25">
      <c r="A8567" t="str">
        <f t="shared" si="155"/>
        <v/>
      </c>
    </row>
    <row r="8568" spans="1:1" x14ac:dyDescent="0.25">
      <c r="A8568" t="str">
        <f t="shared" si="155"/>
        <v/>
      </c>
    </row>
    <row r="8569" spans="1:1" x14ac:dyDescent="0.25">
      <c r="A8569" t="str">
        <f t="shared" si="155"/>
        <v/>
      </c>
    </row>
    <row r="8570" spans="1:1" x14ac:dyDescent="0.25">
      <c r="A8570" t="str">
        <f t="shared" si="155"/>
        <v/>
      </c>
    </row>
    <row r="8571" spans="1:1" x14ac:dyDescent="0.25">
      <c r="A8571" t="str">
        <f t="shared" si="155"/>
        <v/>
      </c>
    </row>
    <row r="8572" spans="1:1" x14ac:dyDescent="0.25">
      <c r="A8572" t="str">
        <f t="shared" si="155"/>
        <v/>
      </c>
    </row>
    <row r="8573" spans="1:1" x14ac:dyDescent="0.25">
      <c r="A8573" t="str">
        <f t="shared" si="155"/>
        <v/>
      </c>
    </row>
    <row r="8574" spans="1:1" x14ac:dyDescent="0.25">
      <c r="A8574" t="str">
        <f t="shared" si="155"/>
        <v/>
      </c>
    </row>
    <row r="8575" spans="1:1" x14ac:dyDescent="0.25">
      <c r="A8575" t="str">
        <f t="shared" si="155"/>
        <v/>
      </c>
    </row>
    <row r="8576" spans="1:1" x14ac:dyDescent="0.25">
      <c r="A8576" t="str">
        <f t="shared" si="155"/>
        <v/>
      </c>
    </row>
    <row r="8577" spans="1:1" x14ac:dyDescent="0.25">
      <c r="A8577" t="str">
        <f t="shared" ref="A8577:A8640" si="156">E8577&amp;C8577&amp;D8577</f>
        <v/>
      </c>
    </row>
    <row r="8578" spans="1:1" x14ac:dyDescent="0.25">
      <c r="A8578" t="str">
        <f t="shared" si="156"/>
        <v/>
      </c>
    </row>
    <row r="8579" spans="1:1" x14ac:dyDescent="0.25">
      <c r="A8579" t="str">
        <f t="shared" si="156"/>
        <v/>
      </c>
    </row>
    <row r="8580" spans="1:1" x14ac:dyDescent="0.25">
      <c r="A8580" t="str">
        <f t="shared" si="156"/>
        <v/>
      </c>
    </row>
    <row r="8581" spans="1:1" x14ac:dyDescent="0.25">
      <c r="A8581" t="str">
        <f t="shared" si="156"/>
        <v/>
      </c>
    </row>
    <row r="8582" spans="1:1" x14ac:dyDescent="0.25">
      <c r="A8582" t="str">
        <f t="shared" si="156"/>
        <v/>
      </c>
    </row>
    <row r="8583" spans="1:1" x14ac:dyDescent="0.25">
      <c r="A8583" t="str">
        <f t="shared" si="156"/>
        <v/>
      </c>
    </row>
    <row r="8584" spans="1:1" x14ac:dyDescent="0.25">
      <c r="A8584" t="str">
        <f t="shared" si="156"/>
        <v/>
      </c>
    </row>
    <row r="8585" spans="1:1" x14ac:dyDescent="0.25">
      <c r="A8585" t="str">
        <f t="shared" si="156"/>
        <v/>
      </c>
    </row>
    <row r="8586" spans="1:1" x14ac:dyDescent="0.25">
      <c r="A8586" t="str">
        <f t="shared" si="156"/>
        <v/>
      </c>
    </row>
    <row r="8587" spans="1:1" x14ac:dyDescent="0.25">
      <c r="A8587" t="str">
        <f t="shared" si="156"/>
        <v/>
      </c>
    </row>
    <row r="8588" spans="1:1" x14ac:dyDescent="0.25">
      <c r="A8588" t="str">
        <f t="shared" si="156"/>
        <v/>
      </c>
    </row>
    <row r="8589" spans="1:1" x14ac:dyDescent="0.25">
      <c r="A8589" t="str">
        <f t="shared" si="156"/>
        <v/>
      </c>
    </row>
    <row r="8590" spans="1:1" x14ac:dyDescent="0.25">
      <c r="A8590" t="str">
        <f t="shared" si="156"/>
        <v/>
      </c>
    </row>
    <row r="8591" spans="1:1" x14ac:dyDescent="0.25">
      <c r="A8591" t="str">
        <f t="shared" si="156"/>
        <v/>
      </c>
    </row>
    <row r="8592" spans="1:1" x14ac:dyDescent="0.25">
      <c r="A8592" t="str">
        <f t="shared" si="156"/>
        <v/>
      </c>
    </row>
    <row r="8593" spans="1:1" x14ac:dyDescent="0.25">
      <c r="A8593" t="str">
        <f t="shared" si="156"/>
        <v/>
      </c>
    </row>
    <row r="8594" spans="1:1" x14ac:dyDescent="0.25">
      <c r="A8594" t="str">
        <f t="shared" si="156"/>
        <v/>
      </c>
    </row>
    <row r="8595" spans="1:1" x14ac:dyDescent="0.25">
      <c r="A8595" t="str">
        <f t="shared" si="156"/>
        <v/>
      </c>
    </row>
    <row r="8596" spans="1:1" x14ac:dyDescent="0.25">
      <c r="A8596" t="str">
        <f t="shared" si="156"/>
        <v/>
      </c>
    </row>
    <row r="8597" spans="1:1" x14ac:dyDescent="0.25">
      <c r="A8597" t="str">
        <f t="shared" si="156"/>
        <v/>
      </c>
    </row>
    <row r="8598" spans="1:1" x14ac:dyDescent="0.25">
      <c r="A8598" t="str">
        <f t="shared" si="156"/>
        <v/>
      </c>
    </row>
    <row r="8599" spans="1:1" x14ac:dyDescent="0.25">
      <c r="A8599" t="str">
        <f t="shared" si="156"/>
        <v/>
      </c>
    </row>
    <row r="8600" spans="1:1" x14ac:dyDescent="0.25">
      <c r="A8600" t="str">
        <f t="shared" si="156"/>
        <v/>
      </c>
    </row>
    <row r="8601" spans="1:1" x14ac:dyDescent="0.25">
      <c r="A8601" t="str">
        <f t="shared" si="156"/>
        <v/>
      </c>
    </row>
    <row r="8602" spans="1:1" x14ac:dyDescent="0.25">
      <c r="A8602" t="str">
        <f t="shared" si="156"/>
        <v/>
      </c>
    </row>
    <row r="8603" spans="1:1" x14ac:dyDescent="0.25">
      <c r="A8603" t="str">
        <f t="shared" si="156"/>
        <v/>
      </c>
    </row>
    <row r="8604" spans="1:1" x14ac:dyDescent="0.25">
      <c r="A8604" t="str">
        <f t="shared" si="156"/>
        <v/>
      </c>
    </row>
    <row r="8605" spans="1:1" x14ac:dyDescent="0.25">
      <c r="A8605" t="str">
        <f t="shared" si="156"/>
        <v/>
      </c>
    </row>
    <row r="8606" spans="1:1" x14ac:dyDescent="0.25">
      <c r="A8606" t="str">
        <f t="shared" si="156"/>
        <v/>
      </c>
    </row>
    <row r="8607" spans="1:1" x14ac:dyDescent="0.25">
      <c r="A8607" t="str">
        <f t="shared" si="156"/>
        <v/>
      </c>
    </row>
    <row r="8608" spans="1:1" x14ac:dyDescent="0.25">
      <c r="A8608" t="str">
        <f t="shared" si="156"/>
        <v/>
      </c>
    </row>
    <row r="8609" spans="1:1" x14ac:dyDescent="0.25">
      <c r="A8609" t="str">
        <f t="shared" si="156"/>
        <v/>
      </c>
    </row>
    <row r="8610" spans="1:1" x14ac:dyDescent="0.25">
      <c r="A8610" t="str">
        <f t="shared" si="156"/>
        <v/>
      </c>
    </row>
    <row r="8611" spans="1:1" x14ac:dyDescent="0.25">
      <c r="A8611" t="str">
        <f t="shared" si="156"/>
        <v/>
      </c>
    </row>
    <row r="8612" spans="1:1" x14ac:dyDescent="0.25">
      <c r="A8612" t="str">
        <f t="shared" si="156"/>
        <v/>
      </c>
    </row>
    <row r="8613" spans="1:1" x14ac:dyDescent="0.25">
      <c r="A8613" t="str">
        <f t="shared" si="156"/>
        <v/>
      </c>
    </row>
    <row r="8614" spans="1:1" x14ac:dyDescent="0.25">
      <c r="A8614" t="str">
        <f t="shared" si="156"/>
        <v/>
      </c>
    </row>
    <row r="8615" spans="1:1" x14ac:dyDescent="0.25">
      <c r="A8615" t="str">
        <f t="shared" si="156"/>
        <v/>
      </c>
    </row>
    <row r="8616" spans="1:1" x14ac:dyDescent="0.25">
      <c r="A8616" t="str">
        <f t="shared" si="156"/>
        <v/>
      </c>
    </row>
    <row r="8617" spans="1:1" x14ac:dyDescent="0.25">
      <c r="A8617" t="str">
        <f t="shared" si="156"/>
        <v/>
      </c>
    </row>
    <row r="8618" spans="1:1" x14ac:dyDescent="0.25">
      <c r="A8618" t="str">
        <f t="shared" si="156"/>
        <v/>
      </c>
    </row>
    <row r="8619" spans="1:1" x14ac:dyDescent="0.25">
      <c r="A8619" t="str">
        <f t="shared" si="156"/>
        <v/>
      </c>
    </row>
    <row r="8620" spans="1:1" x14ac:dyDescent="0.25">
      <c r="A8620" t="str">
        <f t="shared" si="156"/>
        <v/>
      </c>
    </row>
    <row r="8621" spans="1:1" x14ac:dyDescent="0.25">
      <c r="A8621" t="str">
        <f t="shared" si="156"/>
        <v/>
      </c>
    </row>
    <row r="8622" spans="1:1" x14ac:dyDescent="0.25">
      <c r="A8622" t="str">
        <f t="shared" si="156"/>
        <v/>
      </c>
    </row>
    <row r="8623" spans="1:1" x14ac:dyDescent="0.25">
      <c r="A8623" t="str">
        <f t="shared" si="156"/>
        <v/>
      </c>
    </row>
    <row r="8624" spans="1:1" x14ac:dyDescent="0.25">
      <c r="A8624" t="str">
        <f t="shared" si="156"/>
        <v/>
      </c>
    </row>
    <row r="8625" spans="1:1" x14ac:dyDescent="0.25">
      <c r="A8625" t="str">
        <f t="shared" si="156"/>
        <v/>
      </c>
    </row>
    <row r="8626" spans="1:1" x14ac:dyDescent="0.25">
      <c r="A8626" t="str">
        <f t="shared" si="156"/>
        <v/>
      </c>
    </row>
    <row r="8627" spans="1:1" x14ac:dyDescent="0.25">
      <c r="A8627" t="str">
        <f t="shared" si="156"/>
        <v/>
      </c>
    </row>
    <row r="8628" spans="1:1" x14ac:dyDescent="0.25">
      <c r="A8628" t="str">
        <f t="shared" si="156"/>
        <v/>
      </c>
    </row>
    <row r="8629" spans="1:1" x14ac:dyDescent="0.25">
      <c r="A8629" t="str">
        <f t="shared" si="156"/>
        <v/>
      </c>
    </row>
    <row r="8630" spans="1:1" x14ac:dyDescent="0.25">
      <c r="A8630" t="str">
        <f t="shared" si="156"/>
        <v/>
      </c>
    </row>
    <row r="8631" spans="1:1" x14ac:dyDescent="0.25">
      <c r="A8631" t="str">
        <f t="shared" si="156"/>
        <v/>
      </c>
    </row>
    <row r="8632" spans="1:1" x14ac:dyDescent="0.25">
      <c r="A8632" t="str">
        <f t="shared" si="156"/>
        <v/>
      </c>
    </row>
    <row r="8633" spans="1:1" x14ac:dyDescent="0.25">
      <c r="A8633" t="str">
        <f t="shared" si="156"/>
        <v/>
      </c>
    </row>
    <row r="8634" spans="1:1" x14ac:dyDescent="0.25">
      <c r="A8634" t="str">
        <f t="shared" si="156"/>
        <v/>
      </c>
    </row>
    <row r="8635" spans="1:1" x14ac:dyDescent="0.25">
      <c r="A8635" t="str">
        <f t="shared" si="156"/>
        <v/>
      </c>
    </row>
    <row r="8636" spans="1:1" x14ac:dyDescent="0.25">
      <c r="A8636" t="str">
        <f t="shared" si="156"/>
        <v/>
      </c>
    </row>
    <row r="8637" spans="1:1" x14ac:dyDescent="0.25">
      <c r="A8637" t="str">
        <f t="shared" si="156"/>
        <v/>
      </c>
    </row>
    <row r="8638" spans="1:1" x14ac:dyDescent="0.25">
      <c r="A8638" t="str">
        <f t="shared" si="156"/>
        <v/>
      </c>
    </row>
    <row r="8639" spans="1:1" x14ac:dyDescent="0.25">
      <c r="A8639" t="str">
        <f t="shared" si="156"/>
        <v/>
      </c>
    </row>
    <row r="8640" spans="1:1" x14ac:dyDescent="0.25">
      <c r="A8640" t="str">
        <f t="shared" si="156"/>
        <v/>
      </c>
    </row>
    <row r="8641" spans="1:1" x14ac:dyDescent="0.25">
      <c r="A8641" t="str">
        <f t="shared" ref="A8641:A8704" si="157">E8641&amp;C8641&amp;D8641</f>
        <v/>
      </c>
    </row>
    <row r="8642" spans="1:1" x14ac:dyDescent="0.25">
      <c r="A8642" t="str">
        <f t="shared" si="157"/>
        <v/>
      </c>
    </row>
    <row r="8643" spans="1:1" x14ac:dyDescent="0.25">
      <c r="A8643" t="str">
        <f t="shared" si="157"/>
        <v/>
      </c>
    </row>
    <row r="8644" spans="1:1" x14ac:dyDescent="0.25">
      <c r="A8644" t="str">
        <f t="shared" si="157"/>
        <v/>
      </c>
    </row>
    <row r="8645" spans="1:1" x14ac:dyDescent="0.25">
      <c r="A8645" t="str">
        <f t="shared" si="157"/>
        <v/>
      </c>
    </row>
    <row r="8646" spans="1:1" x14ac:dyDescent="0.25">
      <c r="A8646" t="str">
        <f t="shared" si="157"/>
        <v/>
      </c>
    </row>
    <row r="8647" spans="1:1" x14ac:dyDescent="0.25">
      <c r="A8647" t="str">
        <f t="shared" si="157"/>
        <v/>
      </c>
    </row>
    <row r="8648" spans="1:1" x14ac:dyDescent="0.25">
      <c r="A8648" t="str">
        <f t="shared" si="157"/>
        <v/>
      </c>
    </row>
    <row r="8649" spans="1:1" x14ac:dyDescent="0.25">
      <c r="A8649" t="str">
        <f t="shared" si="157"/>
        <v/>
      </c>
    </row>
    <row r="8650" spans="1:1" x14ac:dyDescent="0.25">
      <c r="A8650" t="str">
        <f t="shared" si="157"/>
        <v/>
      </c>
    </row>
    <row r="8651" spans="1:1" x14ac:dyDescent="0.25">
      <c r="A8651" t="str">
        <f t="shared" si="157"/>
        <v/>
      </c>
    </row>
    <row r="8652" spans="1:1" x14ac:dyDescent="0.25">
      <c r="A8652" t="str">
        <f t="shared" si="157"/>
        <v/>
      </c>
    </row>
    <row r="8653" spans="1:1" x14ac:dyDescent="0.25">
      <c r="A8653" t="str">
        <f t="shared" si="157"/>
        <v/>
      </c>
    </row>
    <row r="8654" spans="1:1" x14ac:dyDescent="0.25">
      <c r="A8654" t="str">
        <f t="shared" si="157"/>
        <v/>
      </c>
    </row>
    <row r="8655" spans="1:1" x14ac:dyDescent="0.25">
      <c r="A8655" t="str">
        <f t="shared" si="157"/>
        <v/>
      </c>
    </row>
    <row r="8656" spans="1:1" x14ac:dyDescent="0.25">
      <c r="A8656" t="str">
        <f t="shared" si="157"/>
        <v/>
      </c>
    </row>
    <row r="8657" spans="1:1" x14ac:dyDescent="0.25">
      <c r="A8657" t="str">
        <f t="shared" si="157"/>
        <v/>
      </c>
    </row>
    <row r="8658" spans="1:1" x14ac:dyDescent="0.25">
      <c r="A8658" t="str">
        <f t="shared" si="157"/>
        <v/>
      </c>
    </row>
    <row r="8659" spans="1:1" x14ac:dyDescent="0.25">
      <c r="A8659" t="str">
        <f t="shared" si="157"/>
        <v/>
      </c>
    </row>
    <row r="8660" spans="1:1" x14ac:dyDescent="0.25">
      <c r="A8660" t="str">
        <f t="shared" si="157"/>
        <v/>
      </c>
    </row>
    <row r="8661" spans="1:1" x14ac:dyDescent="0.25">
      <c r="A8661" t="str">
        <f t="shared" si="157"/>
        <v/>
      </c>
    </row>
    <row r="8662" spans="1:1" x14ac:dyDescent="0.25">
      <c r="A8662" t="str">
        <f t="shared" si="157"/>
        <v/>
      </c>
    </row>
    <row r="8663" spans="1:1" x14ac:dyDescent="0.25">
      <c r="A8663" t="str">
        <f t="shared" si="157"/>
        <v/>
      </c>
    </row>
    <row r="8664" spans="1:1" x14ac:dyDescent="0.25">
      <c r="A8664" t="str">
        <f t="shared" si="157"/>
        <v/>
      </c>
    </row>
    <row r="8665" spans="1:1" x14ac:dyDescent="0.25">
      <c r="A8665" t="str">
        <f t="shared" si="157"/>
        <v/>
      </c>
    </row>
    <row r="8666" spans="1:1" x14ac:dyDescent="0.25">
      <c r="A8666" t="str">
        <f t="shared" si="157"/>
        <v/>
      </c>
    </row>
    <row r="8667" spans="1:1" x14ac:dyDescent="0.25">
      <c r="A8667" t="str">
        <f t="shared" si="157"/>
        <v/>
      </c>
    </row>
    <row r="8668" spans="1:1" x14ac:dyDescent="0.25">
      <c r="A8668" t="str">
        <f t="shared" si="157"/>
        <v/>
      </c>
    </row>
    <row r="8669" spans="1:1" x14ac:dyDescent="0.25">
      <c r="A8669" t="str">
        <f t="shared" si="157"/>
        <v/>
      </c>
    </row>
    <row r="8670" spans="1:1" x14ac:dyDescent="0.25">
      <c r="A8670" t="str">
        <f t="shared" si="157"/>
        <v/>
      </c>
    </row>
    <row r="8671" spans="1:1" x14ac:dyDescent="0.25">
      <c r="A8671" t="str">
        <f t="shared" si="157"/>
        <v/>
      </c>
    </row>
    <row r="8672" spans="1:1" x14ac:dyDescent="0.25">
      <c r="A8672" t="str">
        <f t="shared" si="157"/>
        <v/>
      </c>
    </row>
    <row r="8673" spans="1:1" x14ac:dyDescent="0.25">
      <c r="A8673" t="str">
        <f t="shared" si="157"/>
        <v/>
      </c>
    </row>
    <row r="8674" spans="1:1" x14ac:dyDescent="0.25">
      <c r="A8674" t="str">
        <f t="shared" si="157"/>
        <v/>
      </c>
    </row>
    <row r="8675" spans="1:1" x14ac:dyDescent="0.25">
      <c r="A8675" t="str">
        <f t="shared" si="157"/>
        <v/>
      </c>
    </row>
    <row r="8676" spans="1:1" x14ac:dyDescent="0.25">
      <c r="A8676" t="str">
        <f t="shared" si="157"/>
        <v/>
      </c>
    </row>
    <row r="8677" spans="1:1" x14ac:dyDescent="0.25">
      <c r="A8677" t="str">
        <f t="shared" si="157"/>
        <v/>
      </c>
    </row>
    <row r="8678" spans="1:1" x14ac:dyDescent="0.25">
      <c r="A8678" t="str">
        <f t="shared" si="157"/>
        <v/>
      </c>
    </row>
    <row r="8679" spans="1:1" x14ac:dyDescent="0.25">
      <c r="A8679" t="str">
        <f t="shared" si="157"/>
        <v/>
      </c>
    </row>
    <row r="8680" spans="1:1" x14ac:dyDescent="0.25">
      <c r="A8680" t="str">
        <f t="shared" si="157"/>
        <v/>
      </c>
    </row>
    <row r="8681" spans="1:1" x14ac:dyDescent="0.25">
      <c r="A8681" t="str">
        <f t="shared" si="157"/>
        <v/>
      </c>
    </row>
    <row r="8682" spans="1:1" x14ac:dyDescent="0.25">
      <c r="A8682" t="str">
        <f t="shared" si="157"/>
        <v/>
      </c>
    </row>
    <row r="8683" spans="1:1" x14ac:dyDescent="0.25">
      <c r="A8683" t="str">
        <f t="shared" si="157"/>
        <v/>
      </c>
    </row>
    <row r="8684" spans="1:1" x14ac:dyDescent="0.25">
      <c r="A8684" t="str">
        <f t="shared" si="157"/>
        <v/>
      </c>
    </row>
    <row r="8685" spans="1:1" x14ac:dyDescent="0.25">
      <c r="A8685" t="str">
        <f t="shared" si="157"/>
        <v/>
      </c>
    </row>
    <row r="8686" spans="1:1" x14ac:dyDescent="0.25">
      <c r="A8686" t="str">
        <f t="shared" si="157"/>
        <v/>
      </c>
    </row>
    <row r="8687" spans="1:1" x14ac:dyDescent="0.25">
      <c r="A8687" t="str">
        <f t="shared" si="157"/>
        <v/>
      </c>
    </row>
    <row r="8688" spans="1:1" x14ac:dyDescent="0.25">
      <c r="A8688" t="str">
        <f t="shared" si="157"/>
        <v/>
      </c>
    </row>
    <row r="8689" spans="1:1" x14ac:dyDescent="0.25">
      <c r="A8689" t="str">
        <f t="shared" si="157"/>
        <v/>
      </c>
    </row>
    <row r="8690" spans="1:1" x14ac:dyDescent="0.25">
      <c r="A8690" t="str">
        <f t="shared" si="157"/>
        <v/>
      </c>
    </row>
    <row r="8691" spans="1:1" x14ac:dyDescent="0.25">
      <c r="A8691" t="str">
        <f t="shared" si="157"/>
        <v/>
      </c>
    </row>
    <row r="8692" spans="1:1" x14ac:dyDescent="0.25">
      <c r="A8692" t="str">
        <f t="shared" si="157"/>
        <v/>
      </c>
    </row>
    <row r="8693" spans="1:1" x14ac:dyDescent="0.25">
      <c r="A8693" t="str">
        <f t="shared" si="157"/>
        <v/>
      </c>
    </row>
    <row r="8694" spans="1:1" x14ac:dyDescent="0.25">
      <c r="A8694" t="str">
        <f t="shared" si="157"/>
        <v/>
      </c>
    </row>
    <row r="8695" spans="1:1" x14ac:dyDescent="0.25">
      <c r="A8695" t="str">
        <f t="shared" si="157"/>
        <v/>
      </c>
    </row>
    <row r="8696" spans="1:1" x14ac:dyDescent="0.25">
      <c r="A8696" t="str">
        <f t="shared" si="157"/>
        <v/>
      </c>
    </row>
    <row r="8697" spans="1:1" x14ac:dyDescent="0.25">
      <c r="A8697" t="str">
        <f t="shared" si="157"/>
        <v/>
      </c>
    </row>
    <row r="8698" spans="1:1" x14ac:dyDescent="0.25">
      <c r="A8698" t="str">
        <f t="shared" si="157"/>
        <v/>
      </c>
    </row>
    <row r="8699" spans="1:1" x14ac:dyDescent="0.25">
      <c r="A8699" t="str">
        <f t="shared" si="157"/>
        <v/>
      </c>
    </row>
    <row r="8700" spans="1:1" x14ac:dyDescent="0.25">
      <c r="A8700" t="str">
        <f t="shared" si="157"/>
        <v/>
      </c>
    </row>
    <row r="8701" spans="1:1" x14ac:dyDescent="0.25">
      <c r="A8701" t="str">
        <f t="shared" si="157"/>
        <v/>
      </c>
    </row>
    <row r="8702" spans="1:1" x14ac:dyDescent="0.25">
      <c r="A8702" t="str">
        <f t="shared" si="157"/>
        <v/>
      </c>
    </row>
    <row r="8703" spans="1:1" x14ac:dyDescent="0.25">
      <c r="A8703" t="str">
        <f t="shared" si="157"/>
        <v/>
      </c>
    </row>
    <row r="8704" spans="1:1" x14ac:dyDescent="0.25">
      <c r="A8704" t="str">
        <f t="shared" si="157"/>
        <v/>
      </c>
    </row>
    <row r="8705" spans="1:1" x14ac:dyDescent="0.25">
      <c r="A8705" t="str">
        <f t="shared" ref="A8705:A8768" si="158">E8705&amp;C8705&amp;D8705</f>
        <v/>
      </c>
    </row>
    <row r="8706" spans="1:1" x14ac:dyDescent="0.25">
      <c r="A8706" t="str">
        <f t="shared" si="158"/>
        <v/>
      </c>
    </row>
    <row r="8707" spans="1:1" x14ac:dyDescent="0.25">
      <c r="A8707" t="str">
        <f t="shared" si="158"/>
        <v/>
      </c>
    </row>
    <row r="8708" spans="1:1" x14ac:dyDescent="0.25">
      <c r="A8708" t="str">
        <f t="shared" si="158"/>
        <v/>
      </c>
    </row>
    <row r="8709" spans="1:1" x14ac:dyDescent="0.25">
      <c r="A8709" t="str">
        <f t="shared" si="158"/>
        <v/>
      </c>
    </row>
    <row r="8710" spans="1:1" x14ac:dyDescent="0.25">
      <c r="A8710" t="str">
        <f t="shared" si="158"/>
        <v/>
      </c>
    </row>
    <row r="8711" spans="1:1" x14ac:dyDescent="0.25">
      <c r="A8711" t="str">
        <f t="shared" si="158"/>
        <v/>
      </c>
    </row>
    <row r="8712" spans="1:1" x14ac:dyDescent="0.25">
      <c r="A8712" t="str">
        <f t="shared" si="158"/>
        <v/>
      </c>
    </row>
    <row r="8713" spans="1:1" x14ac:dyDescent="0.25">
      <c r="A8713" t="str">
        <f t="shared" si="158"/>
        <v/>
      </c>
    </row>
    <row r="8714" spans="1:1" x14ac:dyDescent="0.25">
      <c r="A8714" t="str">
        <f t="shared" si="158"/>
        <v/>
      </c>
    </row>
    <row r="8715" spans="1:1" x14ac:dyDescent="0.25">
      <c r="A8715" t="str">
        <f t="shared" si="158"/>
        <v/>
      </c>
    </row>
    <row r="8716" spans="1:1" x14ac:dyDescent="0.25">
      <c r="A8716" t="str">
        <f t="shared" si="158"/>
        <v/>
      </c>
    </row>
    <row r="8717" spans="1:1" x14ac:dyDescent="0.25">
      <c r="A8717" t="str">
        <f t="shared" si="158"/>
        <v/>
      </c>
    </row>
    <row r="8718" spans="1:1" x14ac:dyDescent="0.25">
      <c r="A8718" t="str">
        <f t="shared" si="158"/>
        <v/>
      </c>
    </row>
    <row r="8719" spans="1:1" x14ac:dyDescent="0.25">
      <c r="A8719" t="str">
        <f t="shared" si="158"/>
        <v/>
      </c>
    </row>
    <row r="8720" spans="1:1" x14ac:dyDescent="0.25">
      <c r="A8720" t="str">
        <f t="shared" si="158"/>
        <v/>
      </c>
    </row>
    <row r="8721" spans="1:1" x14ac:dyDescent="0.25">
      <c r="A8721" t="str">
        <f t="shared" si="158"/>
        <v/>
      </c>
    </row>
    <row r="8722" spans="1:1" x14ac:dyDescent="0.25">
      <c r="A8722" t="str">
        <f t="shared" si="158"/>
        <v/>
      </c>
    </row>
    <row r="8723" spans="1:1" x14ac:dyDescent="0.25">
      <c r="A8723" t="str">
        <f t="shared" si="158"/>
        <v/>
      </c>
    </row>
    <row r="8724" spans="1:1" x14ac:dyDescent="0.25">
      <c r="A8724" t="str">
        <f t="shared" si="158"/>
        <v/>
      </c>
    </row>
    <row r="8725" spans="1:1" x14ac:dyDescent="0.25">
      <c r="A8725" t="str">
        <f t="shared" si="158"/>
        <v/>
      </c>
    </row>
    <row r="8726" spans="1:1" x14ac:dyDescent="0.25">
      <c r="A8726" t="str">
        <f t="shared" si="158"/>
        <v/>
      </c>
    </row>
    <row r="8727" spans="1:1" x14ac:dyDescent="0.25">
      <c r="A8727" t="str">
        <f t="shared" si="158"/>
        <v/>
      </c>
    </row>
    <row r="8728" spans="1:1" x14ac:dyDescent="0.25">
      <c r="A8728" t="str">
        <f t="shared" si="158"/>
        <v/>
      </c>
    </row>
    <row r="8729" spans="1:1" x14ac:dyDescent="0.25">
      <c r="A8729" t="str">
        <f t="shared" si="158"/>
        <v/>
      </c>
    </row>
    <row r="8730" spans="1:1" x14ac:dyDescent="0.25">
      <c r="A8730" t="str">
        <f t="shared" si="158"/>
        <v/>
      </c>
    </row>
    <row r="8731" spans="1:1" x14ac:dyDescent="0.25">
      <c r="A8731" t="str">
        <f t="shared" si="158"/>
        <v/>
      </c>
    </row>
    <row r="8732" spans="1:1" x14ac:dyDescent="0.25">
      <c r="A8732" t="str">
        <f t="shared" si="158"/>
        <v/>
      </c>
    </row>
    <row r="8733" spans="1:1" x14ac:dyDescent="0.25">
      <c r="A8733" t="str">
        <f t="shared" si="158"/>
        <v/>
      </c>
    </row>
    <row r="8734" spans="1:1" x14ac:dyDescent="0.25">
      <c r="A8734" t="str">
        <f t="shared" si="158"/>
        <v/>
      </c>
    </row>
    <row r="8735" spans="1:1" x14ac:dyDescent="0.25">
      <c r="A8735" t="str">
        <f t="shared" si="158"/>
        <v/>
      </c>
    </row>
    <row r="8736" spans="1:1" x14ac:dyDescent="0.25">
      <c r="A8736" t="str">
        <f t="shared" si="158"/>
        <v/>
      </c>
    </row>
    <row r="8737" spans="1:1" x14ac:dyDescent="0.25">
      <c r="A8737" t="str">
        <f t="shared" si="158"/>
        <v/>
      </c>
    </row>
    <row r="8738" spans="1:1" x14ac:dyDescent="0.25">
      <c r="A8738" t="str">
        <f t="shared" si="158"/>
        <v/>
      </c>
    </row>
    <row r="8739" spans="1:1" x14ac:dyDescent="0.25">
      <c r="A8739" t="str">
        <f t="shared" si="158"/>
        <v/>
      </c>
    </row>
    <row r="8740" spans="1:1" x14ac:dyDescent="0.25">
      <c r="A8740" t="str">
        <f t="shared" si="158"/>
        <v/>
      </c>
    </row>
    <row r="8741" spans="1:1" x14ac:dyDescent="0.25">
      <c r="A8741" t="str">
        <f t="shared" si="158"/>
        <v/>
      </c>
    </row>
    <row r="8742" spans="1:1" x14ac:dyDescent="0.25">
      <c r="A8742" t="str">
        <f t="shared" si="158"/>
        <v/>
      </c>
    </row>
    <row r="8743" spans="1:1" x14ac:dyDescent="0.25">
      <c r="A8743" t="str">
        <f t="shared" si="158"/>
        <v/>
      </c>
    </row>
    <row r="8744" spans="1:1" x14ac:dyDescent="0.25">
      <c r="A8744" t="str">
        <f t="shared" si="158"/>
        <v/>
      </c>
    </row>
    <row r="8745" spans="1:1" x14ac:dyDescent="0.25">
      <c r="A8745" t="str">
        <f t="shared" si="158"/>
        <v/>
      </c>
    </row>
    <row r="8746" spans="1:1" x14ac:dyDescent="0.25">
      <c r="A8746" t="str">
        <f t="shared" si="158"/>
        <v/>
      </c>
    </row>
    <row r="8747" spans="1:1" x14ac:dyDescent="0.25">
      <c r="A8747" t="str">
        <f t="shared" si="158"/>
        <v/>
      </c>
    </row>
    <row r="8748" spans="1:1" x14ac:dyDescent="0.25">
      <c r="A8748" t="str">
        <f t="shared" si="158"/>
        <v/>
      </c>
    </row>
    <row r="8749" spans="1:1" x14ac:dyDescent="0.25">
      <c r="A8749" t="str">
        <f t="shared" si="158"/>
        <v/>
      </c>
    </row>
    <row r="8750" spans="1:1" x14ac:dyDescent="0.25">
      <c r="A8750" t="str">
        <f t="shared" si="158"/>
        <v/>
      </c>
    </row>
    <row r="8751" spans="1:1" x14ac:dyDescent="0.25">
      <c r="A8751" t="str">
        <f t="shared" si="158"/>
        <v/>
      </c>
    </row>
    <row r="8752" spans="1:1" x14ac:dyDescent="0.25">
      <c r="A8752" t="str">
        <f t="shared" si="158"/>
        <v/>
      </c>
    </row>
    <row r="8753" spans="1:1" x14ac:dyDescent="0.25">
      <c r="A8753" t="str">
        <f t="shared" si="158"/>
        <v/>
      </c>
    </row>
    <row r="8754" spans="1:1" x14ac:dyDescent="0.25">
      <c r="A8754" t="str">
        <f t="shared" si="158"/>
        <v/>
      </c>
    </row>
    <row r="8755" spans="1:1" x14ac:dyDescent="0.25">
      <c r="A8755" t="str">
        <f t="shared" si="158"/>
        <v/>
      </c>
    </row>
    <row r="8756" spans="1:1" x14ac:dyDescent="0.25">
      <c r="A8756" t="str">
        <f t="shared" si="158"/>
        <v/>
      </c>
    </row>
    <row r="8757" spans="1:1" x14ac:dyDescent="0.25">
      <c r="A8757" t="str">
        <f t="shared" si="158"/>
        <v/>
      </c>
    </row>
    <row r="8758" spans="1:1" x14ac:dyDescent="0.25">
      <c r="A8758" t="str">
        <f t="shared" si="158"/>
        <v/>
      </c>
    </row>
    <row r="8759" spans="1:1" x14ac:dyDescent="0.25">
      <c r="A8759" t="str">
        <f t="shared" si="158"/>
        <v/>
      </c>
    </row>
    <row r="8760" spans="1:1" x14ac:dyDescent="0.25">
      <c r="A8760" t="str">
        <f t="shared" si="158"/>
        <v/>
      </c>
    </row>
    <row r="8761" spans="1:1" x14ac:dyDescent="0.25">
      <c r="A8761" t="str">
        <f t="shared" si="158"/>
        <v/>
      </c>
    </row>
    <row r="8762" spans="1:1" x14ac:dyDescent="0.25">
      <c r="A8762" t="str">
        <f t="shared" si="158"/>
        <v/>
      </c>
    </row>
    <row r="8763" spans="1:1" x14ac:dyDescent="0.25">
      <c r="A8763" t="str">
        <f t="shared" si="158"/>
        <v/>
      </c>
    </row>
    <row r="8764" spans="1:1" x14ac:dyDescent="0.25">
      <c r="A8764" t="str">
        <f t="shared" si="158"/>
        <v/>
      </c>
    </row>
    <row r="8765" spans="1:1" x14ac:dyDescent="0.25">
      <c r="A8765" t="str">
        <f t="shared" si="158"/>
        <v/>
      </c>
    </row>
    <row r="8766" spans="1:1" x14ac:dyDescent="0.25">
      <c r="A8766" t="str">
        <f t="shared" si="158"/>
        <v/>
      </c>
    </row>
    <row r="8767" spans="1:1" x14ac:dyDescent="0.25">
      <c r="A8767" t="str">
        <f t="shared" si="158"/>
        <v/>
      </c>
    </row>
    <row r="8768" spans="1:1" x14ac:dyDescent="0.25">
      <c r="A8768" t="str">
        <f t="shared" si="158"/>
        <v/>
      </c>
    </row>
    <row r="8769" spans="1:1" x14ac:dyDescent="0.25">
      <c r="A8769" t="str">
        <f t="shared" ref="A8769:A8832" si="159">E8769&amp;C8769&amp;D8769</f>
        <v/>
      </c>
    </row>
    <row r="8770" spans="1:1" x14ac:dyDescent="0.25">
      <c r="A8770" t="str">
        <f t="shared" si="159"/>
        <v/>
      </c>
    </row>
    <row r="8771" spans="1:1" x14ac:dyDescent="0.25">
      <c r="A8771" t="str">
        <f t="shared" si="159"/>
        <v/>
      </c>
    </row>
    <row r="8772" spans="1:1" x14ac:dyDescent="0.25">
      <c r="A8772" t="str">
        <f t="shared" si="159"/>
        <v/>
      </c>
    </row>
    <row r="8773" spans="1:1" x14ac:dyDescent="0.25">
      <c r="A8773" t="str">
        <f t="shared" si="159"/>
        <v/>
      </c>
    </row>
    <row r="8774" spans="1:1" x14ac:dyDescent="0.25">
      <c r="A8774" t="str">
        <f t="shared" si="159"/>
        <v/>
      </c>
    </row>
    <row r="8775" spans="1:1" x14ac:dyDescent="0.25">
      <c r="A8775" t="str">
        <f t="shared" si="159"/>
        <v/>
      </c>
    </row>
    <row r="8776" spans="1:1" x14ac:dyDescent="0.25">
      <c r="A8776" t="str">
        <f t="shared" si="159"/>
        <v/>
      </c>
    </row>
    <row r="8777" spans="1:1" x14ac:dyDescent="0.25">
      <c r="A8777" t="str">
        <f t="shared" si="159"/>
        <v/>
      </c>
    </row>
    <row r="8778" spans="1:1" x14ac:dyDescent="0.25">
      <c r="A8778" t="str">
        <f t="shared" si="159"/>
        <v/>
      </c>
    </row>
    <row r="8779" spans="1:1" x14ac:dyDescent="0.25">
      <c r="A8779" t="str">
        <f t="shared" si="159"/>
        <v/>
      </c>
    </row>
    <row r="8780" spans="1:1" x14ac:dyDescent="0.25">
      <c r="A8780" t="str">
        <f t="shared" si="159"/>
        <v/>
      </c>
    </row>
    <row r="8781" spans="1:1" x14ac:dyDescent="0.25">
      <c r="A8781" t="str">
        <f t="shared" si="159"/>
        <v/>
      </c>
    </row>
    <row r="8782" spans="1:1" x14ac:dyDescent="0.25">
      <c r="A8782" t="str">
        <f t="shared" si="159"/>
        <v/>
      </c>
    </row>
    <row r="8783" spans="1:1" x14ac:dyDescent="0.25">
      <c r="A8783" t="str">
        <f t="shared" si="159"/>
        <v/>
      </c>
    </row>
    <row r="8784" spans="1:1" x14ac:dyDescent="0.25">
      <c r="A8784" t="str">
        <f t="shared" si="159"/>
        <v/>
      </c>
    </row>
    <row r="8785" spans="1:1" x14ac:dyDescent="0.25">
      <c r="A8785" t="str">
        <f t="shared" si="159"/>
        <v/>
      </c>
    </row>
    <row r="8786" spans="1:1" x14ac:dyDescent="0.25">
      <c r="A8786" t="str">
        <f t="shared" si="159"/>
        <v/>
      </c>
    </row>
    <row r="8787" spans="1:1" x14ac:dyDescent="0.25">
      <c r="A8787" t="str">
        <f t="shared" si="159"/>
        <v/>
      </c>
    </row>
    <row r="8788" spans="1:1" x14ac:dyDescent="0.25">
      <c r="A8788" t="str">
        <f t="shared" si="159"/>
        <v/>
      </c>
    </row>
    <row r="8789" spans="1:1" x14ac:dyDescent="0.25">
      <c r="A8789" t="str">
        <f t="shared" si="159"/>
        <v/>
      </c>
    </row>
    <row r="8790" spans="1:1" x14ac:dyDescent="0.25">
      <c r="A8790" t="str">
        <f t="shared" si="159"/>
        <v/>
      </c>
    </row>
    <row r="8791" spans="1:1" x14ac:dyDescent="0.25">
      <c r="A8791" t="str">
        <f t="shared" si="159"/>
        <v/>
      </c>
    </row>
    <row r="8792" spans="1:1" x14ac:dyDescent="0.25">
      <c r="A8792" t="str">
        <f t="shared" si="159"/>
        <v/>
      </c>
    </row>
    <row r="8793" spans="1:1" x14ac:dyDescent="0.25">
      <c r="A8793" t="str">
        <f t="shared" si="159"/>
        <v/>
      </c>
    </row>
    <row r="8794" spans="1:1" x14ac:dyDescent="0.25">
      <c r="A8794" t="str">
        <f t="shared" si="159"/>
        <v/>
      </c>
    </row>
    <row r="8795" spans="1:1" x14ac:dyDescent="0.25">
      <c r="A8795" t="str">
        <f t="shared" si="159"/>
        <v/>
      </c>
    </row>
    <row r="8796" spans="1:1" x14ac:dyDescent="0.25">
      <c r="A8796" t="str">
        <f t="shared" si="159"/>
        <v/>
      </c>
    </row>
    <row r="8797" spans="1:1" x14ac:dyDescent="0.25">
      <c r="A8797" t="str">
        <f t="shared" si="159"/>
        <v/>
      </c>
    </row>
    <row r="8798" spans="1:1" x14ac:dyDescent="0.25">
      <c r="A8798" t="str">
        <f t="shared" si="159"/>
        <v/>
      </c>
    </row>
    <row r="8799" spans="1:1" x14ac:dyDescent="0.25">
      <c r="A8799" t="str">
        <f t="shared" si="159"/>
        <v/>
      </c>
    </row>
    <row r="8800" spans="1:1" x14ac:dyDescent="0.25">
      <c r="A8800" t="str">
        <f t="shared" si="159"/>
        <v/>
      </c>
    </row>
    <row r="8801" spans="1:1" x14ac:dyDescent="0.25">
      <c r="A8801" t="str">
        <f t="shared" si="159"/>
        <v/>
      </c>
    </row>
    <row r="8802" spans="1:1" x14ac:dyDescent="0.25">
      <c r="A8802" t="str">
        <f t="shared" si="159"/>
        <v/>
      </c>
    </row>
    <row r="8803" spans="1:1" x14ac:dyDescent="0.25">
      <c r="A8803" t="str">
        <f t="shared" si="159"/>
        <v/>
      </c>
    </row>
    <row r="8804" spans="1:1" x14ac:dyDescent="0.25">
      <c r="A8804" t="str">
        <f t="shared" si="159"/>
        <v/>
      </c>
    </row>
    <row r="8805" spans="1:1" x14ac:dyDescent="0.25">
      <c r="A8805" t="str">
        <f t="shared" si="159"/>
        <v/>
      </c>
    </row>
    <row r="8806" spans="1:1" x14ac:dyDescent="0.25">
      <c r="A8806" t="str">
        <f t="shared" si="159"/>
        <v/>
      </c>
    </row>
    <row r="8807" spans="1:1" x14ac:dyDescent="0.25">
      <c r="A8807" t="str">
        <f t="shared" si="159"/>
        <v/>
      </c>
    </row>
    <row r="8808" spans="1:1" x14ac:dyDescent="0.25">
      <c r="A8808" t="str">
        <f t="shared" si="159"/>
        <v/>
      </c>
    </row>
    <row r="8809" spans="1:1" x14ac:dyDescent="0.25">
      <c r="A8809" t="str">
        <f t="shared" si="159"/>
        <v/>
      </c>
    </row>
    <row r="8810" spans="1:1" x14ac:dyDescent="0.25">
      <c r="A8810" t="str">
        <f t="shared" si="159"/>
        <v/>
      </c>
    </row>
    <row r="8811" spans="1:1" x14ac:dyDescent="0.25">
      <c r="A8811" t="str">
        <f t="shared" si="159"/>
        <v/>
      </c>
    </row>
    <row r="8812" spans="1:1" x14ac:dyDescent="0.25">
      <c r="A8812" t="str">
        <f t="shared" si="159"/>
        <v/>
      </c>
    </row>
    <row r="8813" spans="1:1" x14ac:dyDescent="0.25">
      <c r="A8813" t="str">
        <f t="shared" si="159"/>
        <v/>
      </c>
    </row>
    <row r="8814" spans="1:1" x14ac:dyDescent="0.25">
      <c r="A8814" t="str">
        <f t="shared" si="159"/>
        <v/>
      </c>
    </row>
    <row r="8815" spans="1:1" x14ac:dyDescent="0.25">
      <c r="A8815" t="str">
        <f t="shared" si="159"/>
        <v/>
      </c>
    </row>
    <row r="8816" spans="1:1" x14ac:dyDescent="0.25">
      <c r="A8816" t="str">
        <f t="shared" si="159"/>
        <v/>
      </c>
    </row>
    <row r="8817" spans="1:1" x14ac:dyDescent="0.25">
      <c r="A8817" t="str">
        <f t="shared" si="159"/>
        <v/>
      </c>
    </row>
    <row r="8818" spans="1:1" x14ac:dyDescent="0.25">
      <c r="A8818" t="str">
        <f t="shared" si="159"/>
        <v/>
      </c>
    </row>
    <row r="8819" spans="1:1" x14ac:dyDescent="0.25">
      <c r="A8819" t="str">
        <f t="shared" si="159"/>
        <v/>
      </c>
    </row>
    <row r="8820" spans="1:1" x14ac:dyDescent="0.25">
      <c r="A8820" t="str">
        <f t="shared" si="159"/>
        <v/>
      </c>
    </row>
    <row r="8821" spans="1:1" x14ac:dyDescent="0.25">
      <c r="A8821" t="str">
        <f t="shared" si="159"/>
        <v/>
      </c>
    </row>
    <row r="8822" spans="1:1" x14ac:dyDescent="0.25">
      <c r="A8822" t="str">
        <f t="shared" si="159"/>
        <v/>
      </c>
    </row>
    <row r="8823" spans="1:1" x14ac:dyDescent="0.25">
      <c r="A8823" t="str">
        <f t="shared" si="159"/>
        <v/>
      </c>
    </row>
    <row r="8824" spans="1:1" x14ac:dyDescent="0.25">
      <c r="A8824" t="str">
        <f t="shared" si="159"/>
        <v/>
      </c>
    </row>
    <row r="8825" spans="1:1" x14ac:dyDescent="0.25">
      <c r="A8825" t="str">
        <f t="shared" si="159"/>
        <v/>
      </c>
    </row>
    <row r="8826" spans="1:1" x14ac:dyDescent="0.25">
      <c r="A8826" t="str">
        <f t="shared" si="159"/>
        <v/>
      </c>
    </row>
    <row r="8827" spans="1:1" x14ac:dyDescent="0.25">
      <c r="A8827" t="str">
        <f t="shared" si="159"/>
        <v/>
      </c>
    </row>
    <row r="8828" spans="1:1" x14ac:dyDescent="0.25">
      <c r="A8828" t="str">
        <f t="shared" si="159"/>
        <v/>
      </c>
    </row>
    <row r="8829" spans="1:1" x14ac:dyDescent="0.25">
      <c r="A8829" t="str">
        <f t="shared" si="159"/>
        <v/>
      </c>
    </row>
    <row r="8830" spans="1:1" x14ac:dyDescent="0.25">
      <c r="A8830" t="str">
        <f t="shared" si="159"/>
        <v/>
      </c>
    </row>
    <row r="8831" spans="1:1" x14ac:dyDescent="0.25">
      <c r="A8831" t="str">
        <f t="shared" si="159"/>
        <v/>
      </c>
    </row>
    <row r="8832" spans="1:1" x14ac:dyDescent="0.25">
      <c r="A8832" t="str">
        <f t="shared" si="159"/>
        <v/>
      </c>
    </row>
    <row r="8833" spans="1:1" x14ac:dyDescent="0.25">
      <c r="A8833" t="str">
        <f t="shared" ref="A8833:A8896" si="160">E8833&amp;C8833&amp;D8833</f>
        <v/>
      </c>
    </row>
    <row r="8834" spans="1:1" x14ac:dyDescent="0.25">
      <c r="A8834" t="str">
        <f t="shared" si="160"/>
        <v/>
      </c>
    </row>
    <row r="8835" spans="1:1" x14ac:dyDescent="0.25">
      <c r="A8835" t="str">
        <f t="shared" si="160"/>
        <v/>
      </c>
    </row>
    <row r="8836" spans="1:1" x14ac:dyDescent="0.25">
      <c r="A8836" t="str">
        <f t="shared" si="160"/>
        <v/>
      </c>
    </row>
    <row r="8837" spans="1:1" x14ac:dyDescent="0.25">
      <c r="A8837" t="str">
        <f t="shared" si="160"/>
        <v/>
      </c>
    </row>
    <row r="8838" spans="1:1" x14ac:dyDescent="0.25">
      <c r="A8838" t="str">
        <f t="shared" si="160"/>
        <v/>
      </c>
    </row>
    <row r="8839" spans="1:1" x14ac:dyDescent="0.25">
      <c r="A8839" t="str">
        <f t="shared" si="160"/>
        <v/>
      </c>
    </row>
    <row r="8840" spans="1:1" x14ac:dyDescent="0.25">
      <c r="A8840" t="str">
        <f t="shared" si="160"/>
        <v/>
      </c>
    </row>
    <row r="8841" spans="1:1" x14ac:dyDescent="0.25">
      <c r="A8841" t="str">
        <f t="shared" si="160"/>
        <v/>
      </c>
    </row>
    <row r="8842" spans="1:1" x14ac:dyDescent="0.25">
      <c r="A8842" t="str">
        <f t="shared" si="160"/>
        <v/>
      </c>
    </row>
    <row r="8843" spans="1:1" x14ac:dyDescent="0.25">
      <c r="A8843" t="str">
        <f t="shared" si="160"/>
        <v/>
      </c>
    </row>
    <row r="8844" spans="1:1" x14ac:dyDescent="0.25">
      <c r="A8844" t="str">
        <f t="shared" si="160"/>
        <v/>
      </c>
    </row>
    <row r="8845" spans="1:1" x14ac:dyDescent="0.25">
      <c r="A8845" t="str">
        <f t="shared" si="160"/>
        <v/>
      </c>
    </row>
    <row r="8846" spans="1:1" x14ac:dyDescent="0.25">
      <c r="A8846" t="str">
        <f t="shared" si="160"/>
        <v/>
      </c>
    </row>
    <row r="8847" spans="1:1" x14ac:dyDescent="0.25">
      <c r="A8847" t="str">
        <f t="shared" si="160"/>
        <v/>
      </c>
    </row>
    <row r="8848" spans="1:1" x14ac:dyDescent="0.25">
      <c r="A8848" t="str">
        <f t="shared" si="160"/>
        <v/>
      </c>
    </row>
    <row r="8849" spans="1:1" x14ac:dyDescent="0.25">
      <c r="A8849" t="str">
        <f t="shared" si="160"/>
        <v/>
      </c>
    </row>
    <row r="8850" spans="1:1" x14ac:dyDescent="0.25">
      <c r="A8850" t="str">
        <f t="shared" si="160"/>
        <v/>
      </c>
    </row>
    <row r="8851" spans="1:1" x14ac:dyDescent="0.25">
      <c r="A8851" t="str">
        <f t="shared" si="160"/>
        <v/>
      </c>
    </row>
    <row r="8852" spans="1:1" x14ac:dyDescent="0.25">
      <c r="A8852" t="str">
        <f t="shared" si="160"/>
        <v/>
      </c>
    </row>
    <row r="8853" spans="1:1" x14ac:dyDescent="0.25">
      <c r="A8853" t="str">
        <f t="shared" si="160"/>
        <v/>
      </c>
    </row>
    <row r="8854" spans="1:1" x14ac:dyDescent="0.25">
      <c r="A8854" t="str">
        <f t="shared" si="160"/>
        <v/>
      </c>
    </row>
    <row r="8855" spans="1:1" x14ac:dyDescent="0.25">
      <c r="A8855" t="str">
        <f t="shared" si="160"/>
        <v/>
      </c>
    </row>
    <row r="8856" spans="1:1" x14ac:dyDescent="0.25">
      <c r="A8856" t="str">
        <f t="shared" si="160"/>
        <v/>
      </c>
    </row>
    <row r="8857" spans="1:1" x14ac:dyDescent="0.25">
      <c r="A8857" t="str">
        <f t="shared" si="160"/>
        <v/>
      </c>
    </row>
    <row r="8858" spans="1:1" x14ac:dyDescent="0.25">
      <c r="A8858" t="str">
        <f t="shared" si="160"/>
        <v/>
      </c>
    </row>
    <row r="8859" spans="1:1" x14ac:dyDescent="0.25">
      <c r="A8859" t="str">
        <f t="shared" si="160"/>
        <v/>
      </c>
    </row>
    <row r="8860" spans="1:1" x14ac:dyDescent="0.25">
      <c r="A8860" t="str">
        <f t="shared" si="160"/>
        <v/>
      </c>
    </row>
    <row r="8861" spans="1:1" x14ac:dyDescent="0.25">
      <c r="A8861" t="str">
        <f t="shared" si="160"/>
        <v/>
      </c>
    </row>
    <row r="8862" spans="1:1" x14ac:dyDescent="0.25">
      <c r="A8862" t="str">
        <f t="shared" si="160"/>
        <v/>
      </c>
    </row>
    <row r="8863" spans="1:1" x14ac:dyDescent="0.25">
      <c r="A8863" t="str">
        <f t="shared" si="160"/>
        <v/>
      </c>
    </row>
    <row r="8864" spans="1:1" x14ac:dyDescent="0.25">
      <c r="A8864" t="str">
        <f t="shared" si="160"/>
        <v/>
      </c>
    </row>
    <row r="8865" spans="1:1" x14ac:dyDescent="0.25">
      <c r="A8865" t="str">
        <f t="shared" si="160"/>
        <v/>
      </c>
    </row>
    <row r="8866" spans="1:1" x14ac:dyDescent="0.25">
      <c r="A8866" t="str">
        <f t="shared" si="160"/>
        <v/>
      </c>
    </row>
    <row r="8867" spans="1:1" x14ac:dyDescent="0.25">
      <c r="A8867" t="str">
        <f t="shared" si="160"/>
        <v/>
      </c>
    </row>
    <row r="8868" spans="1:1" x14ac:dyDescent="0.25">
      <c r="A8868" t="str">
        <f t="shared" si="160"/>
        <v/>
      </c>
    </row>
    <row r="8869" spans="1:1" x14ac:dyDescent="0.25">
      <c r="A8869" t="str">
        <f t="shared" si="160"/>
        <v/>
      </c>
    </row>
    <row r="8870" spans="1:1" x14ac:dyDescent="0.25">
      <c r="A8870" t="str">
        <f t="shared" si="160"/>
        <v/>
      </c>
    </row>
    <row r="8871" spans="1:1" x14ac:dyDescent="0.25">
      <c r="A8871" t="str">
        <f t="shared" si="160"/>
        <v/>
      </c>
    </row>
    <row r="8872" spans="1:1" x14ac:dyDescent="0.25">
      <c r="A8872" t="str">
        <f t="shared" si="160"/>
        <v/>
      </c>
    </row>
    <row r="8873" spans="1:1" x14ac:dyDescent="0.25">
      <c r="A8873" t="str">
        <f t="shared" si="160"/>
        <v/>
      </c>
    </row>
    <row r="8874" spans="1:1" x14ac:dyDescent="0.25">
      <c r="A8874" t="str">
        <f t="shared" si="160"/>
        <v/>
      </c>
    </row>
    <row r="8875" spans="1:1" x14ac:dyDescent="0.25">
      <c r="A8875" t="str">
        <f t="shared" si="160"/>
        <v/>
      </c>
    </row>
    <row r="8876" spans="1:1" x14ac:dyDescent="0.25">
      <c r="A8876" t="str">
        <f t="shared" si="160"/>
        <v/>
      </c>
    </row>
    <row r="8877" spans="1:1" x14ac:dyDescent="0.25">
      <c r="A8877" t="str">
        <f t="shared" si="160"/>
        <v/>
      </c>
    </row>
    <row r="8878" spans="1:1" x14ac:dyDescent="0.25">
      <c r="A8878" t="str">
        <f t="shared" si="160"/>
        <v/>
      </c>
    </row>
    <row r="8879" spans="1:1" x14ac:dyDescent="0.25">
      <c r="A8879" t="str">
        <f t="shared" si="160"/>
        <v/>
      </c>
    </row>
    <row r="8880" spans="1:1" x14ac:dyDescent="0.25">
      <c r="A8880" t="str">
        <f t="shared" si="160"/>
        <v/>
      </c>
    </row>
    <row r="8881" spans="1:1" x14ac:dyDescent="0.25">
      <c r="A8881" t="str">
        <f t="shared" si="160"/>
        <v/>
      </c>
    </row>
    <row r="8882" spans="1:1" x14ac:dyDescent="0.25">
      <c r="A8882" t="str">
        <f t="shared" si="160"/>
        <v/>
      </c>
    </row>
    <row r="8883" spans="1:1" x14ac:dyDescent="0.25">
      <c r="A8883" t="str">
        <f t="shared" si="160"/>
        <v/>
      </c>
    </row>
    <row r="8884" spans="1:1" x14ac:dyDescent="0.25">
      <c r="A8884" t="str">
        <f t="shared" si="160"/>
        <v/>
      </c>
    </row>
    <row r="8885" spans="1:1" x14ac:dyDescent="0.25">
      <c r="A8885" t="str">
        <f t="shared" si="160"/>
        <v/>
      </c>
    </row>
    <row r="8886" spans="1:1" x14ac:dyDescent="0.25">
      <c r="A8886" t="str">
        <f t="shared" si="160"/>
        <v/>
      </c>
    </row>
    <row r="8887" spans="1:1" x14ac:dyDescent="0.25">
      <c r="A8887" t="str">
        <f t="shared" si="160"/>
        <v/>
      </c>
    </row>
    <row r="8888" spans="1:1" x14ac:dyDescent="0.25">
      <c r="A8888" t="str">
        <f t="shared" si="160"/>
        <v/>
      </c>
    </row>
    <row r="8889" spans="1:1" x14ac:dyDescent="0.25">
      <c r="A8889" t="str">
        <f t="shared" si="160"/>
        <v/>
      </c>
    </row>
    <row r="8890" spans="1:1" x14ac:dyDescent="0.25">
      <c r="A8890" t="str">
        <f t="shared" si="160"/>
        <v/>
      </c>
    </row>
    <row r="8891" spans="1:1" x14ac:dyDescent="0.25">
      <c r="A8891" t="str">
        <f t="shared" si="160"/>
        <v/>
      </c>
    </row>
    <row r="8892" spans="1:1" x14ac:dyDescent="0.25">
      <c r="A8892" t="str">
        <f t="shared" si="160"/>
        <v/>
      </c>
    </row>
    <row r="8893" spans="1:1" x14ac:dyDescent="0.25">
      <c r="A8893" t="str">
        <f t="shared" si="160"/>
        <v/>
      </c>
    </row>
    <row r="8894" spans="1:1" x14ac:dyDescent="0.25">
      <c r="A8894" t="str">
        <f t="shared" si="160"/>
        <v/>
      </c>
    </row>
    <row r="8895" spans="1:1" x14ac:dyDescent="0.25">
      <c r="A8895" t="str">
        <f t="shared" si="160"/>
        <v/>
      </c>
    </row>
    <row r="8896" spans="1:1" x14ac:dyDescent="0.25">
      <c r="A8896" t="str">
        <f t="shared" si="160"/>
        <v/>
      </c>
    </row>
    <row r="8897" spans="1:1" x14ac:dyDescent="0.25">
      <c r="A8897" t="str">
        <f t="shared" ref="A8897:A8960" si="161">E8897&amp;C8897&amp;D8897</f>
        <v/>
      </c>
    </row>
    <row r="8898" spans="1:1" x14ac:dyDescent="0.25">
      <c r="A8898" t="str">
        <f t="shared" si="161"/>
        <v/>
      </c>
    </row>
    <row r="8899" spans="1:1" x14ac:dyDescent="0.25">
      <c r="A8899" t="str">
        <f t="shared" si="161"/>
        <v/>
      </c>
    </row>
    <row r="8900" spans="1:1" x14ac:dyDescent="0.25">
      <c r="A8900" t="str">
        <f t="shared" si="161"/>
        <v/>
      </c>
    </row>
    <row r="8901" spans="1:1" x14ac:dyDescent="0.25">
      <c r="A8901" t="str">
        <f t="shared" si="161"/>
        <v/>
      </c>
    </row>
    <row r="8902" spans="1:1" x14ac:dyDescent="0.25">
      <c r="A8902" t="str">
        <f t="shared" si="161"/>
        <v/>
      </c>
    </row>
    <row r="8903" spans="1:1" x14ac:dyDescent="0.25">
      <c r="A8903" t="str">
        <f t="shared" si="161"/>
        <v/>
      </c>
    </row>
    <row r="8904" spans="1:1" x14ac:dyDescent="0.25">
      <c r="A8904" t="str">
        <f t="shared" si="161"/>
        <v/>
      </c>
    </row>
    <row r="8905" spans="1:1" x14ac:dyDescent="0.25">
      <c r="A8905" t="str">
        <f t="shared" si="161"/>
        <v/>
      </c>
    </row>
    <row r="8906" spans="1:1" x14ac:dyDescent="0.25">
      <c r="A8906" t="str">
        <f t="shared" si="161"/>
        <v/>
      </c>
    </row>
    <row r="8907" spans="1:1" x14ac:dyDescent="0.25">
      <c r="A8907" t="str">
        <f t="shared" si="161"/>
        <v/>
      </c>
    </row>
    <row r="8908" spans="1:1" x14ac:dyDescent="0.25">
      <c r="A8908" t="str">
        <f t="shared" si="161"/>
        <v/>
      </c>
    </row>
    <row r="8909" spans="1:1" x14ac:dyDescent="0.25">
      <c r="A8909" t="str">
        <f t="shared" si="161"/>
        <v/>
      </c>
    </row>
    <row r="8910" spans="1:1" x14ac:dyDescent="0.25">
      <c r="A8910" t="str">
        <f t="shared" si="161"/>
        <v/>
      </c>
    </row>
    <row r="8911" spans="1:1" x14ac:dyDescent="0.25">
      <c r="A8911" t="str">
        <f t="shared" si="161"/>
        <v/>
      </c>
    </row>
    <row r="8912" spans="1:1" x14ac:dyDescent="0.25">
      <c r="A8912" t="str">
        <f t="shared" si="161"/>
        <v/>
      </c>
    </row>
    <row r="8913" spans="1:1" x14ac:dyDescent="0.25">
      <c r="A8913" t="str">
        <f t="shared" si="161"/>
        <v/>
      </c>
    </row>
    <row r="8914" spans="1:1" x14ac:dyDescent="0.25">
      <c r="A8914" t="str">
        <f t="shared" si="161"/>
        <v/>
      </c>
    </row>
    <row r="8915" spans="1:1" x14ac:dyDescent="0.25">
      <c r="A8915" t="str">
        <f t="shared" si="161"/>
        <v/>
      </c>
    </row>
    <row r="8916" spans="1:1" x14ac:dyDescent="0.25">
      <c r="A8916" t="str">
        <f t="shared" si="161"/>
        <v/>
      </c>
    </row>
    <row r="8917" spans="1:1" x14ac:dyDescent="0.25">
      <c r="A8917" t="str">
        <f t="shared" si="161"/>
        <v/>
      </c>
    </row>
    <row r="8918" spans="1:1" x14ac:dyDescent="0.25">
      <c r="A8918" t="str">
        <f t="shared" si="161"/>
        <v/>
      </c>
    </row>
    <row r="8919" spans="1:1" x14ac:dyDescent="0.25">
      <c r="A8919" t="str">
        <f t="shared" si="161"/>
        <v/>
      </c>
    </row>
    <row r="8920" spans="1:1" x14ac:dyDescent="0.25">
      <c r="A8920" t="str">
        <f t="shared" si="161"/>
        <v/>
      </c>
    </row>
    <row r="8921" spans="1:1" x14ac:dyDescent="0.25">
      <c r="A8921" t="str">
        <f t="shared" si="161"/>
        <v/>
      </c>
    </row>
    <row r="8922" spans="1:1" x14ac:dyDescent="0.25">
      <c r="A8922" t="str">
        <f t="shared" si="161"/>
        <v/>
      </c>
    </row>
    <row r="8923" spans="1:1" x14ac:dyDescent="0.25">
      <c r="A8923" t="str">
        <f t="shared" si="161"/>
        <v/>
      </c>
    </row>
    <row r="8924" spans="1:1" x14ac:dyDescent="0.25">
      <c r="A8924" t="str">
        <f t="shared" si="161"/>
        <v/>
      </c>
    </row>
    <row r="8925" spans="1:1" x14ac:dyDescent="0.25">
      <c r="A8925" t="str">
        <f t="shared" si="161"/>
        <v/>
      </c>
    </row>
    <row r="8926" spans="1:1" x14ac:dyDescent="0.25">
      <c r="A8926" t="str">
        <f t="shared" si="161"/>
        <v/>
      </c>
    </row>
    <row r="8927" spans="1:1" x14ac:dyDescent="0.25">
      <c r="A8927" t="str">
        <f t="shared" si="161"/>
        <v/>
      </c>
    </row>
    <row r="8928" spans="1:1" x14ac:dyDescent="0.25">
      <c r="A8928" t="str">
        <f t="shared" si="161"/>
        <v/>
      </c>
    </row>
    <row r="8929" spans="1:1" x14ac:dyDescent="0.25">
      <c r="A8929" t="str">
        <f t="shared" si="161"/>
        <v/>
      </c>
    </row>
    <row r="8930" spans="1:1" x14ac:dyDescent="0.25">
      <c r="A8930" t="str">
        <f t="shared" si="161"/>
        <v/>
      </c>
    </row>
    <row r="8931" spans="1:1" x14ac:dyDescent="0.25">
      <c r="A8931" t="str">
        <f t="shared" si="161"/>
        <v/>
      </c>
    </row>
    <row r="8932" spans="1:1" x14ac:dyDescent="0.25">
      <c r="A8932" t="str">
        <f t="shared" si="161"/>
        <v/>
      </c>
    </row>
    <row r="8933" spans="1:1" x14ac:dyDescent="0.25">
      <c r="A8933" t="str">
        <f t="shared" si="161"/>
        <v/>
      </c>
    </row>
    <row r="8934" spans="1:1" x14ac:dyDescent="0.25">
      <c r="A8934" t="str">
        <f t="shared" si="161"/>
        <v/>
      </c>
    </row>
    <row r="8935" spans="1:1" x14ac:dyDescent="0.25">
      <c r="A8935" t="str">
        <f t="shared" si="161"/>
        <v/>
      </c>
    </row>
    <row r="8936" spans="1:1" x14ac:dyDescent="0.25">
      <c r="A8936" t="str">
        <f t="shared" si="161"/>
        <v/>
      </c>
    </row>
    <row r="8937" spans="1:1" x14ac:dyDescent="0.25">
      <c r="A8937" t="str">
        <f t="shared" si="161"/>
        <v/>
      </c>
    </row>
    <row r="8938" spans="1:1" x14ac:dyDescent="0.25">
      <c r="A8938" t="str">
        <f t="shared" si="161"/>
        <v/>
      </c>
    </row>
    <row r="8939" spans="1:1" x14ac:dyDescent="0.25">
      <c r="A8939" t="str">
        <f t="shared" si="161"/>
        <v/>
      </c>
    </row>
    <row r="8940" spans="1:1" x14ac:dyDescent="0.25">
      <c r="A8940" t="str">
        <f t="shared" si="161"/>
        <v/>
      </c>
    </row>
    <row r="8941" spans="1:1" x14ac:dyDescent="0.25">
      <c r="A8941" t="str">
        <f t="shared" si="161"/>
        <v/>
      </c>
    </row>
    <row r="8942" spans="1:1" x14ac:dyDescent="0.25">
      <c r="A8942" t="str">
        <f t="shared" si="161"/>
        <v/>
      </c>
    </row>
    <row r="8943" spans="1:1" x14ac:dyDescent="0.25">
      <c r="A8943" t="str">
        <f t="shared" si="161"/>
        <v/>
      </c>
    </row>
    <row r="8944" spans="1:1" x14ac:dyDescent="0.25">
      <c r="A8944" t="str">
        <f t="shared" si="161"/>
        <v/>
      </c>
    </row>
    <row r="8945" spans="1:1" x14ac:dyDescent="0.25">
      <c r="A8945" t="str">
        <f t="shared" si="161"/>
        <v/>
      </c>
    </row>
    <row r="8946" spans="1:1" x14ac:dyDescent="0.25">
      <c r="A8946" t="str">
        <f t="shared" si="161"/>
        <v/>
      </c>
    </row>
    <row r="8947" spans="1:1" x14ac:dyDescent="0.25">
      <c r="A8947" t="str">
        <f t="shared" si="161"/>
        <v/>
      </c>
    </row>
    <row r="8948" spans="1:1" x14ac:dyDescent="0.25">
      <c r="A8948" t="str">
        <f t="shared" si="161"/>
        <v/>
      </c>
    </row>
    <row r="8949" spans="1:1" x14ac:dyDescent="0.25">
      <c r="A8949" t="str">
        <f t="shared" si="161"/>
        <v/>
      </c>
    </row>
    <row r="8950" spans="1:1" x14ac:dyDescent="0.25">
      <c r="A8950" t="str">
        <f t="shared" si="161"/>
        <v/>
      </c>
    </row>
    <row r="8951" spans="1:1" x14ac:dyDescent="0.25">
      <c r="A8951" t="str">
        <f t="shared" si="161"/>
        <v/>
      </c>
    </row>
    <row r="8952" spans="1:1" x14ac:dyDescent="0.25">
      <c r="A8952" t="str">
        <f t="shared" si="161"/>
        <v/>
      </c>
    </row>
    <row r="8953" spans="1:1" x14ac:dyDescent="0.25">
      <c r="A8953" t="str">
        <f t="shared" si="161"/>
        <v/>
      </c>
    </row>
    <row r="8954" spans="1:1" x14ac:dyDescent="0.25">
      <c r="A8954" t="str">
        <f t="shared" si="161"/>
        <v/>
      </c>
    </row>
    <row r="8955" spans="1:1" x14ac:dyDescent="0.25">
      <c r="A8955" t="str">
        <f t="shared" si="161"/>
        <v/>
      </c>
    </row>
    <row r="8956" spans="1:1" x14ac:dyDescent="0.25">
      <c r="A8956" t="str">
        <f t="shared" si="161"/>
        <v/>
      </c>
    </row>
    <row r="8957" spans="1:1" x14ac:dyDescent="0.25">
      <c r="A8957" t="str">
        <f t="shared" si="161"/>
        <v/>
      </c>
    </row>
    <row r="8958" spans="1:1" x14ac:dyDescent="0.25">
      <c r="A8958" t="str">
        <f t="shared" si="161"/>
        <v/>
      </c>
    </row>
    <row r="8959" spans="1:1" x14ac:dyDescent="0.25">
      <c r="A8959" t="str">
        <f t="shared" si="161"/>
        <v/>
      </c>
    </row>
    <row r="8960" spans="1:1" x14ac:dyDescent="0.25">
      <c r="A8960" t="str">
        <f t="shared" si="161"/>
        <v/>
      </c>
    </row>
    <row r="8961" spans="1:1" x14ac:dyDescent="0.25">
      <c r="A8961" t="str">
        <f t="shared" ref="A8961:A9024" si="162">E8961&amp;C8961&amp;D8961</f>
        <v/>
      </c>
    </row>
    <row r="8962" spans="1:1" x14ac:dyDescent="0.25">
      <c r="A8962" t="str">
        <f t="shared" si="162"/>
        <v/>
      </c>
    </row>
    <row r="8963" spans="1:1" x14ac:dyDescent="0.25">
      <c r="A8963" t="str">
        <f t="shared" si="162"/>
        <v/>
      </c>
    </row>
    <row r="8964" spans="1:1" x14ac:dyDescent="0.25">
      <c r="A8964" t="str">
        <f t="shared" si="162"/>
        <v/>
      </c>
    </row>
    <row r="8965" spans="1:1" x14ac:dyDescent="0.25">
      <c r="A8965" t="str">
        <f t="shared" si="162"/>
        <v/>
      </c>
    </row>
    <row r="8966" spans="1:1" x14ac:dyDescent="0.25">
      <c r="A8966" t="str">
        <f t="shared" si="162"/>
        <v/>
      </c>
    </row>
    <row r="8967" spans="1:1" x14ac:dyDescent="0.25">
      <c r="A8967" t="str">
        <f t="shared" si="162"/>
        <v/>
      </c>
    </row>
    <row r="8968" spans="1:1" x14ac:dyDescent="0.25">
      <c r="A8968" t="str">
        <f t="shared" si="162"/>
        <v/>
      </c>
    </row>
    <row r="8969" spans="1:1" x14ac:dyDescent="0.25">
      <c r="A8969" t="str">
        <f t="shared" si="162"/>
        <v/>
      </c>
    </row>
    <row r="8970" spans="1:1" x14ac:dyDescent="0.25">
      <c r="A8970" t="str">
        <f t="shared" si="162"/>
        <v/>
      </c>
    </row>
    <row r="8971" spans="1:1" x14ac:dyDescent="0.25">
      <c r="A8971" t="str">
        <f t="shared" si="162"/>
        <v/>
      </c>
    </row>
    <row r="8972" spans="1:1" x14ac:dyDescent="0.25">
      <c r="A8972" t="str">
        <f t="shared" si="162"/>
        <v/>
      </c>
    </row>
    <row r="8973" spans="1:1" x14ac:dyDescent="0.25">
      <c r="A8973" t="str">
        <f t="shared" si="162"/>
        <v/>
      </c>
    </row>
    <row r="8974" spans="1:1" x14ac:dyDescent="0.25">
      <c r="A8974" t="str">
        <f t="shared" si="162"/>
        <v/>
      </c>
    </row>
    <row r="8975" spans="1:1" x14ac:dyDescent="0.25">
      <c r="A8975" t="str">
        <f t="shared" si="162"/>
        <v/>
      </c>
    </row>
    <row r="8976" spans="1:1" x14ac:dyDescent="0.25">
      <c r="A8976" t="str">
        <f t="shared" si="162"/>
        <v/>
      </c>
    </row>
    <row r="8977" spans="1:1" x14ac:dyDescent="0.25">
      <c r="A8977" t="str">
        <f t="shared" si="162"/>
        <v/>
      </c>
    </row>
    <row r="8978" spans="1:1" x14ac:dyDescent="0.25">
      <c r="A8978" t="str">
        <f t="shared" si="162"/>
        <v/>
      </c>
    </row>
    <row r="8979" spans="1:1" x14ac:dyDescent="0.25">
      <c r="A8979" t="str">
        <f t="shared" si="162"/>
        <v/>
      </c>
    </row>
    <row r="8980" spans="1:1" x14ac:dyDescent="0.25">
      <c r="A8980" t="str">
        <f t="shared" si="162"/>
        <v/>
      </c>
    </row>
    <row r="8981" spans="1:1" x14ac:dyDescent="0.25">
      <c r="A8981" t="str">
        <f t="shared" si="162"/>
        <v/>
      </c>
    </row>
    <row r="8982" spans="1:1" x14ac:dyDescent="0.25">
      <c r="A8982" t="str">
        <f t="shared" si="162"/>
        <v/>
      </c>
    </row>
    <row r="8983" spans="1:1" x14ac:dyDescent="0.25">
      <c r="A8983" t="str">
        <f t="shared" si="162"/>
        <v/>
      </c>
    </row>
    <row r="8984" spans="1:1" x14ac:dyDescent="0.25">
      <c r="A8984" t="str">
        <f t="shared" si="162"/>
        <v/>
      </c>
    </row>
    <row r="8985" spans="1:1" x14ac:dyDescent="0.25">
      <c r="A8985" t="str">
        <f t="shared" si="162"/>
        <v/>
      </c>
    </row>
    <row r="8986" spans="1:1" x14ac:dyDescent="0.25">
      <c r="A8986" t="str">
        <f t="shared" si="162"/>
        <v/>
      </c>
    </row>
    <row r="8987" spans="1:1" x14ac:dyDescent="0.25">
      <c r="A8987" t="str">
        <f t="shared" si="162"/>
        <v/>
      </c>
    </row>
    <row r="8988" spans="1:1" x14ac:dyDescent="0.25">
      <c r="A8988" t="str">
        <f t="shared" si="162"/>
        <v/>
      </c>
    </row>
    <row r="8989" spans="1:1" x14ac:dyDescent="0.25">
      <c r="A8989" t="str">
        <f t="shared" si="162"/>
        <v/>
      </c>
    </row>
    <row r="8990" spans="1:1" x14ac:dyDescent="0.25">
      <c r="A8990" t="str">
        <f t="shared" si="162"/>
        <v/>
      </c>
    </row>
    <row r="8991" spans="1:1" x14ac:dyDescent="0.25">
      <c r="A8991" t="str">
        <f t="shared" si="162"/>
        <v/>
      </c>
    </row>
    <row r="8992" spans="1:1" x14ac:dyDescent="0.25">
      <c r="A8992" t="str">
        <f t="shared" si="162"/>
        <v/>
      </c>
    </row>
    <row r="8993" spans="1:1" x14ac:dyDescent="0.25">
      <c r="A8993" t="str">
        <f t="shared" si="162"/>
        <v/>
      </c>
    </row>
    <row r="8994" spans="1:1" x14ac:dyDescent="0.25">
      <c r="A8994" t="str">
        <f t="shared" si="162"/>
        <v/>
      </c>
    </row>
    <row r="8995" spans="1:1" x14ac:dyDescent="0.25">
      <c r="A8995" t="str">
        <f t="shared" si="162"/>
        <v/>
      </c>
    </row>
    <row r="8996" spans="1:1" x14ac:dyDescent="0.25">
      <c r="A8996" t="str">
        <f t="shared" si="162"/>
        <v/>
      </c>
    </row>
    <row r="8997" spans="1:1" x14ac:dyDescent="0.25">
      <c r="A8997" t="str">
        <f t="shared" si="162"/>
        <v/>
      </c>
    </row>
    <row r="8998" spans="1:1" x14ac:dyDescent="0.25">
      <c r="A8998" t="str">
        <f t="shared" si="162"/>
        <v/>
      </c>
    </row>
    <row r="8999" spans="1:1" x14ac:dyDescent="0.25">
      <c r="A8999" t="str">
        <f t="shared" si="162"/>
        <v/>
      </c>
    </row>
    <row r="9000" spans="1:1" x14ac:dyDescent="0.25">
      <c r="A9000" t="str">
        <f t="shared" si="162"/>
        <v/>
      </c>
    </row>
    <row r="9001" spans="1:1" x14ac:dyDescent="0.25">
      <c r="A9001" t="str">
        <f t="shared" si="162"/>
        <v/>
      </c>
    </row>
    <row r="9002" spans="1:1" x14ac:dyDescent="0.25">
      <c r="A9002" t="str">
        <f t="shared" si="162"/>
        <v/>
      </c>
    </row>
    <row r="9003" spans="1:1" x14ac:dyDescent="0.25">
      <c r="A9003" t="str">
        <f t="shared" si="162"/>
        <v/>
      </c>
    </row>
    <row r="9004" spans="1:1" x14ac:dyDescent="0.25">
      <c r="A9004" t="str">
        <f t="shared" si="162"/>
        <v/>
      </c>
    </row>
    <row r="9005" spans="1:1" x14ac:dyDescent="0.25">
      <c r="A9005" t="str">
        <f t="shared" si="162"/>
        <v/>
      </c>
    </row>
    <row r="9006" spans="1:1" x14ac:dyDescent="0.25">
      <c r="A9006" t="str">
        <f t="shared" si="162"/>
        <v/>
      </c>
    </row>
    <row r="9007" spans="1:1" x14ac:dyDescent="0.25">
      <c r="A9007" t="str">
        <f t="shared" si="162"/>
        <v/>
      </c>
    </row>
    <row r="9008" spans="1:1" x14ac:dyDescent="0.25">
      <c r="A9008" t="str">
        <f t="shared" si="162"/>
        <v/>
      </c>
    </row>
    <row r="9009" spans="1:1" x14ac:dyDescent="0.25">
      <c r="A9009" t="str">
        <f t="shared" si="162"/>
        <v/>
      </c>
    </row>
    <row r="9010" spans="1:1" x14ac:dyDescent="0.25">
      <c r="A9010" t="str">
        <f t="shared" si="162"/>
        <v/>
      </c>
    </row>
    <row r="9011" spans="1:1" x14ac:dyDescent="0.25">
      <c r="A9011" t="str">
        <f t="shared" si="162"/>
        <v/>
      </c>
    </row>
    <row r="9012" spans="1:1" x14ac:dyDescent="0.25">
      <c r="A9012" t="str">
        <f t="shared" si="162"/>
        <v/>
      </c>
    </row>
    <row r="9013" spans="1:1" x14ac:dyDescent="0.25">
      <c r="A9013" t="str">
        <f t="shared" si="162"/>
        <v/>
      </c>
    </row>
    <row r="9014" spans="1:1" x14ac:dyDescent="0.25">
      <c r="A9014" t="str">
        <f t="shared" si="162"/>
        <v/>
      </c>
    </row>
    <row r="9015" spans="1:1" x14ac:dyDescent="0.25">
      <c r="A9015" t="str">
        <f t="shared" si="162"/>
        <v/>
      </c>
    </row>
    <row r="9016" spans="1:1" x14ac:dyDescent="0.25">
      <c r="A9016" t="str">
        <f t="shared" si="162"/>
        <v/>
      </c>
    </row>
    <row r="9017" spans="1:1" x14ac:dyDescent="0.25">
      <c r="A9017" t="str">
        <f t="shared" si="162"/>
        <v/>
      </c>
    </row>
    <row r="9018" spans="1:1" x14ac:dyDescent="0.25">
      <c r="A9018" t="str">
        <f t="shared" si="162"/>
        <v/>
      </c>
    </row>
    <row r="9019" spans="1:1" x14ac:dyDescent="0.25">
      <c r="A9019" t="str">
        <f t="shared" si="162"/>
        <v/>
      </c>
    </row>
    <row r="9020" spans="1:1" x14ac:dyDescent="0.25">
      <c r="A9020" t="str">
        <f t="shared" si="162"/>
        <v/>
      </c>
    </row>
    <row r="9021" spans="1:1" x14ac:dyDescent="0.25">
      <c r="A9021" t="str">
        <f t="shared" si="162"/>
        <v/>
      </c>
    </row>
    <row r="9022" spans="1:1" x14ac:dyDescent="0.25">
      <c r="A9022" t="str">
        <f t="shared" si="162"/>
        <v/>
      </c>
    </row>
    <row r="9023" spans="1:1" x14ac:dyDescent="0.25">
      <c r="A9023" t="str">
        <f t="shared" si="162"/>
        <v/>
      </c>
    </row>
    <row r="9024" spans="1:1" x14ac:dyDescent="0.25">
      <c r="A9024" t="str">
        <f t="shared" si="162"/>
        <v/>
      </c>
    </row>
    <row r="9025" spans="1:1" x14ac:dyDescent="0.25">
      <c r="A9025" t="str">
        <f t="shared" ref="A9025:A9088" si="163">E9025&amp;C9025&amp;D9025</f>
        <v/>
      </c>
    </row>
    <row r="9026" spans="1:1" x14ac:dyDescent="0.25">
      <c r="A9026" t="str">
        <f t="shared" si="163"/>
        <v/>
      </c>
    </row>
    <row r="9027" spans="1:1" x14ac:dyDescent="0.25">
      <c r="A9027" t="str">
        <f t="shared" si="163"/>
        <v/>
      </c>
    </row>
    <row r="9028" spans="1:1" x14ac:dyDescent="0.25">
      <c r="A9028" t="str">
        <f t="shared" si="163"/>
        <v/>
      </c>
    </row>
    <row r="9029" spans="1:1" x14ac:dyDescent="0.25">
      <c r="A9029" t="str">
        <f t="shared" si="163"/>
        <v/>
      </c>
    </row>
    <row r="9030" spans="1:1" x14ac:dyDescent="0.25">
      <c r="A9030" t="str">
        <f t="shared" si="163"/>
        <v/>
      </c>
    </row>
    <row r="9031" spans="1:1" x14ac:dyDescent="0.25">
      <c r="A9031" t="str">
        <f t="shared" si="163"/>
        <v/>
      </c>
    </row>
    <row r="9032" spans="1:1" x14ac:dyDescent="0.25">
      <c r="A9032" t="str">
        <f t="shared" si="163"/>
        <v/>
      </c>
    </row>
    <row r="9033" spans="1:1" x14ac:dyDescent="0.25">
      <c r="A9033" t="str">
        <f t="shared" si="163"/>
        <v/>
      </c>
    </row>
    <row r="9034" spans="1:1" x14ac:dyDescent="0.25">
      <c r="A9034" t="str">
        <f t="shared" si="163"/>
        <v/>
      </c>
    </row>
    <row r="9035" spans="1:1" x14ac:dyDescent="0.25">
      <c r="A9035" t="str">
        <f t="shared" si="163"/>
        <v/>
      </c>
    </row>
    <row r="9036" spans="1:1" x14ac:dyDescent="0.25">
      <c r="A9036" t="str">
        <f t="shared" si="163"/>
        <v/>
      </c>
    </row>
    <row r="9037" spans="1:1" x14ac:dyDescent="0.25">
      <c r="A9037" t="str">
        <f t="shared" si="163"/>
        <v/>
      </c>
    </row>
    <row r="9038" spans="1:1" x14ac:dyDescent="0.25">
      <c r="A9038" t="str">
        <f t="shared" si="163"/>
        <v/>
      </c>
    </row>
    <row r="9039" spans="1:1" x14ac:dyDescent="0.25">
      <c r="A9039" t="str">
        <f t="shared" si="163"/>
        <v/>
      </c>
    </row>
    <row r="9040" spans="1:1" x14ac:dyDescent="0.25">
      <c r="A9040" t="str">
        <f t="shared" si="163"/>
        <v/>
      </c>
    </row>
    <row r="9041" spans="1:1" x14ac:dyDescent="0.25">
      <c r="A9041" t="str">
        <f t="shared" si="163"/>
        <v/>
      </c>
    </row>
    <row r="9042" spans="1:1" x14ac:dyDescent="0.25">
      <c r="A9042" t="str">
        <f t="shared" si="163"/>
        <v/>
      </c>
    </row>
    <row r="9043" spans="1:1" x14ac:dyDescent="0.25">
      <c r="A9043" t="str">
        <f t="shared" si="163"/>
        <v/>
      </c>
    </row>
    <row r="9044" spans="1:1" x14ac:dyDescent="0.25">
      <c r="A9044" t="str">
        <f t="shared" si="163"/>
        <v/>
      </c>
    </row>
    <row r="9045" spans="1:1" x14ac:dyDescent="0.25">
      <c r="A9045" t="str">
        <f t="shared" si="163"/>
        <v/>
      </c>
    </row>
    <row r="9046" spans="1:1" x14ac:dyDescent="0.25">
      <c r="A9046" t="str">
        <f t="shared" si="163"/>
        <v/>
      </c>
    </row>
    <row r="9047" spans="1:1" x14ac:dyDescent="0.25">
      <c r="A9047" t="str">
        <f t="shared" si="163"/>
        <v/>
      </c>
    </row>
    <row r="9048" spans="1:1" x14ac:dyDescent="0.25">
      <c r="A9048" t="str">
        <f t="shared" si="163"/>
        <v/>
      </c>
    </row>
    <row r="9049" spans="1:1" x14ac:dyDescent="0.25">
      <c r="A9049" t="str">
        <f t="shared" si="163"/>
        <v/>
      </c>
    </row>
    <row r="9050" spans="1:1" x14ac:dyDescent="0.25">
      <c r="A9050" t="str">
        <f t="shared" si="163"/>
        <v/>
      </c>
    </row>
    <row r="9051" spans="1:1" x14ac:dyDescent="0.25">
      <c r="A9051" t="str">
        <f t="shared" si="163"/>
        <v/>
      </c>
    </row>
    <row r="9052" spans="1:1" x14ac:dyDescent="0.25">
      <c r="A9052" t="str">
        <f t="shared" si="163"/>
        <v/>
      </c>
    </row>
    <row r="9053" spans="1:1" x14ac:dyDescent="0.25">
      <c r="A9053" t="str">
        <f t="shared" si="163"/>
        <v/>
      </c>
    </row>
    <row r="9054" spans="1:1" x14ac:dyDescent="0.25">
      <c r="A9054" t="str">
        <f t="shared" si="163"/>
        <v/>
      </c>
    </row>
    <row r="9055" spans="1:1" x14ac:dyDescent="0.25">
      <c r="A9055" t="str">
        <f t="shared" si="163"/>
        <v/>
      </c>
    </row>
    <row r="9056" spans="1:1" x14ac:dyDescent="0.25">
      <c r="A9056" t="str">
        <f t="shared" si="163"/>
        <v/>
      </c>
    </row>
    <row r="9057" spans="1:1" x14ac:dyDescent="0.25">
      <c r="A9057" t="str">
        <f t="shared" si="163"/>
        <v/>
      </c>
    </row>
    <row r="9058" spans="1:1" x14ac:dyDescent="0.25">
      <c r="A9058" t="str">
        <f t="shared" si="163"/>
        <v/>
      </c>
    </row>
    <row r="9059" spans="1:1" x14ac:dyDescent="0.25">
      <c r="A9059" t="str">
        <f t="shared" si="163"/>
        <v/>
      </c>
    </row>
    <row r="9060" spans="1:1" x14ac:dyDescent="0.25">
      <c r="A9060" t="str">
        <f t="shared" si="163"/>
        <v/>
      </c>
    </row>
    <row r="9061" spans="1:1" x14ac:dyDescent="0.25">
      <c r="A9061" t="str">
        <f t="shared" si="163"/>
        <v/>
      </c>
    </row>
    <row r="9062" spans="1:1" x14ac:dyDescent="0.25">
      <c r="A9062" t="str">
        <f t="shared" si="163"/>
        <v/>
      </c>
    </row>
    <row r="9063" spans="1:1" x14ac:dyDescent="0.25">
      <c r="A9063" t="str">
        <f t="shared" si="163"/>
        <v/>
      </c>
    </row>
    <row r="9064" spans="1:1" x14ac:dyDescent="0.25">
      <c r="A9064" t="str">
        <f t="shared" si="163"/>
        <v/>
      </c>
    </row>
    <row r="9065" spans="1:1" x14ac:dyDescent="0.25">
      <c r="A9065" t="str">
        <f t="shared" si="163"/>
        <v/>
      </c>
    </row>
    <row r="9066" spans="1:1" x14ac:dyDescent="0.25">
      <c r="A9066" t="str">
        <f t="shared" si="163"/>
        <v/>
      </c>
    </row>
    <row r="9067" spans="1:1" x14ac:dyDescent="0.25">
      <c r="A9067" t="str">
        <f t="shared" si="163"/>
        <v/>
      </c>
    </row>
    <row r="9068" spans="1:1" x14ac:dyDescent="0.25">
      <c r="A9068" t="str">
        <f t="shared" si="163"/>
        <v/>
      </c>
    </row>
    <row r="9069" spans="1:1" x14ac:dyDescent="0.25">
      <c r="A9069" t="str">
        <f t="shared" si="163"/>
        <v/>
      </c>
    </row>
    <row r="9070" spans="1:1" x14ac:dyDescent="0.25">
      <c r="A9070" t="str">
        <f t="shared" si="163"/>
        <v/>
      </c>
    </row>
    <row r="9071" spans="1:1" x14ac:dyDescent="0.25">
      <c r="A9071" t="str">
        <f t="shared" si="163"/>
        <v/>
      </c>
    </row>
    <row r="9072" spans="1:1" x14ac:dyDescent="0.25">
      <c r="A9072" t="str">
        <f t="shared" si="163"/>
        <v/>
      </c>
    </row>
    <row r="9073" spans="1:1" x14ac:dyDescent="0.25">
      <c r="A9073" t="str">
        <f t="shared" si="163"/>
        <v/>
      </c>
    </row>
    <row r="9074" spans="1:1" x14ac:dyDescent="0.25">
      <c r="A9074" t="str">
        <f t="shared" si="163"/>
        <v/>
      </c>
    </row>
    <row r="9075" spans="1:1" x14ac:dyDescent="0.25">
      <c r="A9075" t="str">
        <f t="shared" si="163"/>
        <v/>
      </c>
    </row>
    <row r="9076" spans="1:1" x14ac:dyDescent="0.25">
      <c r="A9076" t="str">
        <f t="shared" si="163"/>
        <v/>
      </c>
    </row>
    <row r="9077" spans="1:1" x14ac:dyDescent="0.25">
      <c r="A9077" t="str">
        <f t="shared" si="163"/>
        <v/>
      </c>
    </row>
    <row r="9078" spans="1:1" x14ac:dyDescent="0.25">
      <c r="A9078" t="str">
        <f t="shared" si="163"/>
        <v/>
      </c>
    </row>
    <row r="9079" spans="1:1" x14ac:dyDescent="0.25">
      <c r="A9079" t="str">
        <f t="shared" si="163"/>
        <v/>
      </c>
    </row>
    <row r="9080" spans="1:1" x14ac:dyDescent="0.25">
      <c r="A9080" t="str">
        <f t="shared" si="163"/>
        <v/>
      </c>
    </row>
    <row r="9081" spans="1:1" x14ac:dyDescent="0.25">
      <c r="A9081" t="str">
        <f t="shared" si="163"/>
        <v/>
      </c>
    </row>
    <row r="9082" spans="1:1" x14ac:dyDescent="0.25">
      <c r="A9082" t="str">
        <f t="shared" si="163"/>
        <v/>
      </c>
    </row>
    <row r="9083" spans="1:1" x14ac:dyDescent="0.25">
      <c r="A9083" t="str">
        <f t="shared" si="163"/>
        <v/>
      </c>
    </row>
    <row r="9084" spans="1:1" x14ac:dyDescent="0.25">
      <c r="A9084" t="str">
        <f t="shared" si="163"/>
        <v/>
      </c>
    </row>
    <row r="9085" spans="1:1" x14ac:dyDescent="0.25">
      <c r="A9085" t="str">
        <f t="shared" si="163"/>
        <v/>
      </c>
    </row>
    <row r="9086" spans="1:1" x14ac:dyDescent="0.25">
      <c r="A9086" t="str">
        <f t="shared" si="163"/>
        <v/>
      </c>
    </row>
    <row r="9087" spans="1:1" x14ac:dyDescent="0.25">
      <c r="A9087" t="str">
        <f t="shared" si="163"/>
        <v/>
      </c>
    </row>
    <row r="9088" spans="1:1" x14ac:dyDescent="0.25">
      <c r="A9088" t="str">
        <f t="shared" si="163"/>
        <v/>
      </c>
    </row>
    <row r="9089" spans="1:1" x14ac:dyDescent="0.25">
      <c r="A9089" t="str">
        <f t="shared" ref="A9089:A9141" si="164">E9089&amp;C9089&amp;D9089</f>
        <v/>
      </c>
    </row>
    <row r="9090" spans="1:1" x14ac:dyDescent="0.25">
      <c r="A9090" t="str">
        <f t="shared" si="164"/>
        <v/>
      </c>
    </row>
    <row r="9091" spans="1:1" x14ac:dyDescent="0.25">
      <c r="A9091" t="str">
        <f t="shared" si="164"/>
        <v/>
      </c>
    </row>
    <row r="9092" spans="1:1" x14ac:dyDescent="0.25">
      <c r="A9092" t="str">
        <f t="shared" si="164"/>
        <v/>
      </c>
    </row>
    <row r="9093" spans="1:1" x14ac:dyDescent="0.25">
      <c r="A9093" t="str">
        <f t="shared" si="164"/>
        <v/>
      </c>
    </row>
    <row r="9094" spans="1:1" x14ac:dyDescent="0.25">
      <c r="A9094" t="str">
        <f t="shared" si="164"/>
        <v/>
      </c>
    </row>
    <row r="9095" spans="1:1" x14ac:dyDescent="0.25">
      <c r="A9095" t="str">
        <f t="shared" si="164"/>
        <v/>
      </c>
    </row>
    <row r="9096" spans="1:1" x14ac:dyDescent="0.25">
      <c r="A9096" t="str">
        <f t="shared" si="164"/>
        <v/>
      </c>
    </row>
    <row r="9097" spans="1:1" x14ac:dyDescent="0.25">
      <c r="A9097" t="str">
        <f t="shared" si="164"/>
        <v/>
      </c>
    </row>
    <row r="9098" spans="1:1" x14ac:dyDescent="0.25">
      <c r="A9098" t="str">
        <f t="shared" si="164"/>
        <v/>
      </c>
    </row>
    <row r="9099" spans="1:1" x14ac:dyDescent="0.25">
      <c r="A9099" t="str">
        <f t="shared" si="164"/>
        <v/>
      </c>
    </row>
    <row r="9100" spans="1:1" x14ac:dyDescent="0.25">
      <c r="A9100" t="str">
        <f t="shared" si="164"/>
        <v/>
      </c>
    </row>
    <row r="9101" spans="1:1" x14ac:dyDescent="0.25">
      <c r="A9101" t="str">
        <f t="shared" si="164"/>
        <v/>
      </c>
    </row>
    <row r="9102" spans="1:1" x14ac:dyDescent="0.25">
      <c r="A9102" t="str">
        <f t="shared" si="164"/>
        <v/>
      </c>
    </row>
    <row r="9103" spans="1:1" x14ac:dyDescent="0.25">
      <c r="A9103" t="str">
        <f t="shared" si="164"/>
        <v/>
      </c>
    </row>
    <row r="9104" spans="1:1" x14ac:dyDescent="0.25">
      <c r="A9104" t="str">
        <f t="shared" si="164"/>
        <v/>
      </c>
    </row>
    <row r="9105" spans="1:1" x14ac:dyDescent="0.25">
      <c r="A9105" t="str">
        <f t="shared" si="164"/>
        <v/>
      </c>
    </row>
    <row r="9106" spans="1:1" x14ac:dyDescent="0.25">
      <c r="A9106" t="str">
        <f t="shared" si="164"/>
        <v/>
      </c>
    </row>
    <row r="9107" spans="1:1" x14ac:dyDescent="0.25">
      <c r="A9107" t="str">
        <f t="shared" si="164"/>
        <v/>
      </c>
    </row>
    <row r="9108" spans="1:1" x14ac:dyDescent="0.25">
      <c r="A9108" t="str">
        <f t="shared" si="164"/>
        <v/>
      </c>
    </row>
    <row r="9109" spans="1:1" x14ac:dyDescent="0.25">
      <c r="A9109" t="str">
        <f t="shared" si="164"/>
        <v/>
      </c>
    </row>
    <row r="9110" spans="1:1" x14ac:dyDescent="0.25">
      <c r="A9110" t="str">
        <f t="shared" si="164"/>
        <v/>
      </c>
    </row>
    <row r="9111" spans="1:1" x14ac:dyDescent="0.25">
      <c r="A9111" t="str">
        <f t="shared" si="164"/>
        <v/>
      </c>
    </row>
    <row r="9112" spans="1:1" x14ac:dyDescent="0.25">
      <c r="A9112" t="str">
        <f t="shared" si="164"/>
        <v/>
      </c>
    </row>
    <row r="9113" spans="1:1" x14ac:dyDescent="0.25">
      <c r="A9113" t="str">
        <f t="shared" si="164"/>
        <v/>
      </c>
    </row>
    <row r="9114" spans="1:1" x14ac:dyDescent="0.25">
      <c r="A9114" t="str">
        <f t="shared" si="164"/>
        <v/>
      </c>
    </row>
    <row r="9115" spans="1:1" x14ac:dyDescent="0.25">
      <c r="A9115" t="str">
        <f t="shared" si="164"/>
        <v/>
      </c>
    </row>
    <row r="9116" spans="1:1" x14ac:dyDescent="0.25">
      <c r="A9116" t="str">
        <f t="shared" si="164"/>
        <v/>
      </c>
    </row>
    <row r="9117" spans="1:1" x14ac:dyDescent="0.25">
      <c r="A9117" t="str">
        <f t="shared" si="164"/>
        <v/>
      </c>
    </row>
    <row r="9118" spans="1:1" x14ac:dyDescent="0.25">
      <c r="A9118" t="str">
        <f t="shared" si="164"/>
        <v/>
      </c>
    </row>
    <row r="9119" spans="1:1" x14ac:dyDescent="0.25">
      <c r="A9119" t="str">
        <f t="shared" si="164"/>
        <v/>
      </c>
    </row>
    <row r="9120" spans="1:1" x14ac:dyDescent="0.25">
      <c r="A9120" t="str">
        <f t="shared" si="164"/>
        <v/>
      </c>
    </row>
    <row r="9121" spans="1:1" x14ac:dyDescent="0.25">
      <c r="A9121" t="str">
        <f t="shared" si="164"/>
        <v/>
      </c>
    </row>
    <row r="9122" spans="1:1" x14ac:dyDescent="0.25">
      <c r="A9122" t="str">
        <f t="shared" si="164"/>
        <v/>
      </c>
    </row>
    <row r="9123" spans="1:1" x14ac:dyDescent="0.25">
      <c r="A9123" t="str">
        <f t="shared" si="164"/>
        <v/>
      </c>
    </row>
    <row r="9124" spans="1:1" x14ac:dyDescent="0.25">
      <c r="A9124" t="str">
        <f t="shared" si="164"/>
        <v/>
      </c>
    </row>
    <row r="9125" spans="1:1" x14ac:dyDescent="0.25">
      <c r="A9125" t="str">
        <f t="shared" si="164"/>
        <v/>
      </c>
    </row>
    <row r="9126" spans="1:1" x14ac:dyDescent="0.25">
      <c r="A9126" t="str">
        <f t="shared" si="164"/>
        <v/>
      </c>
    </row>
    <row r="9127" spans="1:1" x14ac:dyDescent="0.25">
      <c r="A9127" t="str">
        <f t="shared" si="164"/>
        <v/>
      </c>
    </row>
    <row r="9128" spans="1:1" x14ac:dyDescent="0.25">
      <c r="A9128" t="str">
        <f t="shared" si="164"/>
        <v/>
      </c>
    </row>
    <row r="9129" spans="1:1" x14ac:dyDescent="0.25">
      <c r="A9129" t="str">
        <f t="shared" si="164"/>
        <v/>
      </c>
    </row>
    <row r="9130" spans="1:1" x14ac:dyDescent="0.25">
      <c r="A9130" t="str">
        <f t="shared" si="164"/>
        <v/>
      </c>
    </row>
    <row r="9131" spans="1:1" x14ac:dyDescent="0.25">
      <c r="A9131" t="str">
        <f t="shared" si="164"/>
        <v/>
      </c>
    </row>
    <row r="9132" spans="1:1" x14ac:dyDescent="0.25">
      <c r="A9132" t="str">
        <f t="shared" si="164"/>
        <v/>
      </c>
    </row>
    <row r="9133" spans="1:1" x14ac:dyDescent="0.25">
      <c r="A9133" t="str">
        <f t="shared" si="164"/>
        <v/>
      </c>
    </row>
    <row r="9134" spans="1:1" x14ac:dyDescent="0.25">
      <c r="A9134" t="str">
        <f t="shared" si="164"/>
        <v/>
      </c>
    </row>
    <row r="9135" spans="1:1" x14ac:dyDescent="0.25">
      <c r="A9135" t="str">
        <f t="shared" si="164"/>
        <v/>
      </c>
    </row>
    <row r="9136" spans="1:1" x14ac:dyDescent="0.25">
      <c r="A9136" t="str">
        <f t="shared" si="164"/>
        <v/>
      </c>
    </row>
    <row r="9137" spans="1:1" x14ac:dyDescent="0.25">
      <c r="A9137" t="str">
        <f t="shared" si="164"/>
        <v/>
      </c>
    </row>
    <row r="9138" spans="1:1" x14ac:dyDescent="0.25">
      <c r="A9138" t="str">
        <f t="shared" si="164"/>
        <v/>
      </c>
    </row>
    <row r="9139" spans="1:1" x14ac:dyDescent="0.25">
      <c r="A9139" t="str">
        <f t="shared" si="164"/>
        <v/>
      </c>
    </row>
    <row r="9140" spans="1:1" x14ac:dyDescent="0.25">
      <c r="A9140" t="str">
        <f t="shared" si="164"/>
        <v/>
      </c>
    </row>
    <row r="9141" spans="1:1" x14ac:dyDescent="0.25">
      <c r="A9141" t="str">
        <f t="shared" si="164"/>
        <v/>
      </c>
    </row>
  </sheetData>
  <autoFilter ref="A1:AZ39"/>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U1261"/>
  <sheetViews>
    <sheetView topLeftCell="B1" zoomScale="80" zoomScaleNormal="80" workbookViewId="0">
      <pane ySplit="1" topLeftCell="A448" activePane="bottomLeft" state="frozen"/>
      <selection activeCell="B1" sqref="B1"/>
      <selection pane="bottomLeft" activeCell="B450" sqref="B450:AF453"/>
    </sheetView>
  </sheetViews>
  <sheetFormatPr defaultRowHeight="15" x14ac:dyDescent="0.25"/>
  <cols>
    <col min="1" max="1" width="20.85546875" hidden="1" customWidth="1"/>
    <col min="2" max="2" width="12" bestFit="1" customWidth="1"/>
    <col min="3" max="3" width="16.28515625" style="10" bestFit="1" customWidth="1"/>
    <col min="4" max="4" width="21.28515625" style="10" bestFit="1" customWidth="1"/>
    <col min="5" max="5" width="13" bestFit="1" customWidth="1"/>
    <col min="6" max="6" width="11.5703125" bestFit="1" customWidth="1"/>
    <col min="7" max="7" width="11.28515625" style="60" bestFit="1" customWidth="1"/>
    <col min="8" max="8" width="10.85546875" bestFit="1" customWidth="1"/>
    <col min="9" max="9" width="16.28515625" style="26" bestFit="1" customWidth="1"/>
    <col min="10" max="10" width="12.7109375" bestFit="1" customWidth="1"/>
    <col min="11" max="11" width="8.5703125" bestFit="1" customWidth="1"/>
    <col min="12" max="12" width="13" bestFit="1" customWidth="1"/>
    <col min="13" max="13" width="20.85546875" bestFit="1" customWidth="1"/>
    <col min="14" max="14" width="11" bestFit="1" customWidth="1"/>
    <col min="15" max="15" width="15.140625" bestFit="1" customWidth="1"/>
    <col min="16" max="16" width="18" bestFit="1" customWidth="1"/>
    <col min="17" max="17" width="11" bestFit="1" customWidth="1"/>
    <col min="18" max="18" width="15.28515625" bestFit="1" customWidth="1"/>
    <col min="19" max="19" width="10.140625" bestFit="1" customWidth="1"/>
    <col min="20" max="20" width="15.5703125" bestFit="1" customWidth="1"/>
    <col min="21" max="21" width="17.140625" bestFit="1" customWidth="1"/>
    <col min="22" max="22" width="21" style="10" bestFit="1" customWidth="1"/>
    <col min="23" max="23" width="15.5703125" bestFit="1" customWidth="1"/>
    <col min="24" max="24" width="16.5703125" bestFit="1" customWidth="1"/>
    <col min="25" max="25" width="18.7109375" bestFit="1" customWidth="1"/>
    <col min="26" max="26" width="178.85546875" bestFit="1" customWidth="1"/>
    <col min="27" max="27" width="15.7109375" bestFit="1" customWidth="1"/>
    <col min="28" max="28" width="13" bestFit="1" customWidth="1"/>
    <col min="29" max="29" width="13.42578125" bestFit="1" customWidth="1"/>
    <col min="30" max="30" width="21.42578125" bestFit="1" customWidth="1"/>
    <col min="31" max="31" width="26.42578125" bestFit="1" customWidth="1"/>
    <col min="32" max="32" width="4.85546875" bestFit="1" customWidth="1"/>
    <col min="33" max="33" width="5" bestFit="1" customWidth="1"/>
    <col min="34" max="34" width="4.85546875" bestFit="1" customWidth="1"/>
    <col min="35" max="35" width="13" bestFit="1" customWidth="1"/>
    <col min="36" max="36" width="7" bestFit="1" customWidth="1"/>
    <col min="37" max="37" width="7.28515625" bestFit="1" customWidth="1"/>
    <col min="38" max="38" width="7.7109375" bestFit="1" customWidth="1"/>
    <col min="39" max="39" width="8.7109375" bestFit="1" customWidth="1"/>
    <col min="40" max="40" width="5.5703125" bestFit="1" customWidth="1"/>
    <col min="41" max="41" width="9.42578125" bestFit="1" customWidth="1"/>
    <col min="42" max="42" width="13.5703125" bestFit="1" customWidth="1"/>
    <col min="43" max="43" width="20.7109375" bestFit="1" customWidth="1"/>
    <col min="44" max="44" width="15.7109375" bestFit="1" customWidth="1"/>
    <col min="45" max="45" width="20.28515625" bestFit="1" customWidth="1"/>
    <col min="46" max="46" width="20.85546875" bestFit="1" customWidth="1"/>
    <col min="47" max="47" width="13.140625" bestFit="1" customWidth="1"/>
  </cols>
  <sheetData>
    <row r="1" spans="1:47" x14ac:dyDescent="0.25">
      <c r="B1" s="11" t="s">
        <v>127</v>
      </c>
      <c r="C1" s="20" t="s">
        <v>128</v>
      </c>
      <c r="D1" s="20" t="s">
        <v>82</v>
      </c>
      <c r="E1" s="11" t="s">
        <v>129</v>
      </c>
      <c r="F1" s="11" t="s">
        <v>83</v>
      </c>
      <c r="G1" s="62" t="s">
        <v>3</v>
      </c>
      <c r="H1" s="11" t="s">
        <v>130</v>
      </c>
      <c r="I1" s="61" t="s">
        <v>84</v>
      </c>
      <c r="J1" s="11" t="s">
        <v>6</v>
      </c>
      <c r="K1" t="s">
        <v>7</v>
      </c>
      <c r="L1" s="11" t="s">
        <v>12</v>
      </c>
      <c r="M1" s="11" t="s">
        <v>131</v>
      </c>
      <c r="N1" s="11" t="s">
        <v>86</v>
      </c>
      <c r="O1" s="11" t="s">
        <v>132</v>
      </c>
      <c r="P1" s="11" t="s">
        <v>133</v>
      </c>
      <c r="Q1" s="11" t="s">
        <v>85</v>
      </c>
      <c r="R1" s="11" t="s">
        <v>87</v>
      </c>
      <c r="S1" s="11" t="s">
        <v>134</v>
      </c>
      <c r="T1" s="11" t="s">
        <v>135</v>
      </c>
      <c r="U1" s="11" t="s">
        <v>136</v>
      </c>
      <c r="V1" s="20" t="s">
        <v>137</v>
      </c>
      <c r="W1" s="11" t="s">
        <v>138</v>
      </c>
      <c r="X1" s="11" t="s">
        <v>139</v>
      </c>
      <c r="Y1" s="11" t="s">
        <v>89</v>
      </c>
      <c r="Z1" s="11" t="s">
        <v>47</v>
      </c>
      <c r="AA1" s="11" t="s">
        <v>140</v>
      </c>
      <c r="AB1" s="11" t="s">
        <v>102</v>
      </c>
      <c r="AC1" s="11" t="s">
        <v>103</v>
      </c>
      <c r="AD1" s="11" t="s">
        <v>106</v>
      </c>
      <c r="AE1" s="11" t="s">
        <v>141</v>
      </c>
      <c r="AF1" s="11" t="s">
        <v>632</v>
      </c>
      <c r="AG1" s="11" t="s">
        <v>101</v>
      </c>
      <c r="AH1" s="11" t="s">
        <v>88</v>
      </c>
      <c r="AI1" s="11" t="s">
        <v>89</v>
      </c>
      <c r="AJ1" t="s">
        <v>90</v>
      </c>
      <c r="AK1" t="s">
        <v>102</v>
      </c>
      <c r="AL1" t="s">
        <v>103</v>
      </c>
      <c r="AM1" t="s">
        <v>104</v>
      </c>
      <c r="AN1" t="s">
        <v>91</v>
      </c>
      <c r="AO1" t="s">
        <v>92</v>
      </c>
      <c r="AP1" t="s">
        <v>34</v>
      </c>
      <c r="AQ1" t="s">
        <v>105</v>
      </c>
      <c r="AR1" t="s">
        <v>106</v>
      </c>
      <c r="AS1" t="s">
        <v>107</v>
      </c>
      <c r="AT1" t="s">
        <v>108</v>
      </c>
      <c r="AU1" t="s">
        <v>109</v>
      </c>
    </row>
    <row r="2" spans="1:47" x14ac:dyDescent="0.25">
      <c r="A2" t="str">
        <f>I2&amp;M2</f>
        <v>500000505979700166</v>
      </c>
      <c r="B2">
        <v>5025000485</v>
      </c>
      <c r="C2" s="10" t="s">
        <v>170</v>
      </c>
      <c r="D2" s="10">
        <v>45667</v>
      </c>
      <c r="E2" s="26">
        <v>2025</v>
      </c>
      <c r="F2">
        <v>1</v>
      </c>
      <c r="G2" s="60">
        <v>2</v>
      </c>
      <c r="I2" s="26">
        <v>5000005059</v>
      </c>
      <c r="J2" t="s">
        <v>37</v>
      </c>
      <c r="K2" t="s">
        <v>38</v>
      </c>
      <c r="M2">
        <v>79700166</v>
      </c>
      <c r="N2">
        <v>101</v>
      </c>
      <c r="O2" t="s">
        <v>171</v>
      </c>
      <c r="Q2" t="s">
        <v>93</v>
      </c>
      <c r="R2">
        <v>190000</v>
      </c>
      <c r="T2">
        <v>2</v>
      </c>
      <c r="U2">
        <v>1</v>
      </c>
      <c r="Z2" t="s">
        <v>172</v>
      </c>
    </row>
    <row r="3" spans="1:47" x14ac:dyDescent="0.25">
      <c r="A3" t="str">
        <f t="shared" ref="A3:A66" si="0">I3&amp;M3</f>
        <v>500000424879700166</v>
      </c>
      <c r="B3">
        <v>5025000485</v>
      </c>
      <c r="C3" s="10" t="s">
        <v>170</v>
      </c>
      <c r="D3" s="10">
        <v>45667</v>
      </c>
      <c r="E3" s="26">
        <v>2025</v>
      </c>
      <c r="F3">
        <v>2</v>
      </c>
      <c r="G3" s="60">
        <v>2</v>
      </c>
      <c r="H3" s="10"/>
      <c r="I3" s="26">
        <v>5000004248</v>
      </c>
      <c r="J3" s="10" t="s">
        <v>37</v>
      </c>
      <c r="K3" s="10" t="s">
        <v>38</v>
      </c>
      <c r="M3">
        <v>79700166</v>
      </c>
      <c r="N3">
        <v>101</v>
      </c>
      <c r="O3" t="s">
        <v>171</v>
      </c>
      <c r="Q3" t="s">
        <v>93</v>
      </c>
      <c r="R3">
        <v>130000</v>
      </c>
      <c r="T3">
        <v>2</v>
      </c>
      <c r="U3">
        <v>2</v>
      </c>
      <c r="Z3" t="s">
        <v>173</v>
      </c>
    </row>
    <row r="4" spans="1:47" x14ac:dyDescent="0.25">
      <c r="A4" t="str">
        <f t="shared" si="0"/>
        <v>500001144879700166</v>
      </c>
      <c r="B4">
        <v>5025000485</v>
      </c>
      <c r="C4" s="10" t="s">
        <v>170</v>
      </c>
      <c r="D4" s="10">
        <v>45667</v>
      </c>
      <c r="E4" s="26">
        <v>2025</v>
      </c>
      <c r="F4">
        <v>3</v>
      </c>
      <c r="G4" s="60">
        <v>2</v>
      </c>
      <c r="I4" s="26">
        <v>5000011448</v>
      </c>
      <c r="J4" t="s">
        <v>37</v>
      </c>
      <c r="K4" t="s">
        <v>38</v>
      </c>
      <c r="M4">
        <v>79700166</v>
      </c>
      <c r="N4">
        <v>101</v>
      </c>
      <c r="O4" t="s">
        <v>171</v>
      </c>
      <c r="Q4" t="s">
        <v>35</v>
      </c>
      <c r="R4">
        <v>100000</v>
      </c>
      <c r="T4">
        <v>2</v>
      </c>
      <c r="U4">
        <v>3</v>
      </c>
      <c r="Z4" t="s">
        <v>123</v>
      </c>
    </row>
    <row r="5" spans="1:47" x14ac:dyDescent="0.25">
      <c r="A5" t="str">
        <f t="shared" si="0"/>
        <v>500000892979700166</v>
      </c>
      <c r="B5">
        <v>5025000485</v>
      </c>
      <c r="C5" s="10" t="s">
        <v>170</v>
      </c>
      <c r="D5" s="10">
        <v>45667</v>
      </c>
      <c r="E5" s="26">
        <v>2025</v>
      </c>
      <c r="F5">
        <v>4</v>
      </c>
      <c r="G5" s="60">
        <v>6</v>
      </c>
      <c r="I5" s="26">
        <v>5000008929</v>
      </c>
      <c r="J5" t="s">
        <v>37</v>
      </c>
      <c r="K5" t="s">
        <v>38</v>
      </c>
      <c r="M5">
        <v>79700166</v>
      </c>
      <c r="N5">
        <v>101</v>
      </c>
      <c r="O5" t="s">
        <v>171</v>
      </c>
      <c r="Q5" t="s">
        <v>93</v>
      </c>
      <c r="R5">
        <v>900000</v>
      </c>
      <c r="T5">
        <v>6</v>
      </c>
      <c r="U5">
        <v>4</v>
      </c>
      <c r="Z5" t="s">
        <v>165</v>
      </c>
    </row>
    <row r="6" spans="1:47" x14ac:dyDescent="0.25">
      <c r="A6" t="str">
        <f t="shared" si="0"/>
        <v>500001175479700163</v>
      </c>
      <c r="B6">
        <v>5025000635</v>
      </c>
      <c r="C6" s="10" t="s">
        <v>170</v>
      </c>
      <c r="D6" s="10">
        <v>45670</v>
      </c>
      <c r="E6" s="26">
        <v>2025</v>
      </c>
      <c r="F6">
        <v>1</v>
      </c>
      <c r="G6" s="60">
        <v>1</v>
      </c>
      <c r="I6" s="26">
        <v>5000011754</v>
      </c>
      <c r="J6" t="s">
        <v>37</v>
      </c>
      <c r="K6" t="s">
        <v>38</v>
      </c>
      <c r="M6">
        <v>79700163</v>
      </c>
      <c r="N6">
        <v>101</v>
      </c>
      <c r="O6" t="s">
        <v>171</v>
      </c>
      <c r="Q6" t="s">
        <v>93</v>
      </c>
      <c r="R6">
        <v>20000</v>
      </c>
      <c r="T6">
        <v>1</v>
      </c>
      <c r="U6">
        <v>1</v>
      </c>
      <c r="Z6" t="s">
        <v>125</v>
      </c>
    </row>
    <row r="7" spans="1:47" x14ac:dyDescent="0.25">
      <c r="A7" t="str">
        <f t="shared" si="0"/>
        <v>500001630879700161</v>
      </c>
      <c r="B7">
        <v>5025000984</v>
      </c>
      <c r="C7" s="10" t="s">
        <v>170</v>
      </c>
      <c r="D7" s="10">
        <v>45674</v>
      </c>
      <c r="E7" s="26">
        <v>2025</v>
      </c>
      <c r="F7">
        <v>1</v>
      </c>
      <c r="G7" s="60">
        <v>2</v>
      </c>
      <c r="I7" s="26">
        <v>5000016308</v>
      </c>
      <c r="J7" t="s">
        <v>37</v>
      </c>
      <c r="K7" t="s">
        <v>38</v>
      </c>
      <c r="M7">
        <v>79700161</v>
      </c>
      <c r="N7">
        <v>101</v>
      </c>
      <c r="O7" t="s">
        <v>171</v>
      </c>
      <c r="Q7" t="s">
        <v>35</v>
      </c>
      <c r="R7">
        <v>5960000</v>
      </c>
      <c r="T7">
        <v>2</v>
      </c>
      <c r="U7">
        <v>1</v>
      </c>
      <c r="Z7" t="s">
        <v>193</v>
      </c>
      <c r="AB7">
        <v>0</v>
      </c>
      <c r="AC7">
        <v>0</v>
      </c>
      <c r="AE7">
        <v>0</v>
      </c>
    </row>
    <row r="8" spans="1:47" x14ac:dyDescent="0.25">
      <c r="A8" t="str">
        <f t="shared" si="0"/>
        <v>500001625579700161</v>
      </c>
      <c r="B8">
        <v>5025000984</v>
      </c>
      <c r="C8" s="10" t="s">
        <v>170</v>
      </c>
      <c r="D8" s="10">
        <v>45674</v>
      </c>
      <c r="E8" s="26">
        <v>2025</v>
      </c>
      <c r="F8">
        <v>2</v>
      </c>
      <c r="G8" s="60">
        <v>2</v>
      </c>
      <c r="I8" s="26">
        <v>5000016255</v>
      </c>
      <c r="J8" t="s">
        <v>37</v>
      </c>
      <c r="K8" t="s">
        <v>38</v>
      </c>
      <c r="M8">
        <v>79700161</v>
      </c>
      <c r="N8">
        <v>101</v>
      </c>
      <c r="O8" t="s">
        <v>171</v>
      </c>
      <c r="Q8" t="s">
        <v>93</v>
      </c>
      <c r="R8">
        <v>686000</v>
      </c>
      <c r="T8">
        <v>2</v>
      </c>
      <c r="U8">
        <v>2</v>
      </c>
      <c r="Z8" t="s">
        <v>122</v>
      </c>
      <c r="AB8">
        <v>0</v>
      </c>
      <c r="AC8">
        <v>0</v>
      </c>
      <c r="AE8">
        <v>0</v>
      </c>
    </row>
    <row r="9" spans="1:47" x14ac:dyDescent="0.25">
      <c r="A9" t="str">
        <f t="shared" si="0"/>
        <v>500001630879700363</v>
      </c>
      <c r="B9">
        <v>5025001010</v>
      </c>
      <c r="C9" s="10" t="s">
        <v>170</v>
      </c>
      <c r="D9" s="10">
        <v>45674</v>
      </c>
      <c r="E9" s="26">
        <v>2025</v>
      </c>
      <c r="F9">
        <v>1</v>
      </c>
      <c r="G9" s="60">
        <v>3</v>
      </c>
      <c r="I9" s="26">
        <v>5000016308</v>
      </c>
      <c r="J9" t="s">
        <v>37</v>
      </c>
      <c r="K9" t="s">
        <v>38</v>
      </c>
      <c r="M9">
        <v>79700363</v>
      </c>
      <c r="N9">
        <v>101</v>
      </c>
      <c r="O9" t="s">
        <v>171</v>
      </c>
      <c r="Q9" t="s">
        <v>35</v>
      </c>
      <c r="R9">
        <v>8940000</v>
      </c>
      <c r="T9">
        <v>3</v>
      </c>
      <c r="U9">
        <v>1</v>
      </c>
      <c r="Z9" t="s">
        <v>166</v>
      </c>
      <c r="AB9">
        <v>0</v>
      </c>
      <c r="AC9">
        <v>0</v>
      </c>
      <c r="AE9">
        <v>0</v>
      </c>
    </row>
    <row r="10" spans="1:47" x14ac:dyDescent="0.25">
      <c r="A10" t="str">
        <f t="shared" si="0"/>
        <v>500001625579700363</v>
      </c>
      <c r="B10">
        <v>5025001010</v>
      </c>
      <c r="C10" s="10" t="s">
        <v>170</v>
      </c>
      <c r="D10" s="10">
        <v>45674</v>
      </c>
      <c r="E10" s="26">
        <v>2025</v>
      </c>
      <c r="F10">
        <v>2</v>
      </c>
      <c r="G10" s="60">
        <v>2</v>
      </c>
      <c r="I10" s="26">
        <v>5000016255</v>
      </c>
      <c r="J10" t="s">
        <v>37</v>
      </c>
      <c r="K10" t="s">
        <v>38</v>
      </c>
      <c r="M10">
        <v>79700363</v>
      </c>
      <c r="N10">
        <v>101</v>
      </c>
      <c r="O10" t="s">
        <v>171</v>
      </c>
      <c r="Q10" t="s">
        <v>93</v>
      </c>
      <c r="R10">
        <v>686000</v>
      </c>
      <c r="T10">
        <v>2</v>
      </c>
      <c r="U10">
        <v>2</v>
      </c>
      <c r="Z10" t="s">
        <v>167</v>
      </c>
      <c r="AB10">
        <v>0</v>
      </c>
      <c r="AC10">
        <v>0</v>
      </c>
      <c r="AE10">
        <v>0</v>
      </c>
    </row>
    <row r="11" spans="1:47" x14ac:dyDescent="0.25">
      <c r="A11" t="str">
        <f t="shared" si="0"/>
        <v>500001586179700733</v>
      </c>
      <c r="B11">
        <v>5025001652</v>
      </c>
      <c r="C11" s="10" t="s">
        <v>170</v>
      </c>
      <c r="D11" s="10">
        <v>45684</v>
      </c>
      <c r="E11" s="26">
        <v>2025</v>
      </c>
      <c r="F11">
        <v>1</v>
      </c>
      <c r="G11" s="60">
        <v>4</v>
      </c>
      <c r="H11" s="10"/>
      <c r="I11" s="26">
        <v>5000015861</v>
      </c>
      <c r="J11" s="10" t="s">
        <v>37</v>
      </c>
      <c r="K11" s="10" t="s">
        <v>38</v>
      </c>
      <c r="M11">
        <v>79700733</v>
      </c>
      <c r="N11">
        <v>101</v>
      </c>
      <c r="O11" t="s">
        <v>171</v>
      </c>
      <c r="Q11" t="s">
        <v>35</v>
      </c>
      <c r="R11">
        <v>4000000</v>
      </c>
      <c r="T11">
        <v>4</v>
      </c>
      <c r="U11">
        <v>1</v>
      </c>
      <c r="Z11" t="s">
        <v>175</v>
      </c>
    </row>
    <row r="12" spans="1:47" x14ac:dyDescent="0.25">
      <c r="A12" t="str">
        <f t="shared" si="0"/>
        <v>500001500079700733</v>
      </c>
      <c r="B12">
        <v>5025001652</v>
      </c>
      <c r="C12" s="10" t="s">
        <v>170</v>
      </c>
      <c r="D12" s="10">
        <v>45684</v>
      </c>
      <c r="E12" s="26">
        <v>2025</v>
      </c>
      <c r="F12">
        <v>2</v>
      </c>
      <c r="G12" s="60">
        <v>4</v>
      </c>
      <c r="I12" s="26">
        <v>5000015000</v>
      </c>
      <c r="J12" t="s">
        <v>37</v>
      </c>
      <c r="K12" t="s">
        <v>38</v>
      </c>
      <c r="M12">
        <v>79700733</v>
      </c>
      <c r="N12">
        <v>101</v>
      </c>
      <c r="O12" t="s">
        <v>171</v>
      </c>
      <c r="Q12" t="s">
        <v>35</v>
      </c>
      <c r="R12">
        <v>1400000</v>
      </c>
      <c r="T12">
        <v>4</v>
      </c>
      <c r="U12">
        <v>2</v>
      </c>
      <c r="Z12" t="s">
        <v>177</v>
      </c>
    </row>
    <row r="13" spans="1:47" x14ac:dyDescent="0.25">
      <c r="A13" t="str">
        <f t="shared" si="0"/>
        <v>500001672879700803</v>
      </c>
      <c r="B13">
        <v>5025001655</v>
      </c>
      <c r="C13" s="10" t="s">
        <v>170</v>
      </c>
      <c r="D13" s="10">
        <v>45684</v>
      </c>
      <c r="E13" s="26">
        <v>2025</v>
      </c>
      <c r="F13">
        <v>1</v>
      </c>
      <c r="G13" s="60">
        <v>1</v>
      </c>
      <c r="I13" s="26">
        <v>5000016728</v>
      </c>
      <c r="J13" t="s">
        <v>37</v>
      </c>
      <c r="K13" t="s">
        <v>38</v>
      </c>
      <c r="M13">
        <v>79700803</v>
      </c>
      <c r="N13">
        <v>101</v>
      </c>
      <c r="O13" t="s">
        <v>171</v>
      </c>
      <c r="Q13" t="s">
        <v>35</v>
      </c>
      <c r="R13">
        <v>346847</v>
      </c>
      <c r="T13">
        <v>1</v>
      </c>
      <c r="U13">
        <v>1</v>
      </c>
      <c r="Z13" t="s">
        <v>215</v>
      </c>
      <c r="AB13">
        <v>0</v>
      </c>
      <c r="AC13">
        <v>0</v>
      </c>
      <c r="AE13">
        <v>0</v>
      </c>
    </row>
    <row r="14" spans="1:47" x14ac:dyDescent="0.25">
      <c r="A14" t="str">
        <f t="shared" si="0"/>
        <v>500001654179700680</v>
      </c>
      <c r="B14">
        <v>5025001688</v>
      </c>
      <c r="C14" s="10" t="s">
        <v>170</v>
      </c>
      <c r="D14" s="10">
        <v>45684</v>
      </c>
      <c r="E14" s="26">
        <v>2025</v>
      </c>
      <c r="F14">
        <v>1</v>
      </c>
      <c r="G14" s="60">
        <v>3</v>
      </c>
      <c r="H14" s="10"/>
      <c r="I14" s="26">
        <v>5000016541</v>
      </c>
      <c r="J14" s="10" t="s">
        <v>37</v>
      </c>
      <c r="K14" s="10" t="s">
        <v>38</v>
      </c>
      <c r="M14">
        <v>79700680</v>
      </c>
      <c r="N14">
        <v>101</v>
      </c>
      <c r="O14" t="s">
        <v>171</v>
      </c>
      <c r="Q14" t="s">
        <v>93</v>
      </c>
      <c r="R14">
        <v>225000</v>
      </c>
      <c r="T14">
        <v>3</v>
      </c>
      <c r="U14">
        <v>1</v>
      </c>
      <c r="Z14" t="s">
        <v>182</v>
      </c>
    </row>
    <row r="15" spans="1:47" x14ac:dyDescent="0.25">
      <c r="A15" t="str">
        <f t="shared" si="0"/>
        <v>500000505979700786</v>
      </c>
      <c r="B15">
        <v>5025001719</v>
      </c>
      <c r="C15" s="10" t="s">
        <v>170</v>
      </c>
      <c r="D15" s="10">
        <v>45685</v>
      </c>
      <c r="E15" s="26">
        <v>2025</v>
      </c>
      <c r="F15">
        <v>1</v>
      </c>
      <c r="G15" s="60">
        <v>1</v>
      </c>
      <c r="I15" s="26">
        <v>5000005059</v>
      </c>
      <c r="J15" t="s">
        <v>37</v>
      </c>
      <c r="K15" t="s">
        <v>38</v>
      </c>
      <c r="M15">
        <v>79700786</v>
      </c>
      <c r="N15">
        <v>101</v>
      </c>
      <c r="O15" t="s">
        <v>171</v>
      </c>
      <c r="Q15" t="s">
        <v>93</v>
      </c>
      <c r="R15">
        <v>95000</v>
      </c>
      <c r="T15">
        <v>1</v>
      </c>
      <c r="U15">
        <v>1</v>
      </c>
      <c r="Z15" t="s">
        <v>185</v>
      </c>
    </row>
    <row r="16" spans="1:47" x14ac:dyDescent="0.25">
      <c r="A16" t="str">
        <f t="shared" si="0"/>
        <v>500000424879700786</v>
      </c>
      <c r="B16">
        <v>5025001719</v>
      </c>
      <c r="C16" s="10" t="s">
        <v>170</v>
      </c>
      <c r="D16" s="10">
        <v>45685</v>
      </c>
      <c r="E16" s="26">
        <v>2025</v>
      </c>
      <c r="F16">
        <v>2</v>
      </c>
      <c r="G16" s="60">
        <v>1</v>
      </c>
      <c r="I16" s="26">
        <v>5000004248</v>
      </c>
      <c r="J16" t="s">
        <v>37</v>
      </c>
      <c r="K16" t="s">
        <v>38</v>
      </c>
      <c r="M16">
        <v>79700786</v>
      </c>
      <c r="N16">
        <v>101</v>
      </c>
      <c r="O16" t="s">
        <v>171</v>
      </c>
      <c r="Q16" t="s">
        <v>93</v>
      </c>
      <c r="R16">
        <v>65000</v>
      </c>
      <c r="T16">
        <v>1</v>
      </c>
      <c r="U16">
        <v>2</v>
      </c>
      <c r="Z16" t="s">
        <v>186</v>
      </c>
    </row>
    <row r="17" spans="1:31" x14ac:dyDescent="0.25">
      <c r="A17" t="str">
        <f t="shared" si="0"/>
        <v>500001202179700786</v>
      </c>
      <c r="B17">
        <v>5025001719</v>
      </c>
      <c r="C17" s="10" t="s">
        <v>170</v>
      </c>
      <c r="D17" s="10">
        <v>45685</v>
      </c>
      <c r="E17" s="26">
        <v>2025</v>
      </c>
      <c r="F17">
        <v>3</v>
      </c>
      <c r="G17" s="60">
        <v>1</v>
      </c>
      <c r="I17" s="26">
        <v>5000012021</v>
      </c>
      <c r="J17" t="s">
        <v>37</v>
      </c>
      <c r="K17" t="s">
        <v>38</v>
      </c>
      <c r="M17">
        <v>79700786</v>
      </c>
      <c r="N17">
        <v>101</v>
      </c>
      <c r="O17" t="s">
        <v>171</v>
      </c>
      <c r="Q17" t="s">
        <v>93</v>
      </c>
      <c r="R17">
        <v>30000</v>
      </c>
      <c r="T17">
        <v>1</v>
      </c>
      <c r="U17">
        <v>3</v>
      </c>
      <c r="Z17" t="s">
        <v>189</v>
      </c>
    </row>
    <row r="18" spans="1:31" x14ac:dyDescent="0.25">
      <c r="A18" t="str">
        <f t="shared" si="0"/>
        <v>500001175479700786</v>
      </c>
      <c r="B18">
        <v>5025001719</v>
      </c>
      <c r="C18" s="10" t="s">
        <v>170</v>
      </c>
      <c r="D18" s="10">
        <v>45685</v>
      </c>
      <c r="E18" s="26">
        <v>2025</v>
      </c>
      <c r="F18">
        <v>4</v>
      </c>
      <c r="G18" s="60">
        <v>2</v>
      </c>
      <c r="I18" s="26">
        <v>5000011754</v>
      </c>
      <c r="J18" t="s">
        <v>37</v>
      </c>
      <c r="K18" t="s">
        <v>38</v>
      </c>
      <c r="M18">
        <v>79700786</v>
      </c>
      <c r="N18">
        <v>101</v>
      </c>
      <c r="O18" t="s">
        <v>171</v>
      </c>
      <c r="Q18" t="s">
        <v>93</v>
      </c>
      <c r="R18">
        <v>40000</v>
      </c>
      <c r="T18">
        <v>2</v>
      </c>
      <c r="U18">
        <v>4</v>
      </c>
      <c r="Z18" t="s">
        <v>190</v>
      </c>
    </row>
    <row r="19" spans="1:31" x14ac:dyDescent="0.25">
      <c r="A19" t="str">
        <f t="shared" si="0"/>
        <v>500000884379700802</v>
      </c>
      <c r="B19">
        <v>5025001725</v>
      </c>
      <c r="C19" s="10" t="s">
        <v>170</v>
      </c>
      <c r="D19" s="10">
        <v>45685</v>
      </c>
      <c r="E19" s="26">
        <v>2025</v>
      </c>
      <c r="F19">
        <v>1</v>
      </c>
      <c r="G19" s="60">
        <v>1</v>
      </c>
      <c r="H19" s="10"/>
      <c r="I19" s="26">
        <v>5000008843</v>
      </c>
      <c r="J19" s="10" t="s">
        <v>37</v>
      </c>
      <c r="K19" s="10" t="s">
        <v>38</v>
      </c>
      <c r="M19">
        <v>79700802</v>
      </c>
      <c r="N19">
        <v>101</v>
      </c>
      <c r="O19" t="s">
        <v>171</v>
      </c>
      <c r="Q19" t="s">
        <v>35</v>
      </c>
      <c r="R19">
        <v>923424</v>
      </c>
      <c r="T19">
        <v>1</v>
      </c>
      <c r="U19">
        <v>1</v>
      </c>
      <c r="Z19" t="s">
        <v>212</v>
      </c>
      <c r="AB19">
        <v>0</v>
      </c>
      <c r="AC19">
        <v>0</v>
      </c>
      <c r="AE19">
        <v>0</v>
      </c>
    </row>
    <row r="20" spans="1:31" x14ac:dyDescent="0.25">
      <c r="A20" t="str">
        <f t="shared" si="0"/>
        <v>500001642879700802</v>
      </c>
      <c r="B20">
        <v>5025001725</v>
      </c>
      <c r="C20" s="10" t="s">
        <v>170</v>
      </c>
      <c r="D20" s="10">
        <v>45685</v>
      </c>
      <c r="E20" s="26">
        <v>2025</v>
      </c>
      <c r="F20">
        <v>2</v>
      </c>
      <c r="G20" s="60">
        <v>1</v>
      </c>
      <c r="H20" s="10"/>
      <c r="I20" s="26">
        <v>5000016428</v>
      </c>
      <c r="J20" s="10" t="s">
        <v>37</v>
      </c>
      <c r="K20" s="10" t="s">
        <v>38</v>
      </c>
      <c r="M20">
        <v>79700802</v>
      </c>
      <c r="N20">
        <v>101</v>
      </c>
      <c r="O20" t="s">
        <v>171</v>
      </c>
      <c r="Q20" t="s">
        <v>35</v>
      </c>
      <c r="R20">
        <v>1531532</v>
      </c>
      <c r="T20">
        <v>1</v>
      </c>
      <c r="U20">
        <v>2</v>
      </c>
      <c r="Z20" t="s">
        <v>213</v>
      </c>
      <c r="AB20">
        <v>0</v>
      </c>
      <c r="AC20">
        <v>0</v>
      </c>
      <c r="AE20">
        <v>0</v>
      </c>
    </row>
    <row r="21" spans="1:31" x14ac:dyDescent="0.25">
      <c r="A21" t="str">
        <f t="shared" si="0"/>
        <v>500001721679700802</v>
      </c>
      <c r="B21">
        <v>5025001725</v>
      </c>
      <c r="C21" s="10" t="s">
        <v>170</v>
      </c>
      <c r="D21" s="10">
        <v>45685</v>
      </c>
      <c r="E21" s="26">
        <v>2025</v>
      </c>
      <c r="F21">
        <v>3</v>
      </c>
      <c r="G21" s="60">
        <v>1</v>
      </c>
      <c r="H21" s="10"/>
      <c r="I21" s="26">
        <v>5000017216</v>
      </c>
      <c r="J21" s="10" t="s">
        <v>37</v>
      </c>
      <c r="K21" s="10" t="s">
        <v>38</v>
      </c>
      <c r="M21">
        <v>79700802</v>
      </c>
      <c r="N21">
        <v>101</v>
      </c>
      <c r="O21" t="s">
        <v>171</v>
      </c>
      <c r="Q21" t="s">
        <v>35</v>
      </c>
      <c r="R21">
        <v>1013514</v>
      </c>
      <c r="T21">
        <v>1</v>
      </c>
      <c r="U21">
        <v>3</v>
      </c>
      <c r="Z21" t="s">
        <v>214</v>
      </c>
      <c r="AB21">
        <v>0</v>
      </c>
      <c r="AC21">
        <v>0</v>
      </c>
      <c r="AE21">
        <v>0</v>
      </c>
    </row>
    <row r="22" spans="1:31" x14ac:dyDescent="0.25">
      <c r="A22" t="str">
        <f t="shared" si="0"/>
        <v>500001735679700788</v>
      </c>
      <c r="B22">
        <v>5025001853</v>
      </c>
      <c r="C22" s="10" t="s">
        <v>170</v>
      </c>
      <c r="D22" s="10">
        <v>45687</v>
      </c>
      <c r="E22" s="26">
        <v>2025</v>
      </c>
      <c r="F22">
        <v>1</v>
      </c>
      <c r="G22" s="60">
        <v>1</v>
      </c>
      <c r="I22" s="26">
        <v>5000017356</v>
      </c>
      <c r="J22" t="s">
        <v>37</v>
      </c>
      <c r="K22" t="s">
        <v>38</v>
      </c>
      <c r="M22">
        <v>79700788</v>
      </c>
      <c r="N22">
        <v>101</v>
      </c>
      <c r="O22" t="s">
        <v>171</v>
      </c>
      <c r="Q22" t="s">
        <v>35</v>
      </c>
      <c r="R22">
        <v>4875000</v>
      </c>
      <c r="T22">
        <v>1</v>
      </c>
      <c r="U22">
        <v>1</v>
      </c>
      <c r="Z22" t="s">
        <v>149</v>
      </c>
      <c r="AB22">
        <v>0</v>
      </c>
      <c r="AC22">
        <v>0</v>
      </c>
      <c r="AE22">
        <v>0</v>
      </c>
    </row>
    <row r="23" spans="1:31" x14ac:dyDescent="0.25">
      <c r="A23" t="str">
        <f t="shared" si="0"/>
        <v>500001630879700788</v>
      </c>
      <c r="B23">
        <v>5025001853</v>
      </c>
      <c r="C23" s="10" t="s">
        <v>170</v>
      </c>
      <c r="D23" s="10">
        <v>45687</v>
      </c>
      <c r="E23" s="26">
        <v>2025</v>
      </c>
      <c r="F23">
        <v>2</v>
      </c>
      <c r="G23" s="60">
        <v>1</v>
      </c>
      <c r="I23" s="26">
        <v>5000016308</v>
      </c>
      <c r="J23" t="s">
        <v>37</v>
      </c>
      <c r="K23" t="s">
        <v>38</v>
      </c>
      <c r="M23">
        <v>79700788</v>
      </c>
      <c r="N23">
        <v>101</v>
      </c>
      <c r="O23" t="s">
        <v>171</v>
      </c>
      <c r="Q23" t="s">
        <v>35</v>
      </c>
      <c r="R23">
        <v>2980000</v>
      </c>
      <c r="T23">
        <v>1</v>
      </c>
      <c r="U23">
        <v>2</v>
      </c>
      <c r="Z23" t="s">
        <v>196</v>
      </c>
      <c r="AB23">
        <v>0</v>
      </c>
      <c r="AC23">
        <v>0</v>
      </c>
      <c r="AE23">
        <v>0</v>
      </c>
    </row>
    <row r="24" spans="1:31" x14ac:dyDescent="0.25">
      <c r="A24" t="str">
        <f t="shared" si="0"/>
        <v>500001630879700788</v>
      </c>
      <c r="B24">
        <v>5025001853</v>
      </c>
      <c r="C24" s="10" t="s">
        <v>170</v>
      </c>
      <c r="D24" s="10">
        <v>45687</v>
      </c>
      <c r="E24" s="26">
        <v>2025</v>
      </c>
      <c r="F24">
        <v>3</v>
      </c>
      <c r="G24" s="60">
        <v>1</v>
      </c>
      <c r="I24" s="26">
        <v>5000016308</v>
      </c>
      <c r="J24" t="s">
        <v>37</v>
      </c>
      <c r="K24" t="s">
        <v>38</v>
      </c>
      <c r="M24">
        <v>79700788</v>
      </c>
      <c r="N24">
        <v>101</v>
      </c>
      <c r="O24" t="s">
        <v>171</v>
      </c>
      <c r="Q24" t="s">
        <v>35</v>
      </c>
      <c r="R24">
        <v>2980000</v>
      </c>
      <c r="T24">
        <v>1</v>
      </c>
      <c r="U24">
        <v>3</v>
      </c>
      <c r="Z24" t="s">
        <v>197</v>
      </c>
      <c r="AB24">
        <v>0</v>
      </c>
      <c r="AC24">
        <v>0</v>
      </c>
      <c r="AE24">
        <v>0</v>
      </c>
    </row>
    <row r="25" spans="1:31" x14ac:dyDescent="0.25">
      <c r="A25" t="str">
        <f t="shared" si="0"/>
        <v>500001618579700788</v>
      </c>
      <c r="B25">
        <v>5025001853</v>
      </c>
      <c r="C25" s="10" t="s">
        <v>170</v>
      </c>
      <c r="D25" s="10">
        <v>45687</v>
      </c>
      <c r="E25" s="26">
        <v>2025</v>
      </c>
      <c r="F25">
        <v>4</v>
      </c>
      <c r="G25" s="60">
        <v>1</v>
      </c>
      <c r="I25" s="26">
        <v>5000016185</v>
      </c>
      <c r="J25" t="s">
        <v>37</v>
      </c>
      <c r="K25" t="s">
        <v>38</v>
      </c>
      <c r="M25">
        <v>79700788</v>
      </c>
      <c r="N25">
        <v>101</v>
      </c>
      <c r="O25" t="s">
        <v>171</v>
      </c>
      <c r="Q25" t="s">
        <v>93</v>
      </c>
      <c r="R25">
        <v>1625000</v>
      </c>
      <c r="T25">
        <v>1</v>
      </c>
      <c r="U25">
        <v>4</v>
      </c>
      <c r="Z25" t="s">
        <v>198</v>
      </c>
      <c r="AB25">
        <v>0</v>
      </c>
      <c r="AC25">
        <v>0</v>
      </c>
      <c r="AE25">
        <v>0</v>
      </c>
    </row>
    <row r="26" spans="1:31" x14ac:dyDescent="0.25">
      <c r="A26" t="str">
        <f t="shared" si="0"/>
        <v>500000505979700679</v>
      </c>
      <c r="B26">
        <v>5025001921</v>
      </c>
      <c r="C26" s="10" t="s">
        <v>170</v>
      </c>
      <c r="D26" s="10">
        <v>45688</v>
      </c>
      <c r="E26" s="26">
        <v>2025</v>
      </c>
      <c r="F26">
        <v>1</v>
      </c>
      <c r="G26" s="60">
        <v>1</v>
      </c>
      <c r="I26" s="26">
        <v>5000005059</v>
      </c>
      <c r="J26" t="s">
        <v>37</v>
      </c>
      <c r="K26" t="s">
        <v>38</v>
      </c>
      <c r="M26">
        <v>79700679</v>
      </c>
      <c r="N26">
        <v>101</v>
      </c>
      <c r="O26" t="s">
        <v>171</v>
      </c>
      <c r="Q26" t="s">
        <v>93</v>
      </c>
      <c r="R26">
        <v>95000</v>
      </c>
      <c r="T26">
        <v>1</v>
      </c>
      <c r="U26">
        <v>1</v>
      </c>
      <c r="Z26" t="s">
        <v>154</v>
      </c>
    </row>
    <row r="27" spans="1:31" x14ac:dyDescent="0.25">
      <c r="A27" t="str">
        <f t="shared" si="0"/>
        <v>500000424879700679</v>
      </c>
      <c r="B27">
        <v>5025001921</v>
      </c>
      <c r="C27" s="10" t="s">
        <v>170</v>
      </c>
      <c r="D27" s="10">
        <v>45688</v>
      </c>
      <c r="E27" s="26">
        <v>2025</v>
      </c>
      <c r="F27">
        <v>2</v>
      </c>
      <c r="G27" s="60">
        <v>1</v>
      </c>
      <c r="I27" s="26">
        <v>5000004248</v>
      </c>
      <c r="J27" t="s">
        <v>37</v>
      </c>
      <c r="K27" t="s">
        <v>38</v>
      </c>
      <c r="M27">
        <v>79700679</v>
      </c>
      <c r="N27">
        <v>101</v>
      </c>
      <c r="O27" t="s">
        <v>171</v>
      </c>
      <c r="Q27" t="s">
        <v>93</v>
      </c>
      <c r="R27">
        <v>65000</v>
      </c>
      <c r="T27">
        <v>1</v>
      </c>
      <c r="U27">
        <v>2</v>
      </c>
      <c r="Z27" t="s">
        <v>156</v>
      </c>
    </row>
    <row r="28" spans="1:31" x14ac:dyDescent="0.25">
      <c r="A28" t="str">
        <f t="shared" si="0"/>
        <v>500001364079700679</v>
      </c>
      <c r="B28">
        <v>5025001921</v>
      </c>
      <c r="C28" s="10" t="s">
        <v>170</v>
      </c>
      <c r="D28" s="10">
        <v>45688</v>
      </c>
      <c r="E28">
        <v>2025</v>
      </c>
      <c r="F28">
        <v>3</v>
      </c>
      <c r="G28" s="60">
        <v>10</v>
      </c>
      <c r="I28" s="26">
        <v>5000013640</v>
      </c>
      <c r="J28" t="s">
        <v>37</v>
      </c>
      <c r="K28" t="s">
        <v>38</v>
      </c>
      <c r="M28">
        <v>79700679</v>
      </c>
      <c r="N28">
        <v>101</v>
      </c>
      <c r="O28" t="s">
        <v>171</v>
      </c>
      <c r="Q28" t="s">
        <v>93</v>
      </c>
      <c r="R28">
        <v>150000</v>
      </c>
      <c r="T28">
        <v>10</v>
      </c>
      <c r="U28">
        <v>3</v>
      </c>
      <c r="Z28" t="s">
        <v>161</v>
      </c>
    </row>
    <row r="29" spans="1:31" x14ac:dyDescent="0.25">
      <c r="A29" t="str">
        <f t="shared" si="0"/>
        <v>500000505979700679</v>
      </c>
      <c r="B29">
        <v>5025001921</v>
      </c>
      <c r="C29" s="10" t="s">
        <v>170</v>
      </c>
      <c r="D29" s="10">
        <v>45688</v>
      </c>
      <c r="E29">
        <v>2025</v>
      </c>
      <c r="F29">
        <v>4</v>
      </c>
      <c r="G29" s="60">
        <v>10</v>
      </c>
      <c r="I29" s="26">
        <v>5000005059</v>
      </c>
      <c r="J29" t="s">
        <v>37</v>
      </c>
      <c r="K29" t="s">
        <v>38</v>
      </c>
      <c r="M29">
        <v>79700679</v>
      </c>
      <c r="N29">
        <v>101</v>
      </c>
      <c r="O29" t="s">
        <v>171</v>
      </c>
      <c r="Q29" t="s">
        <v>93</v>
      </c>
      <c r="R29">
        <v>950000</v>
      </c>
      <c r="T29">
        <v>10</v>
      </c>
      <c r="U29">
        <v>4</v>
      </c>
      <c r="Z29" t="s">
        <v>180</v>
      </c>
    </row>
    <row r="30" spans="1:31" x14ac:dyDescent="0.25">
      <c r="A30" t="str">
        <f t="shared" si="0"/>
        <v>500000534079701197</v>
      </c>
      <c r="B30">
        <v>5025002538</v>
      </c>
      <c r="C30" s="10" t="s">
        <v>170</v>
      </c>
      <c r="D30" s="10">
        <v>45699</v>
      </c>
      <c r="E30">
        <v>2025</v>
      </c>
      <c r="F30">
        <v>1</v>
      </c>
      <c r="G30" s="60">
        <v>2</v>
      </c>
      <c r="I30" s="26">
        <v>5000005340</v>
      </c>
      <c r="J30" t="s">
        <v>37</v>
      </c>
      <c r="K30" t="s">
        <v>38</v>
      </c>
      <c r="M30">
        <v>79701197</v>
      </c>
      <c r="N30">
        <v>101</v>
      </c>
      <c r="O30" t="s">
        <v>171</v>
      </c>
      <c r="Q30" t="s">
        <v>35</v>
      </c>
      <c r="R30">
        <v>310000</v>
      </c>
      <c r="T30">
        <v>2</v>
      </c>
      <c r="U30">
        <v>1</v>
      </c>
      <c r="Z30" t="s">
        <v>200</v>
      </c>
    </row>
    <row r="31" spans="1:31" x14ac:dyDescent="0.25">
      <c r="A31" t="str">
        <f t="shared" si="0"/>
        <v>500001490479701197</v>
      </c>
      <c r="B31">
        <v>5025002538</v>
      </c>
      <c r="C31" s="10" t="s">
        <v>170</v>
      </c>
      <c r="D31" s="10">
        <v>45699</v>
      </c>
      <c r="E31">
        <v>2025</v>
      </c>
      <c r="F31">
        <v>2</v>
      </c>
      <c r="G31" s="60">
        <v>1</v>
      </c>
      <c r="I31" s="26">
        <v>5000014904</v>
      </c>
      <c r="J31" t="s">
        <v>37</v>
      </c>
      <c r="K31" t="s">
        <v>38</v>
      </c>
      <c r="M31">
        <v>79701197</v>
      </c>
      <c r="N31">
        <v>101</v>
      </c>
      <c r="O31" t="s">
        <v>171</v>
      </c>
      <c r="Q31" t="s">
        <v>35</v>
      </c>
      <c r="R31">
        <v>1600000</v>
      </c>
      <c r="T31">
        <v>1</v>
      </c>
      <c r="U31">
        <v>2</v>
      </c>
      <c r="Z31" t="s">
        <v>205</v>
      </c>
    </row>
    <row r="32" spans="1:31" x14ac:dyDescent="0.25">
      <c r="A32" t="str">
        <f t="shared" si="0"/>
        <v>500000505979701197</v>
      </c>
      <c r="B32">
        <v>5025002538</v>
      </c>
      <c r="C32" s="10" t="s">
        <v>170</v>
      </c>
      <c r="D32" s="10">
        <v>45699</v>
      </c>
      <c r="E32">
        <v>2025</v>
      </c>
      <c r="F32">
        <v>3</v>
      </c>
      <c r="G32" s="60">
        <v>1</v>
      </c>
      <c r="I32" s="26">
        <v>5000005059</v>
      </c>
      <c r="J32" t="s">
        <v>37</v>
      </c>
      <c r="K32" t="s">
        <v>38</v>
      </c>
      <c r="M32">
        <v>79701197</v>
      </c>
      <c r="N32">
        <v>101</v>
      </c>
      <c r="O32" t="s">
        <v>171</v>
      </c>
      <c r="Q32" t="s">
        <v>93</v>
      </c>
      <c r="R32">
        <v>95000</v>
      </c>
      <c r="T32">
        <v>1</v>
      </c>
      <c r="U32">
        <v>3</v>
      </c>
      <c r="Z32" t="s">
        <v>208</v>
      </c>
    </row>
    <row r="33" spans="1:31" x14ac:dyDescent="0.25">
      <c r="A33" t="str">
        <f t="shared" si="0"/>
        <v>500000424879701197</v>
      </c>
      <c r="B33">
        <v>5025002538</v>
      </c>
      <c r="C33" s="10" t="s">
        <v>170</v>
      </c>
      <c r="D33" s="10">
        <v>45699</v>
      </c>
      <c r="E33">
        <v>2025</v>
      </c>
      <c r="F33">
        <v>4</v>
      </c>
      <c r="G33" s="60">
        <v>3</v>
      </c>
      <c r="I33" s="26">
        <v>5000004248</v>
      </c>
      <c r="J33" t="s">
        <v>37</v>
      </c>
      <c r="K33" t="s">
        <v>38</v>
      </c>
      <c r="M33">
        <v>79701197</v>
      </c>
      <c r="N33">
        <v>101</v>
      </c>
      <c r="O33" t="s">
        <v>171</v>
      </c>
      <c r="Q33" t="s">
        <v>93</v>
      </c>
      <c r="R33">
        <v>195000</v>
      </c>
      <c r="T33">
        <v>3</v>
      </c>
      <c r="U33">
        <v>4</v>
      </c>
      <c r="Z33" t="s">
        <v>209</v>
      </c>
    </row>
    <row r="34" spans="1:31" x14ac:dyDescent="0.25">
      <c r="A34" t="str">
        <f t="shared" si="0"/>
        <v>500001202179701197</v>
      </c>
      <c r="B34">
        <v>5025002538</v>
      </c>
      <c r="C34" s="10" t="s">
        <v>170</v>
      </c>
      <c r="D34" s="10">
        <v>45699</v>
      </c>
      <c r="E34">
        <v>2025</v>
      </c>
      <c r="F34">
        <v>5</v>
      </c>
      <c r="G34" s="60">
        <v>1</v>
      </c>
      <c r="I34" s="26">
        <v>5000012021</v>
      </c>
      <c r="J34" t="s">
        <v>37</v>
      </c>
      <c r="K34" t="s">
        <v>38</v>
      </c>
      <c r="M34">
        <v>79701197</v>
      </c>
      <c r="N34">
        <v>101</v>
      </c>
      <c r="O34" t="s">
        <v>171</v>
      </c>
      <c r="Q34" t="s">
        <v>93</v>
      </c>
      <c r="R34">
        <v>30000</v>
      </c>
      <c r="T34">
        <v>1</v>
      </c>
      <c r="U34">
        <v>5</v>
      </c>
      <c r="Z34" t="s">
        <v>211</v>
      </c>
    </row>
    <row r="35" spans="1:31" x14ac:dyDescent="0.25">
      <c r="A35" t="str">
        <f t="shared" si="0"/>
        <v>500001667179701197</v>
      </c>
      <c r="B35">
        <v>5025002538</v>
      </c>
      <c r="C35" s="10" t="s">
        <v>170</v>
      </c>
      <c r="D35" s="10">
        <v>45699</v>
      </c>
      <c r="E35">
        <v>2025</v>
      </c>
      <c r="F35">
        <v>6</v>
      </c>
      <c r="G35" s="60">
        <v>2</v>
      </c>
      <c r="I35" s="26">
        <v>5000016671</v>
      </c>
      <c r="J35" t="s">
        <v>37</v>
      </c>
      <c r="K35" t="s">
        <v>38</v>
      </c>
      <c r="M35">
        <v>79701197</v>
      </c>
      <c r="N35">
        <v>101</v>
      </c>
      <c r="O35" t="s">
        <v>171</v>
      </c>
      <c r="Q35" t="s">
        <v>93</v>
      </c>
      <c r="R35">
        <v>180000</v>
      </c>
      <c r="T35">
        <v>2</v>
      </c>
      <c r="U35">
        <v>6</v>
      </c>
      <c r="Z35" t="s">
        <v>217</v>
      </c>
    </row>
    <row r="36" spans="1:31" x14ac:dyDescent="0.25">
      <c r="A36" t="str">
        <f t="shared" si="0"/>
        <v>500001548079701197</v>
      </c>
      <c r="B36">
        <v>5025002538</v>
      </c>
      <c r="C36" s="10" t="s">
        <v>170</v>
      </c>
      <c r="D36" s="10">
        <v>45699</v>
      </c>
      <c r="E36">
        <v>2025</v>
      </c>
      <c r="F36">
        <v>7</v>
      </c>
      <c r="G36" s="60">
        <v>1</v>
      </c>
      <c r="I36" s="26">
        <v>5000015480</v>
      </c>
      <c r="J36" t="s">
        <v>37</v>
      </c>
      <c r="K36" t="s">
        <v>38</v>
      </c>
      <c r="M36">
        <v>79701197</v>
      </c>
      <c r="N36">
        <v>101</v>
      </c>
      <c r="O36" t="s">
        <v>171</v>
      </c>
      <c r="Q36" t="s">
        <v>93</v>
      </c>
      <c r="R36">
        <v>140000</v>
      </c>
      <c r="T36">
        <v>1</v>
      </c>
      <c r="U36">
        <v>7</v>
      </c>
      <c r="Z36" t="s">
        <v>221</v>
      </c>
    </row>
    <row r="37" spans="1:31" x14ac:dyDescent="0.25">
      <c r="A37" t="str">
        <f t="shared" si="0"/>
        <v>500000505979701197</v>
      </c>
      <c r="B37">
        <v>5025002538</v>
      </c>
      <c r="C37" s="10" t="s">
        <v>170</v>
      </c>
      <c r="D37" s="10">
        <v>45699</v>
      </c>
      <c r="E37">
        <v>2025</v>
      </c>
      <c r="F37">
        <v>8</v>
      </c>
      <c r="G37" s="60">
        <v>1</v>
      </c>
      <c r="I37" s="26">
        <v>5000005059</v>
      </c>
      <c r="J37" t="s">
        <v>37</v>
      </c>
      <c r="K37" t="s">
        <v>38</v>
      </c>
      <c r="M37">
        <v>79701197</v>
      </c>
      <c r="N37">
        <v>101</v>
      </c>
      <c r="O37" t="s">
        <v>171</v>
      </c>
      <c r="Q37" t="s">
        <v>93</v>
      </c>
      <c r="R37">
        <v>95000</v>
      </c>
      <c r="T37">
        <v>1</v>
      </c>
      <c r="U37">
        <v>8</v>
      </c>
      <c r="Z37" t="s">
        <v>224</v>
      </c>
    </row>
    <row r="38" spans="1:31" x14ac:dyDescent="0.25">
      <c r="A38" t="str">
        <f t="shared" si="0"/>
        <v>500000424879701197</v>
      </c>
      <c r="B38">
        <v>5025002538</v>
      </c>
      <c r="C38" s="10" t="s">
        <v>170</v>
      </c>
      <c r="D38" s="10">
        <v>45699</v>
      </c>
      <c r="E38">
        <v>2025</v>
      </c>
      <c r="F38">
        <v>9</v>
      </c>
      <c r="G38" s="60">
        <v>3</v>
      </c>
      <c r="I38" s="26">
        <v>5000004248</v>
      </c>
      <c r="J38" t="s">
        <v>37</v>
      </c>
      <c r="K38" t="s">
        <v>38</v>
      </c>
      <c r="M38">
        <v>79701197</v>
      </c>
      <c r="N38">
        <v>101</v>
      </c>
      <c r="O38" t="s">
        <v>171</v>
      </c>
      <c r="Q38" t="s">
        <v>93</v>
      </c>
      <c r="R38">
        <v>195000</v>
      </c>
      <c r="T38">
        <v>3</v>
      </c>
      <c r="U38">
        <v>9</v>
      </c>
      <c r="Z38" t="s">
        <v>225</v>
      </c>
    </row>
    <row r="39" spans="1:31" x14ac:dyDescent="0.25">
      <c r="A39" t="str">
        <f t="shared" si="0"/>
        <v>500001202179701197</v>
      </c>
      <c r="B39">
        <v>5025002538</v>
      </c>
      <c r="C39" s="10" t="s">
        <v>170</v>
      </c>
      <c r="D39" s="10">
        <v>45699</v>
      </c>
      <c r="E39">
        <v>2025</v>
      </c>
      <c r="F39">
        <v>10</v>
      </c>
      <c r="G39" s="60">
        <v>1</v>
      </c>
      <c r="I39" s="26">
        <v>5000012021</v>
      </c>
      <c r="J39" t="s">
        <v>37</v>
      </c>
      <c r="K39" t="s">
        <v>38</v>
      </c>
      <c r="M39">
        <v>79701197</v>
      </c>
      <c r="N39">
        <v>101</v>
      </c>
      <c r="O39" t="s">
        <v>171</v>
      </c>
      <c r="Q39" t="s">
        <v>93</v>
      </c>
      <c r="R39">
        <v>30000</v>
      </c>
      <c r="T39">
        <v>1</v>
      </c>
      <c r="U39">
        <v>10</v>
      </c>
      <c r="Z39" t="s">
        <v>226</v>
      </c>
    </row>
    <row r="40" spans="1:31" x14ac:dyDescent="0.25">
      <c r="A40" t="str">
        <f t="shared" si="0"/>
        <v>500001642879701173</v>
      </c>
      <c r="B40">
        <v>5025002541</v>
      </c>
      <c r="C40" s="10" t="s">
        <v>170</v>
      </c>
      <c r="D40" s="10">
        <v>45699</v>
      </c>
      <c r="E40">
        <v>2025</v>
      </c>
      <c r="F40">
        <v>1</v>
      </c>
      <c r="G40" s="60">
        <v>1</v>
      </c>
      <c r="I40" s="26">
        <v>5000016428</v>
      </c>
      <c r="J40" t="s">
        <v>37</v>
      </c>
      <c r="K40" t="s">
        <v>38</v>
      </c>
      <c r="M40">
        <v>79701173</v>
      </c>
      <c r="N40">
        <v>101</v>
      </c>
      <c r="O40" t="s">
        <v>171</v>
      </c>
      <c r="Q40" t="s">
        <v>35</v>
      </c>
      <c r="R40">
        <v>1531532</v>
      </c>
      <c r="T40">
        <v>1</v>
      </c>
      <c r="U40">
        <v>1</v>
      </c>
      <c r="Z40" t="s">
        <v>247</v>
      </c>
    </row>
    <row r="41" spans="1:31" x14ac:dyDescent="0.25">
      <c r="A41" t="str">
        <f t="shared" si="0"/>
        <v>500000884379701173</v>
      </c>
      <c r="B41">
        <v>5025002541</v>
      </c>
      <c r="C41" s="10" t="s">
        <v>170</v>
      </c>
      <c r="D41" s="10">
        <v>45699</v>
      </c>
      <c r="E41">
        <v>2025</v>
      </c>
      <c r="F41">
        <v>2</v>
      </c>
      <c r="G41" s="60">
        <v>1</v>
      </c>
      <c r="I41" s="26">
        <v>5000008843</v>
      </c>
      <c r="J41" t="s">
        <v>37</v>
      </c>
      <c r="K41" t="s">
        <v>38</v>
      </c>
      <c r="M41">
        <v>79701173</v>
      </c>
      <c r="N41">
        <v>101</v>
      </c>
      <c r="O41" t="s">
        <v>171</v>
      </c>
      <c r="Q41" t="s">
        <v>35</v>
      </c>
      <c r="R41">
        <v>923424</v>
      </c>
      <c r="T41">
        <v>1</v>
      </c>
      <c r="U41">
        <v>2</v>
      </c>
      <c r="Z41" t="s">
        <v>248</v>
      </c>
    </row>
    <row r="42" spans="1:31" x14ac:dyDescent="0.25">
      <c r="A42" t="str">
        <f t="shared" si="0"/>
        <v>500000884379701173</v>
      </c>
      <c r="B42">
        <v>5025002541</v>
      </c>
      <c r="C42" s="10" t="s">
        <v>170</v>
      </c>
      <c r="D42" s="10">
        <v>45699</v>
      </c>
      <c r="E42">
        <v>2025</v>
      </c>
      <c r="F42">
        <v>3</v>
      </c>
      <c r="G42" s="60">
        <v>1</v>
      </c>
      <c r="I42" s="26">
        <v>5000008843</v>
      </c>
      <c r="J42" t="s">
        <v>37</v>
      </c>
      <c r="K42" s="10" t="s">
        <v>38</v>
      </c>
      <c r="M42">
        <v>79701173</v>
      </c>
      <c r="N42">
        <v>101</v>
      </c>
      <c r="O42" t="s">
        <v>171</v>
      </c>
      <c r="Q42" t="s">
        <v>35</v>
      </c>
      <c r="R42">
        <v>923424</v>
      </c>
      <c r="T42">
        <v>1</v>
      </c>
      <c r="U42">
        <v>3</v>
      </c>
      <c r="Z42" t="s">
        <v>249</v>
      </c>
    </row>
    <row r="43" spans="1:31" x14ac:dyDescent="0.25">
      <c r="A43" t="str">
        <f t="shared" si="0"/>
        <v>500001710579701495</v>
      </c>
      <c r="B43">
        <v>5025003221</v>
      </c>
      <c r="C43" s="10" t="s">
        <v>170</v>
      </c>
      <c r="D43" s="10">
        <v>45708</v>
      </c>
      <c r="E43">
        <v>2025</v>
      </c>
      <c r="F43">
        <v>1</v>
      </c>
      <c r="G43" s="60">
        <v>2</v>
      </c>
      <c r="I43" s="26">
        <v>5000017105</v>
      </c>
      <c r="J43" t="s">
        <v>37</v>
      </c>
      <c r="K43" t="s">
        <v>38</v>
      </c>
      <c r="M43">
        <v>79701495</v>
      </c>
      <c r="N43">
        <v>101</v>
      </c>
      <c r="O43" t="s">
        <v>171</v>
      </c>
      <c r="Q43" t="s">
        <v>35</v>
      </c>
      <c r="R43">
        <v>1081082</v>
      </c>
      <c r="T43">
        <v>2</v>
      </c>
      <c r="U43">
        <v>1</v>
      </c>
      <c r="Z43" t="s">
        <v>269</v>
      </c>
      <c r="AB43">
        <v>0</v>
      </c>
      <c r="AC43">
        <v>0</v>
      </c>
      <c r="AE43">
        <v>0</v>
      </c>
    </row>
    <row r="44" spans="1:31" x14ac:dyDescent="0.25">
      <c r="A44" t="str">
        <f t="shared" si="0"/>
        <v>500001710579701495</v>
      </c>
      <c r="B44">
        <v>5025003221</v>
      </c>
      <c r="C44" s="10" t="s">
        <v>170</v>
      </c>
      <c r="D44" s="10">
        <v>45708</v>
      </c>
      <c r="E44">
        <v>2025</v>
      </c>
      <c r="F44">
        <v>2</v>
      </c>
      <c r="G44" s="60">
        <v>1</v>
      </c>
      <c r="I44" s="26">
        <v>5000017105</v>
      </c>
      <c r="J44" t="s">
        <v>37</v>
      </c>
      <c r="K44" t="s">
        <v>38</v>
      </c>
      <c r="M44">
        <v>79701495</v>
      </c>
      <c r="N44">
        <v>101</v>
      </c>
      <c r="O44" t="s">
        <v>171</v>
      </c>
      <c r="Q44" t="s">
        <v>35</v>
      </c>
      <c r="R44">
        <v>1036036.1</v>
      </c>
      <c r="T44">
        <v>1</v>
      </c>
      <c r="U44">
        <v>2</v>
      </c>
      <c r="Z44" t="s">
        <v>268</v>
      </c>
      <c r="AB44">
        <v>0</v>
      </c>
      <c r="AC44">
        <v>0</v>
      </c>
      <c r="AE44">
        <v>0</v>
      </c>
    </row>
    <row r="45" spans="1:31" x14ac:dyDescent="0.25">
      <c r="A45" t="str">
        <f t="shared" si="0"/>
        <v>500001762479701495</v>
      </c>
      <c r="B45">
        <v>5025003221</v>
      </c>
      <c r="C45" s="10" t="s">
        <v>170</v>
      </c>
      <c r="D45" s="10">
        <v>45708</v>
      </c>
      <c r="E45">
        <v>2025</v>
      </c>
      <c r="F45">
        <v>3</v>
      </c>
      <c r="G45" s="60">
        <v>2</v>
      </c>
      <c r="I45" s="26">
        <v>5000017624</v>
      </c>
      <c r="J45" t="s">
        <v>37</v>
      </c>
      <c r="K45" t="s">
        <v>38</v>
      </c>
      <c r="M45">
        <v>79701495</v>
      </c>
      <c r="N45">
        <v>101</v>
      </c>
      <c r="O45" t="s">
        <v>171</v>
      </c>
      <c r="Q45" t="s">
        <v>35</v>
      </c>
      <c r="R45">
        <v>4144146</v>
      </c>
      <c r="T45">
        <v>2</v>
      </c>
      <c r="U45">
        <v>3</v>
      </c>
      <c r="Z45" t="s">
        <v>270</v>
      </c>
      <c r="AB45">
        <v>0</v>
      </c>
      <c r="AC45">
        <v>0</v>
      </c>
      <c r="AE45">
        <v>0</v>
      </c>
    </row>
    <row r="46" spans="1:31" x14ac:dyDescent="0.25">
      <c r="A46" t="str">
        <f t="shared" si="0"/>
        <v>500001640979701495</v>
      </c>
      <c r="B46">
        <v>5025003221</v>
      </c>
      <c r="C46" s="10" t="s">
        <v>170</v>
      </c>
      <c r="D46" s="10">
        <v>45708</v>
      </c>
      <c r="E46">
        <v>2025</v>
      </c>
      <c r="F46">
        <v>4</v>
      </c>
      <c r="G46" s="60">
        <v>1</v>
      </c>
      <c r="I46" s="26">
        <v>5000016409</v>
      </c>
      <c r="J46" t="s">
        <v>37</v>
      </c>
      <c r="K46" t="s">
        <v>38</v>
      </c>
      <c r="M46">
        <v>79701495</v>
      </c>
      <c r="N46">
        <v>101</v>
      </c>
      <c r="O46" t="s">
        <v>171</v>
      </c>
      <c r="Q46" t="s">
        <v>35</v>
      </c>
      <c r="R46">
        <v>2027028</v>
      </c>
      <c r="T46">
        <v>1</v>
      </c>
      <c r="U46">
        <v>4</v>
      </c>
      <c r="Z46" t="s">
        <v>271</v>
      </c>
      <c r="AB46">
        <v>0</v>
      </c>
      <c r="AC46">
        <v>0</v>
      </c>
      <c r="AE46">
        <v>0</v>
      </c>
    </row>
    <row r="47" spans="1:31" x14ac:dyDescent="0.25">
      <c r="A47" t="str">
        <f t="shared" si="0"/>
        <v>500000884379701495</v>
      </c>
      <c r="B47">
        <v>5025003221</v>
      </c>
      <c r="C47" s="10" t="s">
        <v>170</v>
      </c>
      <c r="D47" s="10">
        <v>45708</v>
      </c>
      <c r="E47">
        <v>2025</v>
      </c>
      <c r="F47">
        <v>5</v>
      </c>
      <c r="G47" s="60">
        <v>1</v>
      </c>
      <c r="I47" s="26">
        <v>5000008843</v>
      </c>
      <c r="J47" t="s">
        <v>37</v>
      </c>
      <c r="K47" t="s">
        <v>38</v>
      </c>
      <c r="M47">
        <v>79701495</v>
      </c>
      <c r="N47">
        <v>101</v>
      </c>
      <c r="O47" t="s">
        <v>171</v>
      </c>
      <c r="Q47" t="s">
        <v>35</v>
      </c>
      <c r="R47">
        <v>923424</v>
      </c>
      <c r="T47">
        <v>1</v>
      </c>
      <c r="U47">
        <v>5</v>
      </c>
      <c r="Z47" t="s">
        <v>272</v>
      </c>
      <c r="AB47">
        <v>0</v>
      </c>
      <c r="AC47">
        <v>0</v>
      </c>
      <c r="AE47">
        <v>0</v>
      </c>
    </row>
    <row r="48" spans="1:31" x14ac:dyDescent="0.25">
      <c r="A48" t="str">
        <f t="shared" si="0"/>
        <v>500000884379701495</v>
      </c>
      <c r="B48">
        <v>5025003221</v>
      </c>
      <c r="C48" s="10" t="s">
        <v>170</v>
      </c>
      <c r="D48" s="10">
        <v>45708</v>
      </c>
      <c r="E48">
        <v>2025</v>
      </c>
      <c r="F48">
        <v>6</v>
      </c>
      <c r="G48" s="60">
        <v>1</v>
      </c>
      <c r="I48" s="26">
        <v>5000008843</v>
      </c>
      <c r="J48" t="s">
        <v>37</v>
      </c>
      <c r="K48" t="s">
        <v>38</v>
      </c>
      <c r="M48">
        <v>79701495</v>
      </c>
      <c r="N48">
        <v>101</v>
      </c>
      <c r="O48" t="s">
        <v>171</v>
      </c>
      <c r="Q48" t="s">
        <v>35</v>
      </c>
      <c r="R48">
        <v>923424</v>
      </c>
      <c r="T48">
        <v>1</v>
      </c>
      <c r="U48">
        <v>6</v>
      </c>
      <c r="Z48" t="s">
        <v>274</v>
      </c>
      <c r="AB48">
        <v>0</v>
      </c>
      <c r="AC48">
        <v>0</v>
      </c>
      <c r="AE48">
        <v>0</v>
      </c>
    </row>
    <row r="49" spans="1:31" x14ac:dyDescent="0.25">
      <c r="A49" t="str">
        <f t="shared" si="0"/>
        <v>500001642879701495</v>
      </c>
      <c r="B49">
        <v>5025003221</v>
      </c>
      <c r="C49" s="10" t="s">
        <v>170</v>
      </c>
      <c r="D49" s="10">
        <v>45708</v>
      </c>
      <c r="E49">
        <v>2025</v>
      </c>
      <c r="F49">
        <v>7</v>
      </c>
      <c r="G49" s="60">
        <v>1</v>
      </c>
      <c r="I49" s="26">
        <v>5000016428</v>
      </c>
      <c r="J49" t="s">
        <v>37</v>
      </c>
      <c r="K49" t="s">
        <v>38</v>
      </c>
      <c r="M49">
        <v>79701495</v>
      </c>
      <c r="N49">
        <v>101</v>
      </c>
      <c r="O49" t="s">
        <v>171</v>
      </c>
      <c r="Q49" t="s">
        <v>35</v>
      </c>
      <c r="R49">
        <v>1531532</v>
      </c>
      <c r="T49">
        <v>1</v>
      </c>
      <c r="U49">
        <v>7</v>
      </c>
      <c r="Z49" t="s">
        <v>277</v>
      </c>
      <c r="AB49">
        <v>0</v>
      </c>
      <c r="AC49">
        <v>0</v>
      </c>
      <c r="AE49">
        <v>0</v>
      </c>
    </row>
    <row r="50" spans="1:31" x14ac:dyDescent="0.25">
      <c r="A50" t="str">
        <f t="shared" si="0"/>
        <v>500001630879701497</v>
      </c>
      <c r="B50">
        <v>5025003224</v>
      </c>
      <c r="C50" s="10" t="s">
        <v>170</v>
      </c>
      <c r="D50" s="10">
        <v>45708</v>
      </c>
      <c r="E50">
        <v>2025</v>
      </c>
      <c r="F50">
        <v>1</v>
      </c>
      <c r="G50" s="60">
        <v>1</v>
      </c>
      <c r="I50" s="26">
        <v>5000016308</v>
      </c>
      <c r="J50" t="s">
        <v>37</v>
      </c>
      <c r="K50" t="s">
        <v>38</v>
      </c>
      <c r="M50">
        <v>79701497</v>
      </c>
      <c r="N50">
        <v>101</v>
      </c>
      <c r="O50" t="s">
        <v>171</v>
      </c>
      <c r="Q50" t="s">
        <v>35</v>
      </c>
      <c r="R50">
        <v>2980000</v>
      </c>
      <c r="T50">
        <v>1</v>
      </c>
      <c r="U50">
        <v>1</v>
      </c>
      <c r="Z50" t="s">
        <v>273</v>
      </c>
      <c r="AB50">
        <v>0</v>
      </c>
      <c r="AC50">
        <v>0</v>
      </c>
      <c r="AE50">
        <v>0</v>
      </c>
    </row>
    <row r="51" spans="1:31" x14ac:dyDescent="0.25">
      <c r="A51" t="str">
        <f t="shared" si="0"/>
        <v>500001630879701497</v>
      </c>
      <c r="B51">
        <v>5025003224</v>
      </c>
      <c r="C51" s="10" t="s">
        <v>170</v>
      </c>
      <c r="D51" s="10">
        <v>45708</v>
      </c>
      <c r="E51">
        <v>2025</v>
      </c>
      <c r="F51">
        <v>2</v>
      </c>
      <c r="G51" s="60">
        <v>1</v>
      </c>
      <c r="I51" s="26">
        <v>5000016308</v>
      </c>
      <c r="J51" t="s">
        <v>37</v>
      </c>
      <c r="K51" t="s">
        <v>38</v>
      </c>
      <c r="M51">
        <v>79701497</v>
      </c>
      <c r="N51">
        <v>101</v>
      </c>
      <c r="O51" t="s">
        <v>171</v>
      </c>
      <c r="Q51" t="s">
        <v>35</v>
      </c>
      <c r="R51">
        <v>2980000</v>
      </c>
      <c r="T51">
        <v>1</v>
      </c>
      <c r="U51">
        <v>2</v>
      </c>
      <c r="Z51" t="s">
        <v>276</v>
      </c>
      <c r="AB51">
        <v>0</v>
      </c>
      <c r="AC51">
        <v>0</v>
      </c>
      <c r="AE51">
        <v>0</v>
      </c>
    </row>
    <row r="52" spans="1:31" x14ac:dyDescent="0.25">
      <c r="A52" t="str">
        <f t="shared" si="0"/>
        <v>500001349979701548</v>
      </c>
      <c r="B52">
        <v>5025003225</v>
      </c>
      <c r="C52" s="10" t="s">
        <v>170</v>
      </c>
      <c r="D52" s="10">
        <v>45708</v>
      </c>
      <c r="E52">
        <v>2025</v>
      </c>
      <c r="F52">
        <v>1</v>
      </c>
      <c r="G52" s="60">
        <v>1</v>
      </c>
      <c r="I52" s="26">
        <v>5000013499</v>
      </c>
      <c r="J52" t="s">
        <v>37</v>
      </c>
      <c r="K52" t="s">
        <v>38</v>
      </c>
      <c r="M52">
        <v>79701548</v>
      </c>
      <c r="N52">
        <v>101</v>
      </c>
      <c r="O52" t="s">
        <v>171</v>
      </c>
      <c r="Q52" t="s">
        <v>35</v>
      </c>
      <c r="R52">
        <v>290000</v>
      </c>
      <c r="T52">
        <v>1</v>
      </c>
      <c r="U52">
        <v>1</v>
      </c>
      <c r="Z52" t="s">
        <v>275</v>
      </c>
      <c r="AB52">
        <v>0</v>
      </c>
      <c r="AC52">
        <v>0</v>
      </c>
      <c r="AE52">
        <v>0</v>
      </c>
    </row>
    <row r="53" spans="1:31" x14ac:dyDescent="0.25">
      <c r="A53" t="str">
        <f t="shared" si="0"/>
        <v>500000505979701544</v>
      </c>
      <c r="B53">
        <v>5025003226</v>
      </c>
      <c r="C53" s="10" t="s">
        <v>170</v>
      </c>
      <c r="D53" s="10">
        <v>45708</v>
      </c>
      <c r="E53">
        <v>2025</v>
      </c>
      <c r="F53">
        <v>1</v>
      </c>
      <c r="G53" s="60">
        <v>1</v>
      </c>
      <c r="I53" s="26">
        <v>5000005059</v>
      </c>
      <c r="J53" t="s">
        <v>37</v>
      </c>
      <c r="K53" t="s">
        <v>38</v>
      </c>
      <c r="M53">
        <v>79701544</v>
      </c>
      <c r="N53">
        <v>101</v>
      </c>
      <c r="O53" t="s">
        <v>171</v>
      </c>
      <c r="Q53" t="s">
        <v>93</v>
      </c>
      <c r="R53">
        <v>125000</v>
      </c>
      <c r="T53">
        <v>1</v>
      </c>
      <c r="U53">
        <v>1</v>
      </c>
      <c r="Z53" t="s">
        <v>206</v>
      </c>
    </row>
    <row r="54" spans="1:31" x14ac:dyDescent="0.25">
      <c r="A54" t="str">
        <f t="shared" si="0"/>
        <v>500000505979701544</v>
      </c>
      <c r="B54">
        <v>5025003226</v>
      </c>
      <c r="C54" s="10" t="s">
        <v>170</v>
      </c>
      <c r="D54" s="10">
        <v>45708</v>
      </c>
      <c r="E54">
        <v>2025</v>
      </c>
      <c r="F54">
        <v>2</v>
      </c>
      <c r="G54" s="60">
        <v>1</v>
      </c>
      <c r="I54" s="26">
        <v>5000005059</v>
      </c>
      <c r="J54" t="s">
        <v>37</v>
      </c>
      <c r="K54" t="s">
        <v>38</v>
      </c>
      <c r="M54">
        <v>79701544</v>
      </c>
      <c r="N54">
        <v>101</v>
      </c>
      <c r="O54" t="s">
        <v>171</v>
      </c>
      <c r="Q54" t="s">
        <v>93</v>
      </c>
      <c r="R54">
        <v>95000</v>
      </c>
      <c r="T54">
        <v>1</v>
      </c>
      <c r="U54">
        <v>2</v>
      </c>
      <c r="Z54" t="s">
        <v>236</v>
      </c>
    </row>
    <row r="55" spans="1:31" x14ac:dyDescent="0.25">
      <c r="A55" t="str">
        <f t="shared" si="0"/>
        <v>500000424879701544</v>
      </c>
      <c r="B55">
        <v>5025003226</v>
      </c>
      <c r="C55" s="10" t="s">
        <v>170</v>
      </c>
      <c r="D55" s="10">
        <v>45708</v>
      </c>
      <c r="E55">
        <v>2025</v>
      </c>
      <c r="F55">
        <v>3</v>
      </c>
      <c r="G55" s="60">
        <v>13</v>
      </c>
      <c r="I55" s="26">
        <v>5000004248</v>
      </c>
      <c r="J55" t="s">
        <v>37</v>
      </c>
      <c r="K55" t="s">
        <v>38</v>
      </c>
      <c r="M55">
        <v>79701544</v>
      </c>
      <c r="N55">
        <v>101</v>
      </c>
      <c r="O55" t="s">
        <v>171</v>
      </c>
      <c r="Q55" t="s">
        <v>93</v>
      </c>
      <c r="R55">
        <v>845000</v>
      </c>
      <c r="T55">
        <v>13</v>
      </c>
      <c r="U55">
        <v>3</v>
      </c>
      <c r="Z55" t="s">
        <v>237</v>
      </c>
    </row>
    <row r="56" spans="1:31" x14ac:dyDescent="0.25">
      <c r="A56" t="str">
        <f t="shared" si="0"/>
        <v>500001202179701544</v>
      </c>
      <c r="B56">
        <v>5025003226</v>
      </c>
      <c r="C56" s="10" t="s">
        <v>170</v>
      </c>
      <c r="D56" s="10">
        <v>45708</v>
      </c>
      <c r="E56">
        <v>2025</v>
      </c>
      <c r="F56">
        <v>4</v>
      </c>
      <c r="G56" s="60">
        <v>1</v>
      </c>
      <c r="I56" s="26">
        <v>5000012021</v>
      </c>
      <c r="J56" t="s">
        <v>37</v>
      </c>
      <c r="K56" t="s">
        <v>38</v>
      </c>
      <c r="M56">
        <v>79701544</v>
      </c>
      <c r="N56">
        <v>101</v>
      </c>
      <c r="O56" t="s">
        <v>171</v>
      </c>
      <c r="Q56" t="s">
        <v>93</v>
      </c>
      <c r="R56">
        <v>30000</v>
      </c>
      <c r="T56">
        <v>1</v>
      </c>
      <c r="U56">
        <v>4</v>
      </c>
      <c r="Z56" t="s">
        <v>238</v>
      </c>
    </row>
    <row r="57" spans="1:31" x14ac:dyDescent="0.25">
      <c r="A57" t="str">
        <f t="shared" si="0"/>
        <v>500000505979701544</v>
      </c>
      <c r="B57">
        <v>5025003226</v>
      </c>
      <c r="C57" s="10" t="s">
        <v>170</v>
      </c>
      <c r="D57" s="10">
        <v>45708</v>
      </c>
      <c r="E57">
        <v>2025</v>
      </c>
      <c r="F57">
        <v>5</v>
      </c>
      <c r="G57" s="60">
        <v>1</v>
      </c>
      <c r="I57" s="26">
        <v>5000005059</v>
      </c>
      <c r="J57" t="s">
        <v>37</v>
      </c>
      <c r="K57" t="s">
        <v>38</v>
      </c>
      <c r="M57">
        <v>79701544</v>
      </c>
      <c r="N57">
        <v>101</v>
      </c>
      <c r="O57" t="s">
        <v>171</v>
      </c>
      <c r="Q57" t="s">
        <v>93</v>
      </c>
      <c r="R57">
        <v>95000</v>
      </c>
      <c r="T57">
        <v>1</v>
      </c>
      <c r="U57">
        <v>5</v>
      </c>
      <c r="Z57" t="s">
        <v>241</v>
      </c>
    </row>
    <row r="58" spans="1:31" x14ac:dyDescent="0.25">
      <c r="A58" t="str">
        <f t="shared" si="0"/>
        <v>500000424879701544</v>
      </c>
      <c r="B58">
        <v>5025003226</v>
      </c>
      <c r="C58" s="10" t="s">
        <v>170</v>
      </c>
      <c r="D58" s="10">
        <v>45708</v>
      </c>
      <c r="E58">
        <v>2025</v>
      </c>
      <c r="F58">
        <v>6</v>
      </c>
      <c r="G58" s="60">
        <v>1</v>
      </c>
      <c r="I58" s="26">
        <v>5000004248</v>
      </c>
      <c r="J58" t="s">
        <v>37</v>
      </c>
      <c r="K58" t="s">
        <v>38</v>
      </c>
      <c r="M58">
        <v>79701544</v>
      </c>
      <c r="N58">
        <v>101</v>
      </c>
      <c r="O58" t="s">
        <v>171</v>
      </c>
      <c r="Q58" t="s">
        <v>93</v>
      </c>
      <c r="R58">
        <v>65000</v>
      </c>
      <c r="T58">
        <v>1</v>
      </c>
      <c r="U58">
        <v>6</v>
      </c>
      <c r="Z58" t="s">
        <v>242</v>
      </c>
    </row>
    <row r="59" spans="1:31" x14ac:dyDescent="0.25">
      <c r="A59" t="str">
        <f t="shared" si="0"/>
        <v>500001202179701544</v>
      </c>
      <c r="B59">
        <v>5025003226</v>
      </c>
      <c r="C59" s="10" t="s">
        <v>170</v>
      </c>
      <c r="D59" s="10">
        <v>45708</v>
      </c>
      <c r="E59">
        <v>2025</v>
      </c>
      <c r="F59">
        <v>7</v>
      </c>
      <c r="G59" s="60">
        <v>1</v>
      </c>
      <c r="I59" s="26">
        <v>5000012021</v>
      </c>
      <c r="J59" t="s">
        <v>37</v>
      </c>
      <c r="K59" t="s">
        <v>38</v>
      </c>
      <c r="M59">
        <v>79701544</v>
      </c>
      <c r="N59">
        <v>101</v>
      </c>
      <c r="O59" t="s">
        <v>171</v>
      </c>
      <c r="Q59" t="s">
        <v>93</v>
      </c>
      <c r="R59">
        <v>30000</v>
      </c>
      <c r="T59">
        <v>1</v>
      </c>
      <c r="U59">
        <v>7</v>
      </c>
      <c r="Z59" t="s">
        <v>243</v>
      </c>
    </row>
    <row r="60" spans="1:31" x14ac:dyDescent="0.25">
      <c r="A60" t="str">
        <f t="shared" si="0"/>
        <v>500001175479701544</v>
      </c>
      <c r="B60">
        <v>5025003226</v>
      </c>
      <c r="C60" s="10" t="s">
        <v>170</v>
      </c>
      <c r="D60" s="10">
        <v>45708</v>
      </c>
      <c r="E60">
        <v>2025</v>
      </c>
      <c r="F60">
        <v>8</v>
      </c>
      <c r="G60" s="60">
        <v>1</v>
      </c>
      <c r="I60" s="26">
        <v>5000011754</v>
      </c>
      <c r="J60" t="s">
        <v>37</v>
      </c>
      <c r="K60" t="s">
        <v>38</v>
      </c>
      <c r="M60">
        <v>79701544</v>
      </c>
      <c r="N60">
        <v>101</v>
      </c>
      <c r="O60" t="s">
        <v>171</v>
      </c>
      <c r="Q60" t="s">
        <v>93</v>
      </c>
      <c r="R60">
        <v>20000</v>
      </c>
      <c r="T60">
        <v>1</v>
      </c>
      <c r="U60">
        <v>8</v>
      </c>
      <c r="Z60" t="s">
        <v>242</v>
      </c>
    </row>
    <row r="61" spans="1:31" x14ac:dyDescent="0.25">
      <c r="A61" t="str">
        <f t="shared" si="0"/>
        <v>500000912879701193</v>
      </c>
      <c r="B61">
        <v>5025003384</v>
      </c>
      <c r="C61" s="10" t="s">
        <v>170</v>
      </c>
      <c r="D61" s="10">
        <v>45712</v>
      </c>
      <c r="E61">
        <v>2025</v>
      </c>
      <c r="F61">
        <v>1</v>
      </c>
      <c r="G61" s="60">
        <v>5</v>
      </c>
      <c r="I61" s="26">
        <v>5000009128</v>
      </c>
      <c r="J61" t="s">
        <v>37</v>
      </c>
      <c r="K61" t="s">
        <v>38</v>
      </c>
      <c r="M61">
        <v>79701193</v>
      </c>
      <c r="N61">
        <v>101</v>
      </c>
      <c r="O61" t="s">
        <v>171</v>
      </c>
      <c r="Q61" t="s">
        <v>93</v>
      </c>
      <c r="R61">
        <v>450000</v>
      </c>
      <c r="T61">
        <v>5</v>
      </c>
      <c r="U61">
        <v>1</v>
      </c>
      <c r="Z61" t="s">
        <v>250</v>
      </c>
      <c r="AB61">
        <v>0</v>
      </c>
      <c r="AC61">
        <v>0</v>
      </c>
      <c r="AE61">
        <v>0</v>
      </c>
    </row>
    <row r="62" spans="1:31" x14ac:dyDescent="0.25">
      <c r="A62" t="str">
        <f t="shared" si="0"/>
        <v>500001466779701193</v>
      </c>
      <c r="B62">
        <v>5025003384</v>
      </c>
      <c r="C62" s="10" t="s">
        <v>170</v>
      </c>
      <c r="D62" s="10">
        <v>45712</v>
      </c>
      <c r="E62">
        <v>2025</v>
      </c>
      <c r="F62">
        <v>2</v>
      </c>
      <c r="G62" s="60">
        <v>1</v>
      </c>
      <c r="I62" s="26">
        <v>5000014667</v>
      </c>
      <c r="J62" t="s">
        <v>37</v>
      </c>
      <c r="K62" t="s">
        <v>38</v>
      </c>
      <c r="M62">
        <v>79701193</v>
      </c>
      <c r="N62">
        <v>101</v>
      </c>
      <c r="O62" t="s">
        <v>171</v>
      </c>
      <c r="Q62" t="s">
        <v>35</v>
      </c>
      <c r="R62">
        <v>70000</v>
      </c>
      <c r="T62">
        <v>1</v>
      </c>
      <c r="U62">
        <v>2</v>
      </c>
      <c r="Z62" t="s">
        <v>201</v>
      </c>
      <c r="AB62">
        <v>0</v>
      </c>
      <c r="AC62">
        <v>0</v>
      </c>
      <c r="AE62">
        <v>0</v>
      </c>
    </row>
    <row r="63" spans="1:31" x14ac:dyDescent="0.25">
      <c r="A63" t="str">
        <f t="shared" si="0"/>
        <v>500001630879701193</v>
      </c>
      <c r="B63">
        <v>5025003384</v>
      </c>
      <c r="C63" s="10" t="s">
        <v>170</v>
      </c>
      <c r="D63" s="10">
        <v>45712</v>
      </c>
      <c r="E63">
        <v>2025</v>
      </c>
      <c r="F63">
        <v>3</v>
      </c>
      <c r="G63" s="60">
        <v>1</v>
      </c>
      <c r="I63" s="26">
        <v>5000016308</v>
      </c>
      <c r="J63" t="s">
        <v>37</v>
      </c>
      <c r="K63" t="s">
        <v>38</v>
      </c>
      <c r="M63">
        <v>79701193</v>
      </c>
      <c r="N63">
        <v>101</v>
      </c>
      <c r="O63" t="s">
        <v>171</v>
      </c>
      <c r="Q63" t="s">
        <v>35</v>
      </c>
      <c r="R63">
        <v>2980000</v>
      </c>
      <c r="T63">
        <v>1</v>
      </c>
      <c r="U63">
        <v>3</v>
      </c>
      <c r="Z63" t="s">
        <v>251</v>
      </c>
      <c r="AB63">
        <v>0</v>
      </c>
      <c r="AC63">
        <v>0</v>
      </c>
      <c r="AE63">
        <v>0</v>
      </c>
    </row>
    <row r="64" spans="1:31" x14ac:dyDescent="0.25">
      <c r="A64" t="str">
        <f t="shared" si="0"/>
        <v>500001630879701193</v>
      </c>
      <c r="B64">
        <v>5025003384</v>
      </c>
      <c r="C64" s="10" t="s">
        <v>170</v>
      </c>
      <c r="D64" s="10">
        <v>45712</v>
      </c>
      <c r="E64">
        <v>2025</v>
      </c>
      <c r="F64">
        <v>4</v>
      </c>
      <c r="G64" s="60">
        <v>1</v>
      </c>
      <c r="I64" s="26">
        <v>5000016308</v>
      </c>
      <c r="J64" t="s">
        <v>37</v>
      </c>
      <c r="K64" t="s">
        <v>38</v>
      </c>
      <c r="M64">
        <v>79701193</v>
      </c>
      <c r="N64">
        <v>101</v>
      </c>
      <c r="O64" t="s">
        <v>171</v>
      </c>
      <c r="Q64" t="s">
        <v>35</v>
      </c>
      <c r="R64">
        <v>2980000</v>
      </c>
      <c r="T64">
        <v>1</v>
      </c>
      <c r="U64">
        <v>4</v>
      </c>
      <c r="Z64" t="s">
        <v>252</v>
      </c>
      <c r="AB64">
        <v>0</v>
      </c>
      <c r="AC64">
        <v>0</v>
      </c>
      <c r="AE64">
        <v>0</v>
      </c>
    </row>
    <row r="65" spans="1:31" x14ac:dyDescent="0.25">
      <c r="A65" t="str">
        <f t="shared" si="0"/>
        <v>500001725879701695</v>
      </c>
      <c r="B65">
        <v>5025003422</v>
      </c>
      <c r="C65" s="10" t="s">
        <v>170</v>
      </c>
      <c r="D65" s="10">
        <v>45712</v>
      </c>
      <c r="E65">
        <v>2025</v>
      </c>
      <c r="F65">
        <v>1</v>
      </c>
      <c r="G65" s="60">
        <v>1</v>
      </c>
      <c r="I65" s="26">
        <v>5000017258</v>
      </c>
      <c r="J65" t="s">
        <v>37</v>
      </c>
      <c r="K65" t="s">
        <v>38</v>
      </c>
      <c r="M65">
        <v>79701695</v>
      </c>
      <c r="N65">
        <v>101</v>
      </c>
      <c r="O65" t="s">
        <v>171</v>
      </c>
      <c r="Q65" t="s">
        <v>35</v>
      </c>
      <c r="R65">
        <v>945946</v>
      </c>
      <c r="T65">
        <v>1</v>
      </c>
      <c r="U65">
        <v>1</v>
      </c>
      <c r="Z65" t="s">
        <v>288</v>
      </c>
      <c r="AB65">
        <v>0</v>
      </c>
      <c r="AC65">
        <v>0</v>
      </c>
      <c r="AE65">
        <v>0</v>
      </c>
    </row>
    <row r="66" spans="1:31" x14ac:dyDescent="0.25">
      <c r="A66" t="str">
        <f t="shared" si="0"/>
        <v>500001677979701695</v>
      </c>
      <c r="B66">
        <v>5025003422</v>
      </c>
      <c r="C66" s="10" t="s">
        <v>170</v>
      </c>
      <c r="D66" s="10">
        <v>45712</v>
      </c>
      <c r="E66">
        <v>2025</v>
      </c>
      <c r="F66">
        <v>2</v>
      </c>
      <c r="G66" s="60">
        <v>2</v>
      </c>
      <c r="I66" s="26">
        <v>5000016779</v>
      </c>
      <c r="J66" t="s">
        <v>37</v>
      </c>
      <c r="K66" t="s">
        <v>38</v>
      </c>
      <c r="M66">
        <v>79701695</v>
      </c>
      <c r="N66">
        <v>101</v>
      </c>
      <c r="O66" t="s">
        <v>171</v>
      </c>
      <c r="Q66" t="s">
        <v>35</v>
      </c>
      <c r="R66">
        <v>1486486.6</v>
      </c>
      <c r="T66">
        <v>2</v>
      </c>
      <c r="U66">
        <v>2</v>
      </c>
      <c r="Z66" t="s">
        <v>289</v>
      </c>
      <c r="AB66">
        <v>0</v>
      </c>
      <c r="AC66">
        <v>0</v>
      </c>
      <c r="AE66">
        <v>0</v>
      </c>
    </row>
    <row r="67" spans="1:31" x14ac:dyDescent="0.25">
      <c r="A67" t="str">
        <f t="shared" ref="A67:A129" si="1">I67&amp;M67</f>
        <v>500001693079701686</v>
      </c>
      <c r="B67">
        <v>5025003423</v>
      </c>
      <c r="C67" s="10" t="s">
        <v>170</v>
      </c>
      <c r="D67" s="10">
        <v>45712</v>
      </c>
      <c r="E67">
        <v>2025</v>
      </c>
      <c r="F67">
        <v>1</v>
      </c>
      <c r="G67" s="60">
        <v>2</v>
      </c>
      <c r="I67" s="26">
        <v>5000016930</v>
      </c>
      <c r="J67" t="s">
        <v>37</v>
      </c>
      <c r="K67" t="s">
        <v>38</v>
      </c>
      <c r="M67">
        <v>79701686</v>
      </c>
      <c r="N67">
        <v>101</v>
      </c>
      <c r="O67" t="s">
        <v>171</v>
      </c>
      <c r="Q67" t="s">
        <v>93</v>
      </c>
      <c r="R67">
        <v>394000</v>
      </c>
      <c r="T67">
        <v>2</v>
      </c>
      <c r="U67">
        <v>1</v>
      </c>
      <c r="Z67" t="s">
        <v>229</v>
      </c>
    </row>
    <row r="68" spans="1:31" x14ac:dyDescent="0.25">
      <c r="A68" t="str">
        <f t="shared" si="1"/>
        <v>500001664279701703</v>
      </c>
      <c r="B68">
        <v>5025003460</v>
      </c>
      <c r="C68" s="10" t="s">
        <v>170</v>
      </c>
      <c r="D68" s="10">
        <v>45713</v>
      </c>
      <c r="E68">
        <v>2025</v>
      </c>
      <c r="F68">
        <v>1</v>
      </c>
      <c r="G68" s="60">
        <v>1</v>
      </c>
      <c r="I68" s="26">
        <v>5000016642</v>
      </c>
      <c r="J68" t="s">
        <v>37</v>
      </c>
      <c r="K68" t="s">
        <v>38</v>
      </c>
      <c r="M68">
        <v>79701703</v>
      </c>
      <c r="N68">
        <v>101</v>
      </c>
      <c r="O68" t="s">
        <v>171</v>
      </c>
      <c r="Q68" t="s">
        <v>93</v>
      </c>
      <c r="R68">
        <v>135000</v>
      </c>
      <c r="T68">
        <v>1</v>
      </c>
      <c r="U68">
        <v>1</v>
      </c>
      <c r="Z68" t="s">
        <v>292</v>
      </c>
      <c r="AB68">
        <v>0</v>
      </c>
      <c r="AC68">
        <v>0</v>
      </c>
      <c r="AE68">
        <v>0</v>
      </c>
    </row>
    <row r="69" spans="1:31" x14ac:dyDescent="0.25">
      <c r="A69" t="str">
        <f t="shared" si="1"/>
        <v>500001625579701696</v>
      </c>
      <c r="B69">
        <v>5025003464</v>
      </c>
      <c r="C69" s="10" t="s">
        <v>170</v>
      </c>
      <c r="D69" s="10">
        <v>45713</v>
      </c>
      <c r="E69">
        <v>2025</v>
      </c>
      <c r="F69">
        <v>1</v>
      </c>
      <c r="G69" s="60">
        <v>1</v>
      </c>
      <c r="I69" s="26">
        <v>5000016255</v>
      </c>
      <c r="J69" t="s">
        <v>37</v>
      </c>
      <c r="K69" t="s">
        <v>38</v>
      </c>
      <c r="M69">
        <v>79701696</v>
      </c>
      <c r="N69">
        <v>101</v>
      </c>
      <c r="O69" t="s">
        <v>171</v>
      </c>
      <c r="Q69" t="s">
        <v>93</v>
      </c>
      <c r="R69">
        <v>343000</v>
      </c>
      <c r="T69">
        <v>1</v>
      </c>
      <c r="U69">
        <v>1</v>
      </c>
      <c r="Z69" t="s">
        <v>255</v>
      </c>
      <c r="AB69">
        <v>0</v>
      </c>
      <c r="AC69">
        <v>0</v>
      </c>
      <c r="AE69">
        <v>0</v>
      </c>
    </row>
    <row r="70" spans="1:31" x14ac:dyDescent="0.25">
      <c r="A70" t="str">
        <f t="shared" si="1"/>
        <v>500001630879701696</v>
      </c>
      <c r="B70">
        <v>5025003464</v>
      </c>
      <c r="C70" s="10" t="s">
        <v>170</v>
      </c>
      <c r="D70" s="10">
        <v>45713</v>
      </c>
      <c r="E70">
        <v>2025</v>
      </c>
      <c r="F70">
        <v>2</v>
      </c>
      <c r="G70" s="60">
        <v>1</v>
      </c>
      <c r="I70" s="26">
        <v>5000016308</v>
      </c>
      <c r="J70" t="s">
        <v>37</v>
      </c>
      <c r="K70" t="s">
        <v>38</v>
      </c>
      <c r="M70">
        <v>79701696</v>
      </c>
      <c r="N70">
        <v>101</v>
      </c>
      <c r="O70" t="s">
        <v>171</v>
      </c>
      <c r="Q70" t="s">
        <v>35</v>
      </c>
      <c r="R70">
        <v>2980000</v>
      </c>
      <c r="T70">
        <v>1</v>
      </c>
      <c r="U70">
        <v>2</v>
      </c>
      <c r="Z70" t="s">
        <v>290</v>
      </c>
      <c r="AB70">
        <v>0</v>
      </c>
      <c r="AC70">
        <v>0</v>
      </c>
      <c r="AE70">
        <v>0</v>
      </c>
    </row>
    <row r="71" spans="1:31" x14ac:dyDescent="0.25">
      <c r="A71" t="str">
        <f t="shared" si="1"/>
        <v>500001667179701698</v>
      </c>
      <c r="B71">
        <v>5025003631</v>
      </c>
      <c r="C71" s="10" t="s">
        <v>170</v>
      </c>
      <c r="D71" s="10">
        <v>45715</v>
      </c>
      <c r="E71">
        <v>2025</v>
      </c>
      <c r="F71">
        <v>1</v>
      </c>
      <c r="G71" s="60">
        <v>1</v>
      </c>
      <c r="I71" s="26">
        <v>5000016671</v>
      </c>
      <c r="J71" t="s">
        <v>37</v>
      </c>
      <c r="K71" t="s">
        <v>38</v>
      </c>
      <c r="M71">
        <v>79701698</v>
      </c>
      <c r="N71">
        <v>101</v>
      </c>
      <c r="O71" t="s">
        <v>171</v>
      </c>
      <c r="Q71" t="s">
        <v>93</v>
      </c>
      <c r="R71">
        <v>90000</v>
      </c>
      <c r="T71">
        <v>1</v>
      </c>
      <c r="U71">
        <v>1</v>
      </c>
      <c r="Z71" t="s">
        <v>257</v>
      </c>
    </row>
    <row r="72" spans="1:31" x14ac:dyDescent="0.25">
      <c r="A72" t="str">
        <f t="shared" si="1"/>
        <v>500001364079701698</v>
      </c>
      <c r="B72">
        <v>5025003631</v>
      </c>
      <c r="C72" s="10" t="s">
        <v>170</v>
      </c>
      <c r="D72" s="10">
        <v>45715</v>
      </c>
      <c r="E72">
        <v>2025</v>
      </c>
      <c r="F72">
        <v>2</v>
      </c>
      <c r="G72" s="60">
        <v>10</v>
      </c>
      <c r="I72" s="26">
        <v>5000013640</v>
      </c>
      <c r="J72" t="s">
        <v>37</v>
      </c>
      <c r="K72" t="s">
        <v>38</v>
      </c>
      <c r="M72">
        <v>79701698</v>
      </c>
      <c r="N72">
        <v>101</v>
      </c>
      <c r="O72" t="s">
        <v>171</v>
      </c>
      <c r="Q72" t="s">
        <v>93</v>
      </c>
      <c r="R72">
        <v>150000</v>
      </c>
      <c r="T72">
        <v>10</v>
      </c>
      <c r="U72">
        <v>2</v>
      </c>
      <c r="Z72" t="s">
        <v>264</v>
      </c>
    </row>
    <row r="73" spans="1:31" x14ac:dyDescent="0.25">
      <c r="A73" t="str">
        <f t="shared" si="1"/>
        <v>500001624879701698</v>
      </c>
      <c r="B73">
        <v>5025003631</v>
      </c>
      <c r="C73" s="10" t="s">
        <v>170</v>
      </c>
      <c r="D73" s="10">
        <v>45715</v>
      </c>
      <c r="E73">
        <v>2025</v>
      </c>
      <c r="F73">
        <v>3</v>
      </c>
      <c r="G73" s="60">
        <v>1</v>
      </c>
      <c r="I73" s="26">
        <v>5000016248</v>
      </c>
      <c r="J73" t="s">
        <v>37</v>
      </c>
      <c r="K73" t="s">
        <v>38</v>
      </c>
      <c r="M73">
        <v>79701698</v>
      </c>
      <c r="N73">
        <v>101</v>
      </c>
      <c r="O73" t="s">
        <v>171</v>
      </c>
      <c r="Q73" t="s">
        <v>35</v>
      </c>
      <c r="R73">
        <v>1850000</v>
      </c>
      <c r="T73">
        <v>1</v>
      </c>
      <c r="U73">
        <v>3</v>
      </c>
      <c r="Z73" t="s">
        <v>266</v>
      </c>
    </row>
    <row r="74" spans="1:31" x14ac:dyDescent="0.25">
      <c r="A74" t="str">
        <f t="shared" si="1"/>
        <v>500000073979701698</v>
      </c>
      <c r="B74">
        <v>5025003631</v>
      </c>
      <c r="C74" s="10" t="s">
        <v>170</v>
      </c>
      <c r="D74" s="10">
        <v>45715</v>
      </c>
      <c r="E74">
        <v>2025</v>
      </c>
      <c r="F74">
        <v>4</v>
      </c>
      <c r="G74" s="60">
        <v>1</v>
      </c>
      <c r="I74" s="26">
        <v>5000000739</v>
      </c>
      <c r="J74" t="s">
        <v>37</v>
      </c>
      <c r="K74" t="s">
        <v>38</v>
      </c>
      <c r="M74">
        <v>79701698</v>
      </c>
      <c r="N74">
        <v>101</v>
      </c>
      <c r="O74" t="s">
        <v>171</v>
      </c>
      <c r="Q74" t="s">
        <v>262</v>
      </c>
      <c r="R74">
        <v>2175000</v>
      </c>
      <c r="T74">
        <v>1</v>
      </c>
      <c r="U74">
        <v>4</v>
      </c>
      <c r="Z74" t="s">
        <v>263</v>
      </c>
    </row>
    <row r="75" spans="1:31" x14ac:dyDescent="0.25">
      <c r="A75" t="str">
        <f t="shared" si="1"/>
        <v>500001202179701698</v>
      </c>
      <c r="B75">
        <v>5025003631</v>
      </c>
      <c r="C75" s="10" t="s">
        <v>170</v>
      </c>
      <c r="D75" s="10">
        <v>45715</v>
      </c>
      <c r="E75">
        <v>2025</v>
      </c>
      <c r="F75">
        <v>5</v>
      </c>
      <c r="G75" s="60">
        <v>1</v>
      </c>
      <c r="I75" s="26">
        <v>5000012021</v>
      </c>
      <c r="J75" t="s">
        <v>37</v>
      </c>
      <c r="K75" t="s">
        <v>38</v>
      </c>
      <c r="M75">
        <v>79701698</v>
      </c>
      <c r="N75">
        <v>101</v>
      </c>
      <c r="O75" t="s">
        <v>171</v>
      </c>
      <c r="Q75" t="s">
        <v>93</v>
      </c>
      <c r="R75">
        <v>145000</v>
      </c>
      <c r="T75">
        <v>1</v>
      </c>
      <c r="U75">
        <v>5</v>
      </c>
      <c r="Z75" t="s">
        <v>291</v>
      </c>
    </row>
    <row r="76" spans="1:31" x14ac:dyDescent="0.25">
      <c r="A76" t="str">
        <f t="shared" si="1"/>
        <v>500001630879701947</v>
      </c>
      <c r="B76">
        <v>5025003966</v>
      </c>
      <c r="C76" s="10" t="s">
        <v>170</v>
      </c>
      <c r="D76" s="10">
        <v>45720</v>
      </c>
      <c r="E76">
        <v>2025</v>
      </c>
      <c r="F76">
        <v>1</v>
      </c>
      <c r="G76" s="60">
        <v>1</v>
      </c>
      <c r="I76" s="26">
        <v>5000016308</v>
      </c>
      <c r="J76" t="s">
        <v>37</v>
      </c>
      <c r="K76" t="s">
        <v>38</v>
      </c>
      <c r="M76">
        <v>79701947</v>
      </c>
      <c r="N76">
        <v>101</v>
      </c>
      <c r="O76" t="s">
        <v>171</v>
      </c>
      <c r="Q76" t="s">
        <v>35</v>
      </c>
      <c r="R76">
        <v>2980000</v>
      </c>
      <c r="T76">
        <v>1</v>
      </c>
      <c r="U76">
        <v>1</v>
      </c>
      <c r="Z76" t="s">
        <v>311</v>
      </c>
      <c r="AB76">
        <v>0</v>
      </c>
      <c r="AC76">
        <v>0</v>
      </c>
      <c r="AE76">
        <v>0</v>
      </c>
    </row>
    <row r="77" spans="1:31" x14ac:dyDescent="0.25">
      <c r="A77" t="str">
        <f t="shared" si="1"/>
        <v>500001725879701966</v>
      </c>
      <c r="B77">
        <v>5025003971</v>
      </c>
      <c r="C77" s="10" t="s">
        <v>170</v>
      </c>
      <c r="D77" s="10">
        <v>45720</v>
      </c>
      <c r="E77">
        <v>2025</v>
      </c>
      <c r="F77">
        <v>1</v>
      </c>
      <c r="G77" s="60">
        <v>1</v>
      </c>
      <c r="I77" s="26">
        <v>5000017258</v>
      </c>
      <c r="J77" t="s">
        <v>37</v>
      </c>
      <c r="K77" t="s">
        <v>38</v>
      </c>
      <c r="M77">
        <v>79701966</v>
      </c>
      <c r="N77">
        <v>101</v>
      </c>
      <c r="O77" t="s">
        <v>171</v>
      </c>
      <c r="Q77" t="s">
        <v>35</v>
      </c>
      <c r="R77">
        <v>945946</v>
      </c>
      <c r="T77">
        <v>1</v>
      </c>
      <c r="U77">
        <v>1</v>
      </c>
      <c r="Z77" t="s">
        <v>312</v>
      </c>
      <c r="AB77">
        <v>0</v>
      </c>
      <c r="AC77">
        <v>0</v>
      </c>
      <c r="AE77">
        <v>0</v>
      </c>
    </row>
    <row r="78" spans="1:31" x14ac:dyDescent="0.25">
      <c r="A78" t="str">
        <f t="shared" si="1"/>
        <v>500000884379701966</v>
      </c>
      <c r="B78">
        <v>5025003971</v>
      </c>
      <c r="C78" s="10" t="s">
        <v>170</v>
      </c>
      <c r="D78" s="10">
        <v>45720</v>
      </c>
      <c r="E78">
        <v>2025</v>
      </c>
      <c r="F78">
        <v>2</v>
      </c>
      <c r="G78" s="60">
        <v>1</v>
      </c>
      <c r="I78" s="26">
        <v>5000008843</v>
      </c>
      <c r="J78" t="s">
        <v>37</v>
      </c>
      <c r="K78" t="s">
        <v>38</v>
      </c>
      <c r="M78">
        <v>79701966</v>
      </c>
      <c r="N78">
        <v>101</v>
      </c>
      <c r="O78" t="s">
        <v>171</v>
      </c>
      <c r="Q78" t="s">
        <v>35</v>
      </c>
      <c r="R78">
        <v>923424</v>
      </c>
      <c r="T78">
        <v>1</v>
      </c>
      <c r="U78">
        <v>2</v>
      </c>
      <c r="Z78" t="s">
        <v>313</v>
      </c>
      <c r="AB78">
        <v>0</v>
      </c>
      <c r="AC78">
        <v>0</v>
      </c>
      <c r="AE78">
        <v>0</v>
      </c>
    </row>
    <row r="79" spans="1:31" x14ac:dyDescent="0.25">
      <c r="A79" t="str">
        <f t="shared" si="1"/>
        <v>500001423779702090</v>
      </c>
      <c r="B79">
        <v>5025004118</v>
      </c>
      <c r="C79" s="10" t="s">
        <v>170</v>
      </c>
      <c r="D79" s="10">
        <v>45722</v>
      </c>
      <c r="E79">
        <v>2025</v>
      </c>
      <c r="F79">
        <v>1</v>
      </c>
      <c r="G79" s="60">
        <v>2</v>
      </c>
      <c r="I79" s="26">
        <v>5000014237</v>
      </c>
      <c r="J79" t="s">
        <v>37</v>
      </c>
      <c r="K79" s="25" t="s">
        <v>38</v>
      </c>
      <c r="M79">
        <v>79702090</v>
      </c>
      <c r="N79">
        <v>101</v>
      </c>
      <c r="O79" t="s">
        <v>171</v>
      </c>
      <c r="Q79" t="s">
        <v>296</v>
      </c>
      <c r="R79">
        <v>360000</v>
      </c>
      <c r="T79">
        <v>2</v>
      </c>
      <c r="U79">
        <v>1</v>
      </c>
      <c r="Z79" t="s">
        <v>297</v>
      </c>
    </row>
    <row r="80" spans="1:31" x14ac:dyDescent="0.25">
      <c r="A80" t="str">
        <f t="shared" si="1"/>
        <v>500001500079701964</v>
      </c>
      <c r="B80">
        <v>5025004035</v>
      </c>
      <c r="C80" s="10" t="s">
        <v>170</v>
      </c>
      <c r="D80" s="10">
        <v>45721</v>
      </c>
      <c r="E80">
        <v>2025</v>
      </c>
      <c r="F80">
        <v>1</v>
      </c>
      <c r="G80" s="60">
        <v>3</v>
      </c>
      <c r="I80" s="26">
        <v>5000015000</v>
      </c>
      <c r="J80" t="s">
        <v>37</v>
      </c>
      <c r="K80" s="25" t="s">
        <v>38</v>
      </c>
      <c r="M80">
        <v>79701964</v>
      </c>
      <c r="N80">
        <v>101</v>
      </c>
      <c r="O80" t="s">
        <v>171</v>
      </c>
      <c r="Q80" t="s">
        <v>35</v>
      </c>
      <c r="R80">
        <v>1050000</v>
      </c>
      <c r="T80">
        <v>3</v>
      </c>
      <c r="U80">
        <v>1</v>
      </c>
      <c r="Z80" t="s">
        <v>280</v>
      </c>
    </row>
    <row r="81" spans="1:31" x14ac:dyDescent="0.25">
      <c r="A81" t="str">
        <f t="shared" si="1"/>
        <v>500001677979702214</v>
      </c>
      <c r="B81">
        <v>5025004232</v>
      </c>
      <c r="C81" s="10" t="s">
        <v>170</v>
      </c>
      <c r="D81" s="10">
        <v>45724</v>
      </c>
      <c r="E81">
        <v>2025</v>
      </c>
      <c r="F81">
        <v>1</v>
      </c>
      <c r="G81" s="60">
        <v>1</v>
      </c>
      <c r="I81" s="26">
        <v>5000016779</v>
      </c>
      <c r="J81" t="s">
        <v>37</v>
      </c>
      <c r="K81" s="25" t="s">
        <v>38</v>
      </c>
      <c r="M81">
        <v>79702214</v>
      </c>
      <c r="N81">
        <v>101</v>
      </c>
      <c r="O81" t="s">
        <v>171</v>
      </c>
      <c r="Q81" t="s">
        <v>35</v>
      </c>
      <c r="R81">
        <v>743243.3</v>
      </c>
      <c r="T81">
        <v>1</v>
      </c>
      <c r="U81">
        <v>1</v>
      </c>
      <c r="Z81" t="s">
        <v>332</v>
      </c>
      <c r="AB81">
        <v>0</v>
      </c>
      <c r="AC81">
        <v>0</v>
      </c>
      <c r="AE81">
        <v>0</v>
      </c>
    </row>
    <row r="82" spans="1:31" x14ac:dyDescent="0.25">
      <c r="A82" t="str">
        <f t="shared" si="1"/>
        <v>500001637579702214</v>
      </c>
      <c r="B82">
        <v>5025004232</v>
      </c>
      <c r="C82" s="10" t="s">
        <v>170</v>
      </c>
      <c r="D82" s="10">
        <v>45724</v>
      </c>
      <c r="E82">
        <v>2025</v>
      </c>
      <c r="F82">
        <v>2</v>
      </c>
      <c r="G82" s="60">
        <v>1</v>
      </c>
      <c r="I82" s="26">
        <v>5000016375</v>
      </c>
      <c r="J82" t="s">
        <v>37</v>
      </c>
      <c r="K82" s="25" t="s">
        <v>38</v>
      </c>
      <c r="M82">
        <v>79702214</v>
      </c>
      <c r="N82">
        <v>101</v>
      </c>
      <c r="O82" t="s">
        <v>171</v>
      </c>
      <c r="Q82" t="s">
        <v>35</v>
      </c>
      <c r="R82">
        <v>2072072.1</v>
      </c>
      <c r="T82">
        <v>1</v>
      </c>
      <c r="U82">
        <v>2</v>
      </c>
      <c r="Z82" t="s">
        <v>333</v>
      </c>
      <c r="AB82">
        <v>0</v>
      </c>
      <c r="AC82">
        <v>0</v>
      </c>
      <c r="AE82">
        <v>0</v>
      </c>
    </row>
    <row r="83" spans="1:31" x14ac:dyDescent="0.25">
      <c r="A83" t="str">
        <f t="shared" si="1"/>
        <v>500001737679702258</v>
      </c>
      <c r="B83">
        <v>5025004310</v>
      </c>
      <c r="C83" s="10" t="s">
        <v>170</v>
      </c>
      <c r="D83" s="10">
        <v>45727</v>
      </c>
      <c r="E83">
        <v>2025</v>
      </c>
      <c r="F83">
        <v>1</v>
      </c>
      <c r="G83" s="60">
        <v>1</v>
      </c>
      <c r="I83" s="26">
        <v>5000017376</v>
      </c>
      <c r="J83" t="s">
        <v>37</v>
      </c>
      <c r="K83" s="25" t="s">
        <v>38</v>
      </c>
      <c r="M83">
        <v>79702258</v>
      </c>
      <c r="N83">
        <v>101</v>
      </c>
      <c r="O83" t="s">
        <v>171</v>
      </c>
      <c r="Q83" t="s">
        <v>93</v>
      </c>
      <c r="R83">
        <v>200000</v>
      </c>
      <c r="T83">
        <v>1</v>
      </c>
      <c r="U83">
        <v>1</v>
      </c>
      <c r="Z83" t="s">
        <v>339</v>
      </c>
      <c r="AB83">
        <v>0</v>
      </c>
      <c r="AC83">
        <v>0</v>
      </c>
      <c r="AE83">
        <v>0</v>
      </c>
    </row>
    <row r="84" spans="1:31" x14ac:dyDescent="0.25">
      <c r="A84" t="str">
        <f t="shared" si="1"/>
        <v>500001658379702242</v>
      </c>
      <c r="B84">
        <v>5025004311</v>
      </c>
      <c r="C84" s="10" t="s">
        <v>170</v>
      </c>
      <c r="D84" s="10">
        <v>45727</v>
      </c>
      <c r="E84">
        <v>2025</v>
      </c>
      <c r="F84">
        <v>1</v>
      </c>
      <c r="G84" s="60">
        <v>1</v>
      </c>
      <c r="I84" s="26">
        <v>5000016583</v>
      </c>
      <c r="J84" t="s">
        <v>37</v>
      </c>
      <c r="K84" t="s">
        <v>38</v>
      </c>
      <c r="M84">
        <v>79702242</v>
      </c>
      <c r="N84">
        <v>101</v>
      </c>
      <c r="O84" t="s">
        <v>171</v>
      </c>
      <c r="Q84" t="s">
        <v>35</v>
      </c>
      <c r="R84">
        <v>4580000</v>
      </c>
      <c r="T84">
        <v>1</v>
      </c>
      <c r="U84">
        <v>1</v>
      </c>
      <c r="Z84" t="s">
        <v>334</v>
      </c>
      <c r="AB84">
        <v>0</v>
      </c>
      <c r="AC84">
        <v>0</v>
      </c>
      <c r="AE84">
        <v>0</v>
      </c>
    </row>
    <row r="85" spans="1:31" x14ac:dyDescent="0.25">
      <c r="A85" t="str">
        <f t="shared" si="1"/>
        <v>500001767779702281</v>
      </c>
      <c r="B85">
        <v>5025004312</v>
      </c>
      <c r="C85" s="10" t="s">
        <v>170</v>
      </c>
      <c r="D85" s="10">
        <v>45727</v>
      </c>
      <c r="E85">
        <v>2025</v>
      </c>
      <c r="F85">
        <v>1</v>
      </c>
      <c r="G85" s="60">
        <v>3</v>
      </c>
      <c r="I85" s="26">
        <v>5000017677</v>
      </c>
      <c r="J85" t="s">
        <v>37</v>
      </c>
      <c r="K85" t="s">
        <v>38</v>
      </c>
      <c r="M85">
        <v>79702281</v>
      </c>
      <c r="N85">
        <v>101</v>
      </c>
      <c r="O85" t="s">
        <v>171</v>
      </c>
      <c r="Q85" t="s">
        <v>300</v>
      </c>
      <c r="R85">
        <v>1305000</v>
      </c>
      <c r="T85">
        <v>3</v>
      </c>
      <c r="U85">
        <v>1</v>
      </c>
      <c r="Z85" t="s">
        <v>301</v>
      </c>
      <c r="AB85">
        <v>0</v>
      </c>
      <c r="AC85">
        <v>0</v>
      </c>
      <c r="AE85">
        <v>0</v>
      </c>
    </row>
    <row r="86" spans="1:31" x14ac:dyDescent="0.25">
      <c r="A86" t="str">
        <f t="shared" si="1"/>
        <v>500001767679702281</v>
      </c>
      <c r="B86">
        <v>5025004312</v>
      </c>
      <c r="C86" s="10" t="s">
        <v>170</v>
      </c>
      <c r="D86" s="10">
        <v>45727</v>
      </c>
      <c r="E86">
        <v>2025</v>
      </c>
      <c r="F86">
        <v>2</v>
      </c>
      <c r="G86" s="60">
        <v>3</v>
      </c>
      <c r="I86" s="26">
        <v>5000017676</v>
      </c>
      <c r="J86" t="s">
        <v>37</v>
      </c>
      <c r="K86" t="s">
        <v>38</v>
      </c>
      <c r="M86">
        <v>79702281</v>
      </c>
      <c r="N86">
        <v>101</v>
      </c>
      <c r="O86" t="s">
        <v>171</v>
      </c>
      <c r="Q86" t="s">
        <v>93</v>
      </c>
      <c r="R86">
        <v>195000</v>
      </c>
      <c r="T86">
        <v>3</v>
      </c>
      <c r="U86">
        <v>2</v>
      </c>
      <c r="Z86" t="s">
        <v>341</v>
      </c>
      <c r="AB86">
        <v>0</v>
      </c>
      <c r="AC86">
        <v>0</v>
      </c>
      <c r="AE86">
        <v>0</v>
      </c>
    </row>
    <row r="87" spans="1:31" x14ac:dyDescent="0.25">
      <c r="A87" t="str">
        <f t="shared" si="1"/>
        <v>500000505979701911</v>
      </c>
      <c r="B87">
        <v>5025004443</v>
      </c>
      <c r="C87" s="10" t="s">
        <v>170</v>
      </c>
      <c r="D87" s="10">
        <v>45728</v>
      </c>
      <c r="E87">
        <v>2025</v>
      </c>
      <c r="F87">
        <v>1</v>
      </c>
      <c r="G87" s="60">
        <v>1</v>
      </c>
      <c r="I87" s="26">
        <v>5000005059</v>
      </c>
      <c r="J87" t="s">
        <v>37</v>
      </c>
      <c r="K87" t="s">
        <v>38</v>
      </c>
      <c r="M87">
        <v>79701911</v>
      </c>
      <c r="N87">
        <v>101</v>
      </c>
      <c r="O87" t="s">
        <v>171</v>
      </c>
      <c r="Q87" t="s">
        <v>93</v>
      </c>
      <c r="R87">
        <v>95000</v>
      </c>
      <c r="T87">
        <v>1</v>
      </c>
      <c r="U87">
        <v>1</v>
      </c>
      <c r="Z87" t="s">
        <v>284</v>
      </c>
    </row>
    <row r="88" spans="1:31" x14ac:dyDescent="0.25">
      <c r="A88" t="str">
        <f t="shared" si="1"/>
        <v>500000424879701911</v>
      </c>
      <c r="B88">
        <v>5025004443</v>
      </c>
      <c r="C88" s="10" t="s">
        <v>170</v>
      </c>
      <c r="D88" s="10">
        <v>45728</v>
      </c>
      <c r="E88">
        <v>2025</v>
      </c>
      <c r="F88">
        <v>2</v>
      </c>
      <c r="G88" s="60">
        <v>1</v>
      </c>
      <c r="I88" s="26">
        <v>5000004248</v>
      </c>
      <c r="J88" t="s">
        <v>37</v>
      </c>
      <c r="K88" t="s">
        <v>38</v>
      </c>
      <c r="M88">
        <v>79701911</v>
      </c>
      <c r="N88">
        <v>101</v>
      </c>
      <c r="O88" t="s">
        <v>171</v>
      </c>
      <c r="Q88" t="s">
        <v>93</v>
      </c>
      <c r="R88">
        <v>65000</v>
      </c>
      <c r="T88">
        <v>1</v>
      </c>
      <c r="U88">
        <v>2</v>
      </c>
      <c r="Z88" t="s">
        <v>285</v>
      </c>
    </row>
    <row r="89" spans="1:31" x14ac:dyDescent="0.25">
      <c r="A89" t="str">
        <f t="shared" si="1"/>
        <v>500001202179701911</v>
      </c>
      <c r="B89">
        <v>5025004443</v>
      </c>
      <c r="C89" s="10" t="s">
        <v>170</v>
      </c>
      <c r="D89" s="10">
        <v>45728</v>
      </c>
      <c r="E89">
        <v>2025</v>
      </c>
      <c r="F89">
        <v>3</v>
      </c>
      <c r="G89" s="60">
        <v>1</v>
      </c>
      <c r="I89" s="26">
        <v>5000012021</v>
      </c>
      <c r="J89" t="s">
        <v>37</v>
      </c>
      <c r="K89" t="s">
        <v>38</v>
      </c>
      <c r="M89">
        <v>79701911</v>
      </c>
      <c r="N89">
        <v>101</v>
      </c>
      <c r="O89" t="s">
        <v>171</v>
      </c>
      <c r="Q89" t="s">
        <v>93</v>
      </c>
      <c r="R89">
        <v>30000</v>
      </c>
      <c r="T89">
        <v>1</v>
      </c>
      <c r="U89">
        <v>3</v>
      </c>
      <c r="Z89" t="s">
        <v>286</v>
      </c>
    </row>
    <row r="90" spans="1:31" x14ac:dyDescent="0.25">
      <c r="A90" t="str">
        <f t="shared" si="1"/>
        <v>500001591679701911</v>
      </c>
      <c r="B90">
        <v>5025004443</v>
      </c>
      <c r="C90" s="10" t="s">
        <v>170</v>
      </c>
      <c r="D90" s="10">
        <v>45728</v>
      </c>
      <c r="E90">
        <v>2025</v>
      </c>
      <c r="F90">
        <v>4</v>
      </c>
      <c r="G90" s="60">
        <v>1</v>
      </c>
      <c r="I90" s="26">
        <v>5000015916</v>
      </c>
      <c r="J90" t="s">
        <v>37</v>
      </c>
      <c r="K90" t="s">
        <v>38</v>
      </c>
      <c r="M90">
        <v>79701911</v>
      </c>
      <c r="N90">
        <v>101</v>
      </c>
      <c r="O90" t="s">
        <v>171</v>
      </c>
      <c r="Q90" t="s">
        <v>93</v>
      </c>
      <c r="R90">
        <v>165000</v>
      </c>
      <c r="T90">
        <v>1</v>
      </c>
      <c r="U90">
        <v>4</v>
      </c>
      <c r="Z90" t="s">
        <v>294</v>
      </c>
    </row>
    <row r="91" spans="1:31" x14ac:dyDescent="0.25">
      <c r="A91" t="str">
        <f t="shared" si="1"/>
        <v>500000534079701911</v>
      </c>
      <c r="B91">
        <v>5025004443</v>
      </c>
      <c r="C91" s="10" t="s">
        <v>170</v>
      </c>
      <c r="D91" s="10">
        <v>45728</v>
      </c>
      <c r="E91">
        <v>2025</v>
      </c>
      <c r="F91">
        <v>5</v>
      </c>
      <c r="G91" s="60">
        <v>1</v>
      </c>
      <c r="I91" s="26">
        <v>5000005340</v>
      </c>
      <c r="J91" t="s">
        <v>37</v>
      </c>
      <c r="K91" t="s">
        <v>38</v>
      </c>
      <c r="M91">
        <v>79701911</v>
      </c>
      <c r="N91">
        <v>101</v>
      </c>
      <c r="O91" t="s">
        <v>171</v>
      </c>
      <c r="Q91" t="s">
        <v>35</v>
      </c>
      <c r="R91">
        <v>155000</v>
      </c>
      <c r="T91">
        <v>1</v>
      </c>
      <c r="U91">
        <v>5</v>
      </c>
      <c r="Z91" t="s">
        <v>295</v>
      </c>
    </row>
    <row r="92" spans="1:31" x14ac:dyDescent="0.25">
      <c r="A92" t="str">
        <f t="shared" si="1"/>
        <v>500000505979701911</v>
      </c>
      <c r="B92">
        <v>5025004443</v>
      </c>
      <c r="C92" s="10" t="s">
        <v>170</v>
      </c>
      <c r="D92" s="10">
        <v>45728</v>
      </c>
      <c r="E92">
        <v>2025</v>
      </c>
      <c r="F92">
        <v>6</v>
      </c>
      <c r="G92" s="60">
        <v>10</v>
      </c>
      <c r="I92" s="26">
        <v>5000005059</v>
      </c>
      <c r="J92" t="s">
        <v>37</v>
      </c>
      <c r="K92" t="s">
        <v>38</v>
      </c>
      <c r="M92">
        <v>79701911</v>
      </c>
      <c r="N92">
        <v>101</v>
      </c>
      <c r="O92" t="s">
        <v>171</v>
      </c>
      <c r="Q92" t="s">
        <v>93</v>
      </c>
      <c r="R92">
        <v>950000</v>
      </c>
      <c r="T92">
        <v>10</v>
      </c>
      <c r="U92">
        <v>6</v>
      </c>
      <c r="Z92" t="s">
        <v>298</v>
      </c>
    </row>
    <row r="93" spans="1:31" x14ac:dyDescent="0.25">
      <c r="A93" t="str">
        <f t="shared" si="1"/>
        <v>500001658579702282</v>
      </c>
      <c r="B93">
        <v>5025004445</v>
      </c>
      <c r="C93" s="10" t="s">
        <v>170</v>
      </c>
      <c r="D93" s="10">
        <v>45728</v>
      </c>
      <c r="E93">
        <v>2025</v>
      </c>
      <c r="F93">
        <v>1</v>
      </c>
      <c r="G93" s="60">
        <v>1</v>
      </c>
      <c r="I93" s="26">
        <v>5000016585</v>
      </c>
      <c r="J93" t="s">
        <v>37</v>
      </c>
      <c r="K93" s="25" t="s">
        <v>38</v>
      </c>
      <c r="M93">
        <v>79702282</v>
      </c>
      <c r="N93">
        <v>101</v>
      </c>
      <c r="O93" t="s">
        <v>171</v>
      </c>
      <c r="Q93" t="s">
        <v>35</v>
      </c>
      <c r="R93">
        <v>25000</v>
      </c>
      <c r="T93">
        <v>1</v>
      </c>
      <c r="U93">
        <v>1</v>
      </c>
      <c r="Z93" t="s">
        <v>359</v>
      </c>
    </row>
    <row r="94" spans="1:31" x14ac:dyDescent="0.25">
      <c r="A94" t="str">
        <f t="shared" si="1"/>
        <v>500000534079702282</v>
      </c>
      <c r="B94">
        <v>5025004445</v>
      </c>
      <c r="C94" s="10" t="s">
        <v>170</v>
      </c>
      <c r="D94" s="10">
        <v>45728</v>
      </c>
      <c r="E94">
        <v>2025</v>
      </c>
      <c r="F94">
        <v>2</v>
      </c>
      <c r="G94" s="60">
        <v>1</v>
      </c>
      <c r="I94" s="26">
        <v>5000005340</v>
      </c>
      <c r="J94" t="s">
        <v>37</v>
      </c>
      <c r="K94" t="s">
        <v>38</v>
      </c>
      <c r="M94">
        <v>79702282</v>
      </c>
      <c r="N94">
        <v>101</v>
      </c>
      <c r="O94" t="s">
        <v>171</v>
      </c>
      <c r="Q94" t="s">
        <v>35</v>
      </c>
      <c r="R94">
        <v>155000</v>
      </c>
      <c r="T94">
        <v>1</v>
      </c>
      <c r="U94">
        <v>2</v>
      </c>
      <c r="Z94" t="s">
        <v>326</v>
      </c>
    </row>
    <row r="95" spans="1:31" x14ac:dyDescent="0.25">
      <c r="A95" t="str">
        <f t="shared" si="1"/>
        <v>500001200679702282</v>
      </c>
      <c r="B95">
        <v>5025004445</v>
      </c>
      <c r="C95" s="10" t="s">
        <v>170</v>
      </c>
      <c r="D95" s="10">
        <v>45728</v>
      </c>
      <c r="E95">
        <v>2025</v>
      </c>
      <c r="F95">
        <v>3</v>
      </c>
      <c r="G95" s="60">
        <v>1</v>
      </c>
      <c r="I95" s="26">
        <v>5000012006</v>
      </c>
      <c r="J95" t="s">
        <v>37</v>
      </c>
      <c r="K95" t="s">
        <v>38</v>
      </c>
      <c r="M95">
        <v>79702282</v>
      </c>
      <c r="N95">
        <v>101</v>
      </c>
      <c r="O95" t="s">
        <v>171</v>
      </c>
      <c r="Q95" t="s">
        <v>35</v>
      </c>
      <c r="R95">
        <v>1750000</v>
      </c>
      <c r="T95">
        <v>1</v>
      </c>
      <c r="U95">
        <v>3</v>
      </c>
      <c r="Z95" t="s">
        <v>329</v>
      </c>
    </row>
    <row r="96" spans="1:31" x14ac:dyDescent="0.25">
      <c r="A96" t="str">
        <f t="shared" si="1"/>
        <v>500000884379702500</v>
      </c>
      <c r="B96">
        <v>5025004753</v>
      </c>
      <c r="C96" s="10" t="s">
        <v>170</v>
      </c>
      <c r="D96" s="10">
        <v>45733</v>
      </c>
      <c r="E96">
        <v>2025</v>
      </c>
      <c r="F96">
        <v>1</v>
      </c>
      <c r="G96" s="60">
        <v>1</v>
      </c>
      <c r="I96" s="26">
        <v>5000008843</v>
      </c>
      <c r="J96" t="s">
        <v>37</v>
      </c>
      <c r="K96" t="s">
        <v>38</v>
      </c>
      <c r="M96">
        <v>79702500</v>
      </c>
      <c r="N96">
        <v>101</v>
      </c>
      <c r="O96" t="s">
        <v>171</v>
      </c>
      <c r="Q96" t="s">
        <v>35</v>
      </c>
      <c r="R96">
        <v>923424</v>
      </c>
      <c r="T96">
        <v>1</v>
      </c>
      <c r="U96">
        <v>1</v>
      </c>
      <c r="Z96" t="s">
        <v>358</v>
      </c>
      <c r="AB96">
        <v>0</v>
      </c>
      <c r="AC96">
        <v>0</v>
      </c>
      <c r="AE96">
        <v>0</v>
      </c>
    </row>
    <row r="97" spans="1:31" x14ac:dyDescent="0.25">
      <c r="A97" t="str">
        <f t="shared" si="1"/>
        <v>500001769579702490</v>
      </c>
      <c r="B97">
        <v>5025004754</v>
      </c>
      <c r="C97" s="10" t="s">
        <v>170</v>
      </c>
      <c r="D97" s="10">
        <v>45733</v>
      </c>
      <c r="E97">
        <v>2025</v>
      </c>
      <c r="F97">
        <v>1</v>
      </c>
      <c r="G97" s="60">
        <v>1</v>
      </c>
      <c r="I97" s="26">
        <v>5000017695</v>
      </c>
      <c r="J97" t="s">
        <v>37</v>
      </c>
      <c r="K97" t="s">
        <v>38</v>
      </c>
      <c r="M97">
        <v>79702490</v>
      </c>
      <c r="N97">
        <v>101</v>
      </c>
      <c r="O97" t="s">
        <v>171</v>
      </c>
      <c r="Q97" t="s">
        <v>35</v>
      </c>
      <c r="R97">
        <v>7612613</v>
      </c>
      <c r="T97">
        <v>1</v>
      </c>
      <c r="U97">
        <v>1</v>
      </c>
      <c r="Z97" t="s">
        <v>356</v>
      </c>
      <c r="AB97">
        <v>0</v>
      </c>
      <c r="AC97">
        <v>0</v>
      </c>
      <c r="AE97">
        <v>0</v>
      </c>
    </row>
    <row r="98" spans="1:31" x14ac:dyDescent="0.25">
      <c r="A98" t="str">
        <f t="shared" si="1"/>
        <v>500001748179702490</v>
      </c>
      <c r="B98">
        <v>5025004754</v>
      </c>
      <c r="C98" s="10" t="s">
        <v>170</v>
      </c>
      <c r="D98" s="10">
        <v>45733</v>
      </c>
      <c r="E98">
        <v>2025</v>
      </c>
      <c r="F98">
        <v>2</v>
      </c>
      <c r="G98" s="60">
        <v>1</v>
      </c>
      <c r="I98" s="26">
        <v>5000017481</v>
      </c>
      <c r="J98" t="s">
        <v>37</v>
      </c>
      <c r="K98" t="s">
        <v>38</v>
      </c>
      <c r="M98">
        <v>79702490</v>
      </c>
      <c r="N98">
        <v>101</v>
      </c>
      <c r="O98" t="s">
        <v>171</v>
      </c>
      <c r="Q98" t="s">
        <v>35</v>
      </c>
      <c r="R98">
        <v>3693694</v>
      </c>
      <c r="T98">
        <v>1</v>
      </c>
      <c r="U98">
        <v>2</v>
      </c>
      <c r="Z98" t="s">
        <v>357</v>
      </c>
      <c r="AB98">
        <v>0</v>
      </c>
      <c r="AC98">
        <v>0</v>
      </c>
      <c r="AE98">
        <v>0</v>
      </c>
    </row>
    <row r="99" spans="1:31" x14ac:dyDescent="0.25">
      <c r="A99" t="str">
        <f t="shared" si="1"/>
        <v>500001768679702495</v>
      </c>
      <c r="B99">
        <v>5025004761</v>
      </c>
      <c r="C99" s="10" t="s">
        <v>170</v>
      </c>
      <c r="D99" s="10">
        <v>45733</v>
      </c>
      <c r="E99">
        <v>2025</v>
      </c>
      <c r="F99">
        <v>1</v>
      </c>
      <c r="G99" s="60">
        <v>1</v>
      </c>
      <c r="I99" s="26">
        <v>5000017686</v>
      </c>
      <c r="J99" t="s">
        <v>37</v>
      </c>
      <c r="K99" t="s">
        <v>38</v>
      </c>
      <c r="M99">
        <v>79702495</v>
      </c>
      <c r="N99">
        <v>101</v>
      </c>
      <c r="O99" t="s">
        <v>171</v>
      </c>
      <c r="Q99" t="s">
        <v>93</v>
      </c>
      <c r="R99">
        <v>85000</v>
      </c>
      <c r="T99">
        <v>1</v>
      </c>
      <c r="U99">
        <v>1</v>
      </c>
      <c r="Z99" t="s">
        <v>337</v>
      </c>
    </row>
    <row r="100" spans="1:31" x14ac:dyDescent="0.25">
      <c r="A100" t="str">
        <f t="shared" si="1"/>
        <v>500001556079702259</v>
      </c>
      <c r="B100">
        <v>5025004763</v>
      </c>
      <c r="C100" s="10" t="s">
        <v>170</v>
      </c>
      <c r="D100" s="10">
        <v>45733</v>
      </c>
      <c r="E100">
        <v>2025</v>
      </c>
      <c r="F100">
        <v>1</v>
      </c>
      <c r="G100" s="60">
        <v>2</v>
      </c>
      <c r="I100" s="26">
        <v>5000015560</v>
      </c>
      <c r="J100" t="s">
        <v>37</v>
      </c>
      <c r="K100" t="s">
        <v>38</v>
      </c>
      <c r="M100">
        <v>79702259</v>
      </c>
      <c r="N100">
        <v>101</v>
      </c>
      <c r="O100" t="s">
        <v>171</v>
      </c>
      <c r="Q100" t="s">
        <v>93</v>
      </c>
      <c r="R100">
        <v>320000</v>
      </c>
      <c r="T100">
        <v>2</v>
      </c>
      <c r="U100">
        <v>1</v>
      </c>
      <c r="Z100" t="s">
        <v>320</v>
      </c>
    </row>
    <row r="101" spans="1:31" x14ac:dyDescent="0.25">
      <c r="A101" t="str">
        <f t="shared" si="1"/>
        <v>500001665979702259</v>
      </c>
      <c r="B101">
        <v>5025004763</v>
      </c>
      <c r="C101" s="10" t="s">
        <v>170</v>
      </c>
      <c r="D101" s="10">
        <v>45733</v>
      </c>
      <c r="E101">
        <v>2025</v>
      </c>
      <c r="F101">
        <v>2</v>
      </c>
      <c r="G101" s="60">
        <v>2</v>
      </c>
      <c r="I101" s="26">
        <v>5000016659</v>
      </c>
      <c r="J101" t="s">
        <v>37</v>
      </c>
      <c r="K101" t="s">
        <v>38</v>
      </c>
      <c r="M101">
        <v>79702259</v>
      </c>
      <c r="N101">
        <v>101</v>
      </c>
      <c r="O101" t="s">
        <v>171</v>
      </c>
      <c r="Q101" t="s">
        <v>93</v>
      </c>
      <c r="R101">
        <v>210000</v>
      </c>
      <c r="T101">
        <v>2</v>
      </c>
      <c r="U101">
        <v>2</v>
      </c>
      <c r="Z101" t="s">
        <v>340</v>
      </c>
    </row>
    <row r="102" spans="1:31" x14ac:dyDescent="0.25">
      <c r="A102" t="str">
        <f t="shared" si="1"/>
        <v>500000424879702498</v>
      </c>
      <c r="B102">
        <v>5025004769</v>
      </c>
      <c r="C102" s="10" t="s">
        <v>170</v>
      </c>
      <c r="D102" s="10">
        <v>45733</v>
      </c>
      <c r="E102">
        <v>2025</v>
      </c>
      <c r="F102">
        <v>1</v>
      </c>
      <c r="G102" s="60">
        <v>10</v>
      </c>
      <c r="I102" s="26">
        <v>5000004248</v>
      </c>
      <c r="J102" t="s">
        <v>37</v>
      </c>
      <c r="K102" t="s">
        <v>38</v>
      </c>
      <c r="M102">
        <v>79702498</v>
      </c>
      <c r="N102">
        <v>101</v>
      </c>
      <c r="O102" t="s">
        <v>171</v>
      </c>
      <c r="Q102" t="s">
        <v>93</v>
      </c>
      <c r="R102">
        <v>650000</v>
      </c>
      <c r="T102">
        <v>10</v>
      </c>
      <c r="U102">
        <v>1</v>
      </c>
      <c r="Z102" t="s">
        <v>338</v>
      </c>
    </row>
    <row r="103" spans="1:31" x14ac:dyDescent="0.25">
      <c r="A103" t="str">
        <f t="shared" si="1"/>
        <v>500001500079702499</v>
      </c>
      <c r="B103">
        <v>5025004771</v>
      </c>
      <c r="C103" s="10" t="s">
        <v>170</v>
      </c>
      <c r="D103" s="10">
        <v>45733</v>
      </c>
      <c r="E103">
        <v>2025</v>
      </c>
      <c r="F103">
        <v>1</v>
      </c>
      <c r="G103" s="60">
        <v>2</v>
      </c>
      <c r="I103" s="26">
        <v>5000015000</v>
      </c>
      <c r="J103" t="s">
        <v>37</v>
      </c>
      <c r="K103" t="s">
        <v>38</v>
      </c>
      <c r="M103">
        <v>79702499</v>
      </c>
      <c r="N103">
        <v>101</v>
      </c>
      <c r="O103" t="s">
        <v>171</v>
      </c>
      <c r="Q103" t="s">
        <v>35</v>
      </c>
      <c r="R103">
        <v>700000</v>
      </c>
      <c r="T103">
        <v>2</v>
      </c>
      <c r="U103">
        <v>1</v>
      </c>
      <c r="Z103" t="s">
        <v>344</v>
      </c>
    </row>
    <row r="104" spans="1:31" x14ac:dyDescent="0.25">
      <c r="A104" t="str">
        <f t="shared" si="1"/>
        <v>500001175479702845</v>
      </c>
      <c r="B104">
        <v>5025005130</v>
      </c>
      <c r="C104" s="10" t="s">
        <v>170</v>
      </c>
      <c r="D104" s="10">
        <v>45737</v>
      </c>
      <c r="E104">
        <v>2025</v>
      </c>
      <c r="F104">
        <v>1</v>
      </c>
      <c r="G104" s="60">
        <v>1</v>
      </c>
      <c r="I104" s="26">
        <v>5000011754</v>
      </c>
      <c r="J104" t="s">
        <v>37</v>
      </c>
      <c r="K104" t="s">
        <v>38</v>
      </c>
      <c r="M104">
        <v>79702845</v>
      </c>
      <c r="N104">
        <v>101</v>
      </c>
      <c r="O104" t="s">
        <v>171</v>
      </c>
      <c r="Q104" t="s">
        <v>93</v>
      </c>
      <c r="R104">
        <v>20000</v>
      </c>
      <c r="T104">
        <v>1</v>
      </c>
      <c r="U104">
        <v>1</v>
      </c>
      <c r="Z104" t="s">
        <v>348</v>
      </c>
    </row>
    <row r="105" spans="1:31" x14ac:dyDescent="0.25">
      <c r="A105" t="str">
        <f t="shared" si="1"/>
        <v>500000074079702845</v>
      </c>
      <c r="B105">
        <v>5025005130</v>
      </c>
      <c r="C105" s="10" t="s">
        <v>170</v>
      </c>
      <c r="D105" s="10">
        <v>45737</v>
      </c>
      <c r="E105">
        <v>2025</v>
      </c>
      <c r="F105">
        <v>2</v>
      </c>
      <c r="G105" s="60">
        <v>600</v>
      </c>
      <c r="H105" t="s">
        <v>383</v>
      </c>
      <c r="I105" s="26">
        <v>5000000740</v>
      </c>
      <c r="J105" t="s">
        <v>37</v>
      </c>
      <c r="K105" t="s">
        <v>38</v>
      </c>
      <c r="M105">
        <v>79702845</v>
      </c>
      <c r="N105">
        <v>101</v>
      </c>
      <c r="O105" t="s">
        <v>171</v>
      </c>
      <c r="Q105" t="s">
        <v>93</v>
      </c>
      <c r="R105">
        <v>1800000</v>
      </c>
      <c r="T105">
        <v>6</v>
      </c>
      <c r="U105">
        <v>2</v>
      </c>
      <c r="Z105" t="s">
        <v>361</v>
      </c>
    </row>
    <row r="106" spans="1:31" x14ac:dyDescent="0.25">
      <c r="A106" t="str">
        <f t="shared" si="1"/>
        <v>500001693079702759</v>
      </c>
      <c r="B106">
        <v>5025005142</v>
      </c>
      <c r="C106" s="10" t="s">
        <v>170</v>
      </c>
      <c r="D106" s="10">
        <v>45737</v>
      </c>
      <c r="E106">
        <v>2025</v>
      </c>
      <c r="F106">
        <v>1</v>
      </c>
      <c r="G106" s="60">
        <v>1</v>
      </c>
      <c r="I106" s="26">
        <v>5000016930</v>
      </c>
      <c r="J106" t="s">
        <v>37</v>
      </c>
      <c r="K106" t="s">
        <v>38</v>
      </c>
      <c r="M106">
        <v>79702759</v>
      </c>
      <c r="N106">
        <v>101</v>
      </c>
      <c r="O106" t="s">
        <v>171</v>
      </c>
      <c r="Q106" t="s">
        <v>93</v>
      </c>
      <c r="R106">
        <v>180950</v>
      </c>
      <c r="T106">
        <v>1</v>
      </c>
      <c r="U106">
        <v>1</v>
      </c>
      <c r="Z106" t="s">
        <v>279</v>
      </c>
    </row>
    <row r="107" spans="1:31" x14ac:dyDescent="0.25">
      <c r="A107" t="str">
        <f t="shared" si="1"/>
        <v>500001693079702759</v>
      </c>
      <c r="B107">
        <v>5025005142</v>
      </c>
      <c r="C107" s="10" t="s">
        <v>170</v>
      </c>
      <c r="D107" s="10">
        <v>45737</v>
      </c>
      <c r="E107">
        <v>2025</v>
      </c>
      <c r="F107">
        <v>2</v>
      </c>
      <c r="G107" s="60">
        <v>1</v>
      </c>
      <c r="I107" s="26">
        <v>5000016930</v>
      </c>
      <c r="J107" t="s">
        <v>37</v>
      </c>
      <c r="K107" t="s">
        <v>38</v>
      </c>
      <c r="M107">
        <v>79702759</v>
      </c>
      <c r="N107">
        <v>101</v>
      </c>
      <c r="O107" t="s">
        <v>171</v>
      </c>
      <c r="Q107" t="s">
        <v>93</v>
      </c>
      <c r="R107">
        <v>180950</v>
      </c>
      <c r="T107">
        <v>1</v>
      </c>
      <c r="U107">
        <v>2</v>
      </c>
      <c r="Z107" t="s">
        <v>335</v>
      </c>
    </row>
    <row r="108" spans="1:31" x14ac:dyDescent="0.25">
      <c r="A108" t="str">
        <f t="shared" si="1"/>
        <v>500001625579702840</v>
      </c>
      <c r="B108">
        <v>5025005337</v>
      </c>
      <c r="C108" s="10" t="s">
        <v>170</v>
      </c>
      <c r="D108" s="10">
        <v>45740</v>
      </c>
      <c r="E108">
        <v>2025</v>
      </c>
      <c r="F108">
        <v>1</v>
      </c>
      <c r="G108" s="60">
        <v>1</v>
      </c>
      <c r="I108" s="26">
        <v>5000016255</v>
      </c>
      <c r="J108" t="s">
        <v>37</v>
      </c>
      <c r="K108" t="s">
        <v>38</v>
      </c>
      <c r="M108">
        <v>79702840</v>
      </c>
      <c r="N108">
        <v>101</v>
      </c>
      <c r="O108" t="s">
        <v>171</v>
      </c>
      <c r="Q108" t="s">
        <v>93</v>
      </c>
      <c r="R108">
        <v>343000</v>
      </c>
      <c r="T108">
        <v>1</v>
      </c>
      <c r="U108">
        <v>1</v>
      </c>
      <c r="Z108" t="s">
        <v>347</v>
      </c>
    </row>
    <row r="109" spans="1:31" x14ac:dyDescent="0.25">
      <c r="A109" t="str">
        <f t="shared" si="1"/>
        <v>500001591679702840</v>
      </c>
      <c r="B109">
        <v>5025005337</v>
      </c>
      <c r="C109" s="10" t="s">
        <v>170</v>
      </c>
      <c r="D109" s="10">
        <v>45740</v>
      </c>
      <c r="E109">
        <v>2025</v>
      </c>
      <c r="F109">
        <v>2</v>
      </c>
      <c r="G109" s="60">
        <v>1</v>
      </c>
      <c r="I109" s="26">
        <v>5000015916</v>
      </c>
      <c r="J109" t="s">
        <v>37</v>
      </c>
      <c r="K109" t="s">
        <v>38</v>
      </c>
      <c r="M109">
        <v>79702840</v>
      </c>
      <c r="N109">
        <v>101</v>
      </c>
      <c r="O109" t="s">
        <v>171</v>
      </c>
      <c r="Q109" t="s">
        <v>93</v>
      </c>
      <c r="R109">
        <v>105000</v>
      </c>
      <c r="T109">
        <v>1</v>
      </c>
      <c r="U109">
        <v>2</v>
      </c>
      <c r="Z109" t="s">
        <v>349</v>
      </c>
    </row>
    <row r="110" spans="1:31" x14ac:dyDescent="0.25">
      <c r="A110" t="str">
        <f t="shared" si="1"/>
        <v>500001466879702930</v>
      </c>
      <c r="B110">
        <v>5025005409</v>
      </c>
      <c r="C110" s="10" t="s">
        <v>170</v>
      </c>
      <c r="D110" s="10">
        <v>45741</v>
      </c>
      <c r="E110">
        <v>2025</v>
      </c>
      <c r="F110">
        <v>1</v>
      </c>
      <c r="G110" s="60">
        <v>1</v>
      </c>
      <c r="I110" s="26">
        <v>5000014668</v>
      </c>
      <c r="J110" t="s">
        <v>37</v>
      </c>
      <c r="K110" t="s">
        <v>38</v>
      </c>
      <c r="M110">
        <v>79702930</v>
      </c>
      <c r="N110">
        <v>101</v>
      </c>
      <c r="O110" t="s">
        <v>171</v>
      </c>
      <c r="Q110" t="s">
        <v>35</v>
      </c>
      <c r="R110">
        <v>2550000</v>
      </c>
      <c r="T110">
        <v>1</v>
      </c>
      <c r="U110">
        <v>1</v>
      </c>
      <c r="Z110" t="s">
        <v>369</v>
      </c>
    </row>
    <row r="111" spans="1:31" x14ac:dyDescent="0.25">
      <c r="A111" t="str">
        <f t="shared" si="1"/>
        <v>500000073979702920</v>
      </c>
      <c r="B111">
        <v>5025005417</v>
      </c>
      <c r="C111" s="10" t="s">
        <v>170</v>
      </c>
      <c r="D111" s="10">
        <v>45741</v>
      </c>
      <c r="E111">
        <v>2025</v>
      </c>
      <c r="F111">
        <v>1</v>
      </c>
      <c r="G111" s="60">
        <v>4</v>
      </c>
      <c r="I111" s="26">
        <v>5000000739</v>
      </c>
      <c r="J111" t="s">
        <v>37</v>
      </c>
      <c r="K111" t="s">
        <v>38</v>
      </c>
      <c r="M111">
        <v>79702920</v>
      </c>
      <c r="N111">
        <v>101</v>
      </c>
      <c r="O111" t="s">
        <v>171</v>
      </c>
      <c r="Q111" t="s">
        <v>262</v>
      </c>
      <c r="R111">
        <v>8700000</v>
      </c>
      <c r="T111">
        <v>4</v>
      </c>
      <c r="U111">
        <v>1</v>
      </c>
      <c r="Z111" t="s">
        <v>363</v>
      </c>
    </row>
    <row r="112" spans="1:31" x14ac:dyDescent="0.25">
      <c r="A112" t="str">
        <f t="shared" si="1"/>
        <v>500000073979702920</v>
      </c>
      <c r="B112">
        <v>5025005417</v>
      </c>
      <c r="C112" s="10" t="s">
        <v>170</v>
      </c>
      <c r="D112" s="10">
        <v>45741</v>
      </c>
      <c r="E112">
        <v>2025</v>
      </c>
      <c r="F112">
        <v>2</v>
      </c>
      <c r="G112" s="60">
        <v>3</v>
      </c>
      <c r="I112" s="26">
        <v>5000000739</v>
      </c>
      <c r="J112" t="s">
        <v>37</v>
      </c>
      <c r="K112" t="s">
        <v>38</v>
      </c>
      <c r="M112">
        <v>79702920</v>
      </c>
      <c r="N112">
        <v>101</v>
      </c>
      <c r="O112" t="s">
        <v>171</v>
      </c>
      <c r="Q112" t="s">
        <v>262</v>
      </c>
      <c r="R112">
        <v>6525000</v>
      </c>
      <c r="T112">
        <v>3</v>
      </c>
      <c r="U112">
        <v>2</v>
      </c>
      <c r="Z112" t="s">
        <v>366</v>
      </c>
    </row>
    <row r="113" spans="1:31" x14ac:dyDescent="0.25">
      <c r="A113" t="str">
        <f t="shared" si="1"/>
        <v>500000074079702920</v>
      </c>
      <c r="B113">
        <v>5025005417</v>
      </c>
      <c r="C113" s="10" t="s">
        <v>170</v>
      </c>
      <c r="D113" s="10">
        <v>45741</v>
      </c>
      <c r="E113">
        <v>2025</v>
      </c>
      <c r="F113">
        <v>3</v>
      </c>
      <c r="G113" s="60">
        <v>100</v>
      </c>
      <c r="H113" t="s">
        <v>383</v>
      </c>
      <c r="I113" s="26">
        <v>5000000740</v>
      </c>
      <c r="J113" t="s">
        <v>37</v>
      </c>
      <c r="K113" t="s">
        <v>38</v>
      </c>
      <c r="M113">
        <v>79702920</v>
      </c>
      <c r="N113">
        <v>101</v>
      </c>
      <c r="O113" t="s">
        <v>171</v>
      </c>
      <c r="Q113" t="s">
        <v>93</v>
      </c>
      <c r="R113">
        <v>300000</v>
      </c>
      <c r="T113">
        <v>1</v>
      </c>
      <c r="U113">
        <v>3</v>
      </c>
      <c r="Z113" t="s">
        <v>367</v>
      </c>
    </row>
    <row r="114" spans="1:31" x14ac:dyDescent="0.25">
      <c r="A114" t="str">
        <f t="shared" si="1"/>
        <v>500001583379702917</v>
      </c>
      <c r="B114">
        <v>5025005445</v>
      </c>
      <c r="C114" s="10" t="s">
        <v>170</v>
      </c>
      <c r="D114" s="10">
        <v>45741</v>
      </c>
      <c r="E114">
        <v>2025</v>
      </c>
      <c r="F114">
        <v>1</v>
      </c>
      <c r="G114" s="60">
        <v>1</v>
      </c>
      <c r="I114" s="26">
        <v>5000015833</v>
      </c>
      <c r="J114" t="s">
        <v>37</v>
      </c>
      <c r="K114" t="s">
        <v>38</v>
      </c>
      <c r="M114">
        <v>79702917</v>
      </c>
      <c r="N114">
        <v>101</v>
      </c>
      <c r="O114" t="s">
        <v>171</v>
      </c>
      <c r="Q114" t="s">
        <v>35</v>
      </c>
      <c r="R114">
        <v>3693694</v>
      </c>
      <c r="T114">
        <v>1</v>
      </c>
      <c r="U114">
        <v>1</v>
      </c>
      <c r="Z114" t="s">
        <v>384</v>
      </c>
    </row>
    <row r="115" spans="1:31" x14ac:dyDescent="0.25">
      <c r="A115" t="str">
        <f t="shared" si="1"/>
        <v>500000884379702989</v>
      </c>
      <c r="B115">
        <v>5025005448</v>
      </c>
      <c r="C115" s="10" t="s">
        <v>170</v>
      </c>
      <c r="D115" s="10">
        <v>45741</v>
      </c>
      <c r="E115">
        <v>2025</v>
      </c>
      <c r="F115">
        <v>1</v>
      </c>
      <c r="G115" s="60">
        <v>1</v>
      </c>
      <c r="I115" s="26">
        <v>5000008843</v>
      </c>
      <c r="J115" t="s">
        <v>37</v>
      </c>
      <c r="K115" t="s">
        <v>38</v>
      </c>
      <c r="M115">
        <v>79702989</v>
      </c>
      <c r="N115">
        <v>101</v>
      </c>
      <c r="O115" t="s">
        <v>171</v>
      </c>
      <c r="Q115" t="s">
        <v>35</v>
      </c>
      <c r="R115">
        <v>923424</v>
      </c>
      <c r="T115">
        <v>1</v>
      </c>
      <c r="U115">
        <v>1</v>
      </c>
      <c r="Z115" t="s">
        <v>390</v>
      </c>
    </row>
    <row r="116" spans="1:31" x14ac:dyDescent="0.25">
      <c r="A116" t="str">
        <f t="shared" si="1"/>
        <v>500001642879702989</v>
      </c>
      <c r="B116">
        <v>5025005448</v>
      </c>
      <c r="C116" s="10" t="s">
        <v>170</v>
      </c>
      <c r="D116" s="10">
        <v>45741</v>
      </c>
      <c r="E116">
        <v>2025</v>
      </c>
      <c r="F116">
        <v>2</v>
      </c>
      <c r="G116" s="60">
        <v>1</v>
      </c>
      <c r="I116" s="26">
        <v>5000016428</v>
      </c>
      <c r="J116" t="s">
        <v>37</v>
      </c>
      <c r="K116" t="s">
        <v>38</v>
      </c>
      <c r="M116">
        <v>79702989</v>
      </c>
      <c r="N116">
        <v>101</v>
      </c>
      <c r="O116" t="s">
        <v>171</v>
      </c>
      <c r="Q116" t="s">
        <v>35</v>
      </c>
      <c r="R116">
        <v>1531532</v>
      </c>
      <c r="T116">
        <v>1</v>
      </c>
      <c r="U116">
        <v>2</v>
      </c>
      <c r="Z116" t="s">
        <v>391</v>
      </c>
    </row>
    <row r="117" spans="1:31" x14ac:dyDescent="0.25">
      <c r="A117" t="str">
        <f t="shared" si="1"/>
        <v>500001586179702981</v>
      </c>
      <c r="B117">
        <v>5025005450</v>
      </c>
      <c r="C117" s="10" t="s">
        <v>170</v>
      </c>
      <c r="D117" s="10">
        <v>45741</v>
      </c>
      <c r="E117">
        <v>2025</v>
      </c>
      <c r="F117">
        <v>1</v>
      </c>
      <c r="G117" s="60">
        <v>8</v>
      </c>
      <c r="I117" s="26">
        <v>5000015861</v>
      </c>
      <c r="J117" t="s">
        <v>37</v>
      </c>
      <c r="K117" t="s">
        <v>38</v>
      </c>
      <c r="M117">
        <v>79702981</v>
      </c>
      <c r="N117">
        <v>101</v>
      </c>
      <c r="O117" t="s">
        <v>171</v>
      </c>
      <c r="Q117" t="s">
        <v>35</v>
      </c>
      <c r="R117">
        <v>8000000</v>
      </c>
      <c r="T117">
        <v>8</v>
      </c>
      <c r="U117">
        <v>1</v>
      </c>
      <c r="Z117" t="s">
        <v>373</v>
      </c>
    </row>
    <row r="118" spans="1:31" x14ac:dyDescent="0.25">
      <c r="A118" t="str">
        <f t="shared" si="1"/>
        <v>500001500079702981</v>
      </c>
      <c r="B118">
        <v>5025005450</v>
      </c>
      <c r="C118" s="10" t="s">
        <v>170</v>
      </c>
      <c r="D118" s="10">
        <v>45741</v>
      </c>
      <c r="E118">
        <v>2025</v>
      </c>
      <c r="F118">
        <v>2</v>
      </c>
      <c r="G118" s="60">
        <v>8</v>
      </c>
      <c r="I118" s="26">
        <v>5000015000</v>
      </c>
      <c r="J118" t="s">
        <v>37</v>
      </c>
      <c r="K118" t="s">
        <v>38</v>
      </c>
      <c r="M118">
        <v>79702981</v>
      </c>
      <c r="N118">
        <v>101</v>
      </c>
      <c r="O118" t="s">
        <v>171</v>
      </c>
      <c r="Q118" t="s">
        <v>35</v>
      </c>
      <c r="R118">
        <v>2800000</v>
      </c>
      <c r="T118">
        <v>8</v>
      </c>
      <c r="U118">
        <v>2</v>
      </c>
      <c r="Z118" t="s">
        <v>374</v>
      </c>
    </row>
    <row r="119" spans="1:31" x14ac:dyDescent="0.25">
      <c r="A119" t="str">
        <f t="shared" si="1"/>
        <v>500001630879702990</v>
      </c>
      <c r="B119">
        <v>5025005451</v>
      </c>
      <c r="C119" s="10" t="s">
        <v>170</v>
      </c>
      <c r="D119" s="10">
        <v>45741</v>
      </c>
      <c r="E119">
        <v>2025</v>
      </c>
      <c r="F119">
        <v>1</v>
      </c>
      <c r="G119" s="60">
        <v>1</v>
      </c>
      <c r="I119" s="26">
        <v>5000016308</v>
      </c>
      <c r="J119" t="s">
        <v>37</v>
      </c>
      <c r="K119" t="s">
        <v>38</v>
      </c>
      <c r="M119">
        <v>79702990</v>
      </c>
      <c r="N119">
        <v>101</v>
      </c>
      <c r="O119" t="s">
        <v>171</v>
      </c>
      <c r="Q119" t="s">
        <v>35</v>
      </c>
      <c r="R119">
        <v>2980000</v>
      </c>
      <c r="T119">
        <v>1</v>
      </c>
      <c r="U119">
        <v>1</v>
      </c>
      <c r="Z119" t="s">
        <v>392</v>
      </c>
    </row>
    <row r="120" spans="1:31" x14ac:dyDescent="0.25">
      <c r="A120" t="str">
        <f t="shared" si="1"/>
        <v>500001654179703017</v>
      </c>
      <c r="B120">
        <v>5025005472</v>
      </c>
      <c r="C120" s="10" t="s">
        <v>170</v>
      </c>
      <c r="D120" s="10">
        <v>45742</v>
      </c>
      <c r="E120">
        <v>2025</v>
      </c>
      <c r="F120">
        <v>1</v>
      </c>
      <c r="G120" s="60">
        <v>2</v>
      </c>
      <c r="I120" s="26">
        <v>5000016541</v>
      </c>
      <c r="J120" t="s">
        <v>37</v>
      </c>
      <c r="K120" t="s">
        <v>38</v>
      </c>
      <c r="M120">
        <v>79703017</v>
      </c>
      <c r="N120">
        <v>101</v>
      </c>
      <c r="O120" t="s">
        <v>171</v>
      </c>
      <c r="Q120" t="s">
        <v>93</v>
      </c>
      <c r="R120">
        <v>120000</v>
      </c>
      <c r="T120">
        <v>2</v>
      </c>
      <c r="U120">
        <v>1</v>
      </c>
      <c r="Z120" t="s">
        <v>372</v>
      </c>
    </row>
    <row r="121" spans="1:31" x14ac:dyDescent="0.25">
      <c r="A121" t="str">
        <f t="shared" si="1"/>
        <v>500000505979703017</v>
      </c>
      <c r="B121">
        <v>5025005472</v>
      </c>
      <c r="C121" s="10" t="s">
        <v>170</v>
      </c>
      <c r="D121" s="10">
        <v>45742</v>
      </c>
      <c r="E121">
        <v>2025</v>
      </c>
      <c r="F121">
        <v>2</v>
      </c>
      <c r="G121" s="60">
        <v>1</v>
      </c>
      <c r="I121" s="26">
        <v>5000005059</v>
      </c>
      <c r="J121" t="s">
        <v>37</v>
      </c>
      <c r="K121" t="s">
        <v>38</v>
      </c>
      <c r="M121">
        <v>79703017</v>
      </c>
      <c r="N121">
        <v>101</v>
      </c>
      <c r="O121" t="s">
        <v>171</v>
      </c>
      <c r="Q121" t="s">
        <v>93</v>
      </c>
      <c r="R121">
        <v>95000</v>
      </c>
      <c r="T121">
        <v>1</v>
      </c>
      <c r="U121">
        <v>2</v>
      </c>
      <c r="Z121" t="s">
        <v>377</v>
      </c>
    </row>
    <row r="122" spans="1:31" x14ac:dyDescent="0.25">
      <c r="A122" t="str">
        <f t="shared" si="1"/>
        <v>500000424879703017</v>
      </c>
      <c r="B122">
        <v>5025005472</v>
      </c>
      <c r="C122" s="10" t="s">
        <v>170</v>
      </c>
      <c r="D122" s="10">
        <v>45742</v>
      </c>
      <c r="E122">
        <v>2025</v>
      </c>
      <c r="F122">
        <v>3</v>
      </c>
      <c r="G122" s="60">
        <v>1</v>
      </c>
      <c r="I122" s="26">
        <v>5000004248</v>
      </c>
      <c r="J122" t="s">
        <v>37</v>
      </c>
      <c r="K122" t="s">
        <v>38</v>
      </c>
      <c r="M122">
        <v>79703017</v>
      </c>
      <c r="N122">
        <v>101</v>
      </c>
      <c r="O122" t="s">
        <v>171</v>
      </c>
      <c r="Q122" t="s">
        <v>93</v>
      </c>
      <c r="R122">
        <v>65000</v>
      </c>
      <c r="T122">
        <v>1</v>
      </c>
      <c r="U122">
        <v>3</v>
      </c>
      <c r="Z122" t="s">
        <v>378</v>
      </c>
    </row>
    <row r="123" spans="1:31" x14ac:dyDescent="0.25">
      <c r="A123" t="str">
        <f t="shared" si="1"/>
        <v>500001175479703017</v>
      </c>
      <c r="B123">
        <v>5025005472</v>
      </c>
      <c r="C123" s="10" t="s">
        <v>170</v>
      </c>
      <c r="D123" s="10">
        <v>45742</v>
      </c>
      <c r="E123">
        <v>2025</v>
      </c>
      <c r="F123">
        <v>4</v>
      </c>
      <c r="G123" s="60">
        <v>2</v>
      </c>
      <c r="I123" s="26">
        <v>5000011754</v>
      </c>
      <c r="J123" t="s">
        <v>37</v>
      </c>
      <c r="K123" t="s">
        <v>38</v>
      </c>
      <c r="M123">
        <v>79703017</v>
      </c>
      <c r="N123">
        <v>101</v>
      </c>
      <c r="O123" t="s">
        <v>171</v>
      </c>
      <c r="Q123" t="s">
        <v>93</v>
      </c>
      <c r="R123">
        <v>40000</v>
      </c>
      <c r="T123">
        <v>2</v>
      </c>
      <c r="U123">
        <v>4</v>
      </c>
      <c r="Z123" t="s">
        <v>348</v>
      </c>
    </row>
    <row r="124" spans="1:31" x14ac:dyDescent="0.25">
      <c r="A124" t="str">
        <f t="shared" si="1"/>
        <v>500001391179703017</v>
      </c>
      <c r="B124">
        <v>5025005472</v>
      </c>
      <c r="C124" s="10" t="s">
        <v>170</v>
      </c>
      <c r="D124" s="10">
        <v>45742</v>
      </c>
      <c r="E124">
        <v>2025</v>
      </c>
      <c r="F124">
        <v>5</v>
      </c>
      <c r="G124" s="60">
        <v>1</v>
      </c>
      <c r="I124" s="26">
        <v>5000013911</v>
      </c>
      <c r="J124" t="s">
        <v>37</v>
      </c>
      <c r="K124" t="s">
        <v>38</v>
      </c>
      <c r="M124">
        <v>79703017</v>
      </c>
      <c r="N124">
        <v>101</v>
      </c>
      <c r="O124" t="s">
        <v>171</v>
      </c>
      <c r="Q124" t="s">
        <v>93</v>
      </c>
      <c r="R124">
        <v>75000</v>
      </c>
      <c r="T124">
        <v>1</v>
      </c>
      <c r="U124">
        <v>5</v>
      </c>
      <c r="Z124" t="s">
        <v>386</v>
      </c>
    </row>
    <row r="125" spans="1:31" x14ac:dyDescent="0.25">
      <c r="A125" t="str">
        <f t="shared" si="1"/>
        <v>500001490479703018</v>
      </c>
      <c r="B125">
        <v>5025005596</v>
      </c>
      <c r="C125" s="10" t="s">
        <v>170</v>
      </c>
      <c r="D125" s="10">
        <v>45754</v>
      </c>
      <c r="E125">
        <v>2025</v>
      </c>
      <c r="F125">
        <v>1</v>
      </c>
      <c r="G125" s="60">
        <v>1</v>
      </c>
      <c r="I125" s="26">
        <v>5000014904</v>
      </c>
      <c r="J125" t="s">
        <v>37</v>
      </c>
      <c r="K125" t="s">
        <v>38</v>
      </c>
      <c r="M125">
        <v>79703018</v>
      </c>
      <c r="N125">
        <v>101</v>
      </c>
      <c r="O125" t="s">
        <v>171</v>
      </c>
      <c r="Q125" t="s">
        <v>35</v>
      </c>
      <c r="R125">
        <v>1600000</v>
      </c>
      <c r="T125">
        <v>1</v>
      </c>
      <c r="U125">
        <v>1</v>
      </c>
      <c r="Z125" t="s">
        <v>379</v>
      </c>
    </row>
    <row r="126" spans="1:31" x14ac:dyDescent="0.25">
      <c r="A126" t="str">
        <f t="shared" si="1"/>
        <v>500001672879703257</v>
      </c>
      <c r="B126">
        <v>5025005916</v>
      </c>
      <c r="C126" s="10" t="s">
        <v>170</v>
      </c>
      <c r="D126" s="10">
        <v>45759</v>
      </c>
      <c r="E126">
        <v>2025</v>
      </c>
      <c r="F126">
        <v>1</v>
      </c>
      <c r="G126" s="60">
        <v>1</v>
      </c>
      <c r="I126" s="26">
        <v>5000016728</v>
      </c>
      <c r="J126" t="s">
        <v>37</v>
      </c>
      <c r="K126" t="s">
        <v>38</v>
      </c>
      <c r="M126">
        <v>79703257</v>
      </c>
      <c r="N126">
        <v>101</v>
      </c>
      <c r="O126" t="s">
        <v>171</v>
      </c>
      <c r="Q126" t="s">
        <v>35</v>
      </c>
      <c r="R126">
        <v>346847</v>
      </c>
      <c r="T126">
        <v>1</v>
      </c>
      <c r="U126">
        <v>1</v>
      </c>
      <c r="Z126" t="s">
        <v>410</v>
      </c>
      <c r="AB126">
        <v>0</v>
      </c>
      <c r="AC126">
        <v>0</v>
      </c>
      <c r="AE126">
        <v>0</v>
      </c>
    </row>
    <row r="127" spans="1:31" x14ac:dyDescent="0.25">
      <c r="A127" t="str">
        <f t="shared" si="1"/>
        <v>500001677979703257</v>
      </c>
      <c r="B127">
        <v>5025005916</v>
      </c>
      <c r="C127" s="10" t="s">
        <v>170</v>
      </c>
      <c r="D127" s="10">
        <v>45759</v>
      </c>
      <c r="E127">
        <v>2025</v>
      </c>
      <c r="F127">
        <v>2</v>
      </c>
      <c r="G127" s="60">
        <v>1</v>
      </c>
      <c r="I127" s="26">
        <v>5000016779</v>
      </c>
      <c r="J127" t="s">
        <v>37</v>
      </c>
      <c r="K127" t="s">
        <v>38</v>
      </c>
      <c r="M127">
        <v>79703257</v>
      </c>
      <c r="N127">
        <v>101</v>
      </c>
      <c r="O127" t="s">
        <v>171</v>
      </c>
      <c r="Q127" t="s">
        <v>35</v>
      </c>
      <c r="R127">
        <v>743243.3</v>
      </c>
      <c r="T127">
        <v>1</v>
      </c>
      <c r="U127">
        <v>2</v>
      </c>
      <c r="Z127" t="s">
        <v>411</v>
      </c>
      <c r="AB127">
        <v>0</v>
      </c>
      <c r="AC127">
        <v>0</v>
      </c>
      <c r="AE127">
        <v>0</v>
      </c>
    </row>
    <row r="128" spans="1:31" x14ac:dyDescent="0.25">
      <c r="A128" t="str">
        <f t="shared" si="1"/>
        <v>500001655479703187</v>
      </c>
      <c r="B128">
        <v>5025005917</v>
      </c>
      <c r="C128" s="10" t="s">
        <v>170</v>
      </c>
      <c r="D128" s="10">
        <v>45759</v>
      </c>
      <c r="E128">
        <v>2025</v>
      </c>
      <c r="F128">
        <v>1</v>
      </c>
      <c r="G128" s="60">
        <v>400</v>
      </c>
      <c r="I128" s="26">
        <v>5000016554</v>
      </c>
      <c r="J128" t="s">
        <v>37</v>
      </c>
      <c r="K128" t="s">
        <v>38</v>
      </c>
      <c r="M128">
        <v>79703187</v>
      </c>
      <c r="N128">
        <v>101</v>
      </c>
      <c r="O128" t="s">
        <v>171</v>
      </c>
      <c r="Q128" t="s">
        <v>93</v>
      </c>
      <c r="R128">
        <v>800000</v>
      </c>
      <c r="T128">
        <v>400</v>
      </c>
      <c r="U128">
        <v>1</v>
      </c>
      <c r="Z128" t="s">
        <v>365</v>
      </c>
    </row>
    <row r="129" spans="1:31" x14ac:dyDescent="0.25">
      <c r="A129" t="str">
        <f t="shared" si="1"/>
        <v>500001586179703254</v>
      </c>
      <c r="B129">
        <v>5025006185</v>
      </c>
      <c r="C129" s="10" t="s">
        <v>170</v>
      </c>
      <c r="D129" s="10">
        <v>45764</v>
      </c>
      <c r="E129">
        <v>2025</v>
      </c>
      <c r="F129">
        <v>1</v>
      </c>
      <c r="G129" s="60">
        <v>1</v>
      </c>
      <c r="I129" s="26">
        <v>5000015861</v>
      </c>
      <c r="J129" t="s">
        <v>37</v>
      </c>
      <c r="K129" t="s">
        <v>38</v>
      </c>
      <c r="M129">
        <v>79703254</v>
      </c>
      <c r="N129">
        <v>101</v>
      </c>
      <c r="O129" t="s">
        <v>171</v>
      </c>
      <c r="Q129" t="s">
        <v>35</v>
      </c>
      <c r="R129">
        <v>1000000</v>
      </c>
      <c r="T129">
        <v>1</v>
      </c>
      <c r="U129">
        <v>1</v>
      </c>
      <c r="Z129" t="s">
        <v>395</v>
      </c>
    </row>
    <row r="130" spans="1:31" x14ac:dyDescent="0.25">
      <c r="A130" t="str">
        <f t="shared" ref="A130:A193" si="2">I130&amp;M130</f>
        <v>500001500079703254</v>
      </c>
      <c r="B130">
        <v>5025006185</v>
      </c>
      <c r="C130" s="10" t="s">
        <v>170</v>
      </c>
      <c r="D130" s="10">
        <v>45764</v>
      </c>
      <c r="E130">
        <v>2025</v>
      </c>
      <c r="F130">
        <v>2</v>
      </c>
      <c r="G130" s="60">
        <v>2</v>
      </c>
      <c r="I130" s="26">
        <v>5000015000</v>
      </c>
      <c r="J130" t="s">
        <v>37</v>
      </c>
      <c r="K130" t="s">
        <v>38</v>
      </c>
      <c r="M130">
        <v>79703254</v>
      </c>
      <c r="N130">
        <v>101</v>
      </c>
      <c r="O130" t="s">
        <v>171</v>
      </c>
      <c r="Q130" t="s">
        <v>35</v>
      </c>
      <c r="R130">
        <v>700000</v>
      </c>
      <c r="T130">
        <v>2</v>
      </c>
      <c r="U130">
        <v>2</v>
      </c>
      <c r="Z130" t="s">
        <v>396</v>
      </c>
    </row>
    <row r="131" spans="1:31" x14ac:dyDescent="0.25">
      <c r="A131" t="str">
        <f t="shared" si="2"/>
        <v>500001693079703475</v>
      </c>
      <c r="B131">
        <v>5025006341</v>
      </c>
      <c r="C131" s="10" t="s">
        <v>170</v>
      </c>
      <c r="D131" s="10">
        <v>45768</v>
      </c>
      <c r="E131">
        <v>2025</v>
      </c>
      <c r="F131">
        <v>1</v>
      </c>
      <c r="G131" s="60">
        <v>2</v>
      </c>
      <c r="I131" s="26">
        <v>5000016930</v>
      </c>
      <c r="J131" t="s">
        <v>37</v>
      </c>
      <c r="K131" t="s">
        <v>38</v>
      </c>
      <c r="M131">
        <v>79703475</v>
      </c>
      <c r="N131">
        <v>101</v>
      </c>
      <c r="O131" t="s">
        <v>171</v>
      </c>
      <c r="Q131" t="s">
        <v>93</v>
      </c>
      <c r="R131">
        <v>380050</v>
      </c>
      <c r="T131">
        <v>2</v>
      </c>
      <c r="U131">
        <v>1</v>
      </c>
      <c r="Z131" t="s">
        <v>362</v>
      </c>
    </row>
    <row r="132" spans="1:31" x14ac:dyDescent="0.25">
      <c r="A132" t="str">
        <f t="shared" si="2"/>
        <v>500001693079703475</v>
      </c>
      <c r="B132">
        <v>5025006341</v>
      </c>
      <c r="C132" s="10" t="s">
        <v>170</v>
      </c>
      <c r="D132" s="10">
        <v>45768</v>
      </c>
      <c r="E132">
        <v>2025</v>
      </c>
      <c r="F132">
        <v>2</v>
      </c>
      <c r="G132" s="60">
        <v>1</v>
      </c>
      <c r="I132" s="26">
        <v>5000016930</v>
      </c>
      <c r="J132" t="s">
        <v>37</v>
      </c>
      <c r="K132" t="s">
        <v>38</v>
      </c>
      <c r="M132">
        <v>79703475</v>
      </c>
      <c r="N132">
        <v>101</v>
      </c>
      <c r="O132" t="s">
        <v>171</v>
      </c>
      <c r="Q132" t="s">
        <v>93</v>
      </c>
      <c r="R132">
        <v>190025</v>
      </c>
      <c r="T132">
        <v>1</v>
      </c>
      <c r="U132">
        <v>2</v>
      </c>
      <c r="Z132" t="s">
        <v>398</v>
      </c>
    </row>
    <row r="133" spans="1:31" x14ac:dyDescent="0.25">
      <c r="A133" t="str">
        <f t="shared" si="2"/>
        <v>500001693079703475</v>
      </c>
      <c r="B133">
        <v>5025006341</v>
      </c>
      <c r="C133" s="10" t="s">
        <v>170</v>
      </c>
      <c r="D133" s="10">
        <v>45768</v>
      </c>
      <c r="E133">
        <v>2025</v>
      </c>
      <c r="F133">
        <v>3</v>
      </c>
      <c r="G133" s="60">
        <v>1</v>
      </c>
      <c r="I133" s="26">
        <v>5000016930</v>
      </c>
      <c r="J133" t="s">
        <v>37</v>
      </c>
      <c r="K133" t="s">
        <v>38</v>
      </c>
      <c r="M133">
        <v>79703475</v>
      </c>
      <c r="N133">
        <v>101</v>
      </c>
      <c r="O133" t="s">
        <v>171</v>
      </c>
      <c r="Q133" t="s">
        <v>93</v>
      </c>
      <c r="R133">
        <v>190025</v>
      </c>
      <c r="T133">
        <v>1</v>
      </c>
      <c r="U133">
        <v>3</v>
      </c>
      <c r="Z133" t="s">
        <v>401</v>
      </c>
    </row>
    <row r="134" spans="1:31" x14ac:dyDescent="0.25">
      <c r="A134" t="str">
        <f t="shared" si="2"/>
        <v>500001098079703403</v>
      </c>
      <c r="B134">
        <v>5025006346</v>
      </c>
      <c r="C134" s="10" t="s">
        <v>170</v>
      </c>
      <c r="D134" s="10">
        <v>45769</v>
      </c>
      <c r="E134">
        <v>2025</v>
      </c>
      <c r="F134">
        <v>1</v>
      </c>
      <c r="G134" s="60">
        <v>1</v>
      </c>
      <c r="I134" s="26">
        <v>5000010980</v>
      </c>
      <c r="J134" t="s">
        <v>37</v>
      </c>
      <c r="K134" t="s">
        <v>38</v>
      </c>
      <c r="M134">
        <v>79703403</v>
      </c>
      <c r="N134">
        <v>101</v>
      </c>
      <c r="O134" t="s">
        <v>171</v>
      </c>
      <c r="Q134" t="s">
        <v>93</v>
      </c>
      <c r="R134">
        <v>499500</v>
      </c>
      <c r="T134">
        <v>1</v>
      </c>
      <c r="U134">
        <v>1</v>
      </c>
      <c r="Z134" t="s">
        <v>343</v>
      </c>
    </row>
    <row r="135" spans="1:31" x14ac:dyDescent="0.25">
      <c r="A135" t="str">
        <f t="shared" si="2"/>
        <v>500001669379703485</v>
      </c>
      <c r="B135">
        <v>5025006459</v>
      </c>
      <c r="C135" s="10" t="s">
        <v>170</v>
      </c>
      <c r="D135" s="10">
        <v>45770</v>
      </c>
      <c r="E135">
        <v>2025</v>
      </c>
      <c r="F135">
        <v>1</v>
      </c>
      <c r="G135" s="60">
        <v>1</v>
      </c>
      <c r="I135" s="26">
        <v>5000016693</v>
      </c>
      <c r="J135" t="s">
        <v>37</v>
      </c>
      <c r="K135" t="s">
        <v>38</v>
      </c>
      <c r="M135">
        <v>79703485</v>
      </c>
      <c r="N135">
        <v>101</v>
      </c>
      <c r="O135" t="s">
        <v>171</v>
      </c>
      <c r="Q135" t="s">
        <v>93</v>
      </c>
      <c r="R135">
        <v>900000</v>
      </c>
      <c r="T135">
        <v>1</v>
      </c>
      <c r="U135">
        <v>1</v>
      </c>
      <c r="Z135" t="s">
        <v>403</v>
      </c>
    </row>
    <row r="136" spans="1:31" x14ac:dyDescent="0.25">
      <c r="A136" t="str">
        <f t="shared" si="2"/>
        <v>500001669279703485</v>
      </c>
      <c r="B136">
        <v>5025006459</v>
      </c>
      <c r="C136" s="10" t="s">
        <v>170</v>
      </c>
      <c r="D136" s="10">
        <v>45770</v>
      </c>
      <c r="E136">
        <v>2025</v>
      </c>
      <c r="F136">
        <v>2</v>
      </c>
      <c r="G136" s="60">
        <v>1</v>
      </c>
      <c r="I136" s="26">
        <v>5000016692</v>
      </c>
      <c r="J136" t="s">
        <v>37</v>
      </c>
      <c r="K136" t="s">
        <v>38</v>
      </c>
      <c r="M136">
        <v>79703485</v>
      </c>
      <c r="N136">
        <v>101</v>
      </c>
      <c r="O136" t="s">
        <v>171</v>
      </c>
      <c r="Q136" t="s">
        <v>35</v>
      </c>
      <c r="R136">
        <v>425000</v>
      </c>
      <c r="T136">
        <v>1</v>
      </c>
      <c r="U136">
        <v>2</v>
      </c>
      <c r="Z136" t="s">
        <v>405</v>
      </c>
    </row>
    <row r="137" spans="1:31" x14ac:dyDescent="0.25">
      <c r="A137" t="str">
        <f t="shared" si="2"/>
        <v>500001672879703645</v>
      </c>
      <c r="B137">
        <v>5025006573</v>
      </c>
      <c r="C137" s="10" t="s">
        <v>170</v>
      </c>
      <c r="D137" s="10">
        <v>45772</v>
      </c>
      <c r="E137">
        <v>2025</v>
      </c>
      <c r="F137">
        <v>1</v>
      </c>
      <c r="G137" s="60">
        <v>3</v>
      </c>
      <c r="I137" s="26">
        <v>5000016728</v>
      </c>
      <c r="J137" t="s">
        <v>37</v>
      </c>
      <c r="K137" t="s">
        <v>38</v>
      </c>
      <c r="M137">
        <v>79703645</v>
      </c>
      <c r="N137">
        <v>101</v>
      </c>
      <c r="O137" t="s">
        <v>171</v>
      </c>
      <c r="Q137" t="s">
        <v>35</v>
      </c>
      <c r="R137">
        <v>1040541</v>
      </c>
      <c r="T137">
        <v>3</v>
      </c>
      <c r="U137">
        <v>1</v>
      </c>
      <c r="Z137" t="s">
        <v>436</v>
      </c>
      <c r="AB137">
        <v>0</v>
      </c>
      <c r="AC137">
        <v>0</v>
      </c>
      <c r="AE137">
        <v>0</v>
      </c>
    </row>
    <row r="138" spans="1:31" x14ac:dyDescent="0.25">
      <c r="A138" t="str">
        <f t="shared" si="2"/>
        <v>500001637579703645</v>
      </c>
      <c r="B138">
        <v>5025006573</v>
      </c>
      <c r="C138" s="10" t="s">
        <v>170</v>
      </c>
      <c r="D138" s="10">
        <v>45772</v>
      </c>
      <c r="E138">
        <v>2025</v>
      </c>
      <c r="F138">
        <v>2</v>
      </c>
      <c r="G138" s="60">
        <v>1</v>
      </c>
      <c r="I138" s="26">
        <v>5000016375</v>
      </c>
      <c r="J138" t="s">
        <v>37</v>
      </c>
      <c r="K138" t="s">
        <v>38</v>
      </c>
      <c r="M138">
        <v>79703645</v>
      </c>
      <c r="N138">
        <v>101</v>
      </c>
      <c r="O138" t="s">
        <v>171</v>
      </c>
      <c r="Q138" t="s">
        <v>35</v>
      </c>
      <c r="R138">
        <v>2072072.1</v>
      </c>
      <c r="T138">
        <v>1</v>
      </c>
      <c r="U138">
        <v>2</v>
      </c>
      <c r="Z138" t="s">
        <v>437</v>
      </c>
      <c r="AB138">
        <v>0</v>
      </c>
      <c r="AC138">
        <v>0</v>
      </c>
      <c r="AE138">
        <v>0</v>
      </c>
    </row>
    <row r="139" spans="1:31" x14ac:dyDescent="0.25">
      <c r="A139" t="str">
        <f t="shared" si="2"/>
        <v>500000884379703639</v>
      </c>
      <c r="B139">
        <v>5025006622</v>
      </c>
      <c r="C139" s="10" t="s">
        <v>170</v>
      </c>
      <c r="D139" s="10">
        <v>45772</v>
      </c>
      <c r="E139">
        <v>2025</v>
      </c>
      <c r="F139">
        <v>1</v>
      </c>
      <c r="G139" s="60">
        <v>1</v>
      </c>
      <c r="I139" s="26">
        <v>5000008843</v>
      </c>
      <c r="J139" t="s">
        <v>37</v>
      </c>
      <c r="K139" t="s">
        <v>38</v>
      </c>
      <c r="M139">
        <v>79703639</v>
      </c>
      <c r="N139">
        <v>101</v>
      </c>
      <c r="O139" t="s">
        <v>171</v>
      </c>
      <c r="Q139" t="s">
        <v>35</v>
      </c>
      <c r="R139">
        <v>1025000</v>
      </c>
      <c r="T139">
        <v>1</v>
      </c>
      <c r="U139">
        <v>1</v>
      </c>
      <c r="Z139" t="s">
        <v>416</v>
      </c>
      <c r="AB139">
        <v>0</v>
      </c>
      <c r="AC139">
        <v>0</v>
      </c>
      <c r="AE139">
        <v>0</v>
      </c>
    </row>
    <row r="140" spans="1:31" x14ac:dyDescent="0.25">
      <c r="A140" t="str">
        <f t="shared" si="2"/>
        <v>500000505979703639</v>
      </c>
      <c r="B140">
        <v>5025006622</v>
      </c>
      <c r="C140" s="10" t="s">
        <v>170</v>
      </c>
      <c r="D140" s="10">
        <v>45772</v>
      </c>
      <c r="E140">
        <v>2025</v>
      </c>
      <c r="F140">
        <v>2</v>
      </c>
      <c r="G140" s="60">
        <v>1</v>
      </c>
      <c r="I140" s="26">
        <v>5000005059</v>
      </c>
      <c r="J140" t="s">
        <v>37</v>
      </c>
      <c r="K140" t="s">
        <v>38</v>
      </c>
      <c r="M140">
        <v>79703639</v>
      </c>
      <c r="N140">
        <v>101</v>
      </c>
      <c r="O140" t="s">
        <v>171</v>
      </c>
      <c r="Q140" t="s">
        <v>93</v>
      </c>
      <c r="R140">
        <v>95000</v>
      </c>
      <c r="T140">
        <v>1</v>
      </c>
      <c r="U140">
        <v>2</v>
      </c>
      <c r="Z140" t="s">
        <v>418</v>
      </c>
      <c r="AB140">
        <v>0</v>
      </c>
      <c r="AC140">
        <v>0</v>
      </c>
      <c r="AE140">
        <v>0</v>
      </c>
    </row>
    <row r="141" spans="1:31" x14ac:dyDescent="0.25">
      <c r="A141" t="str">
        <f t="shared" si="2"/>
        <v>500000424879703639</v>
      </c>
      <c r="B141">
        <v>5025006622</v>
      </c>
      <c r="C141" s="10" t="s">
        <v>170</v>
      </c>
      <c r="D141" s="10">
        <v>45772</v>
      </c>
      <c r="E141">
        <v>2025</v>
      </c>
      <c r="F141">
        <v>3</v>
      </c>
      <c r="G141" s="60">
        <v>1</v>
      </c>
      <c r="I141" s="26">
        <v>5000004248</v>
      </c>
      <c r="J141" t="s">
        <v>37</v>
      </c>
      <c r="K141" t="s">
        <v>38</v>
      </c>
      <c r="M141">
        <v>79703639</v>
      </c>
      <c r="N141">
        <v>101</v>
      </c>
      <c r="O141" t="s">
        <v>171</v>
      </c>
      <c r="Q141" t="s">
        <v>93</v>
      </c>
      <c r="R141">
        <v>65000</v>
      </c>
      <c r="T141">
        <v>1</v>
      </c>
      <c r="U141">
        <v>3</v>
      </c>
      <c r="Z141" t="s">
        <v>419</v>
      </c>
      <c r="AB141">
        <v>0</v>
      </c>
      <c r="AC141">
        <v>0</v>
      </c>
      <c r="AE141">
        <v>0</v>
      </c>
    </row>
    <row r="142" spans="1:31" x14ac:dyDescent="0.25">
      <c r="A142" t="str">
        <f t="shared" si="2"/>
        <v>500001202179703639</v>
      </c>
      <c r="B142">
        <v>5025006622</v>
      </c>
      <c r="C142" s="10" t="s">
        <v>170</v>
      </c>
      <c r="D142" s="10">
        <v>45772</v>
      </c>
      <c r="E142">
        <v>2025</v>
      </c>
      <c r="F142">
        <v>4</v>
      </c>
      <c r="G142" s="60">
        <v>1</v>
      </c>
      <c r="I142" s="26">
        <v>5000012021</v>
      </c>
      <c r="J142" t="s">
        <v>37</v>
      </c>
      <c r="K142" t="s">
        <v>38</v>
      </c>
      <c r="M142">
        <v>79703639</v>
      </c>
      <c r="N142">
        <v>101</v>
      </c>
      <c r="O142" t="s">
        <v>171</v>
      </c>
      <c r="Q142" t="s">
        <v>93</v>
      </c>
      <c r="R142">
        <v>30000</v>
      </c>
      <c r="T142">
        <v>1</v>
      </c>
      <c r="U142">
        <v>4</v>
      </c>
      <c r="Z142" t="s">
        <v>420</v>
      </c>
      <c r="AB142">
        <v>0</v>
      </c>
      <c r="AC142">
        <v>0</v>
      </c>
      <c r="AE142">
        <v>0</v>
      </c>
    </row>
    <row r="143" spans="1:31" x14ac:dyDescent="0.25">
      <c r="A143" t="str">
        <f t="shared" si="2"/>
        <v>500001630879703641</v>
      </c>
      <c r="B143">
        <v>5025006920</v>
      </c>
      <c r="C143" s="10" t="s">
        <v>170</v>
      </c>
      <c r="D143" s="10">
        <v>45777</v>
      </c>
      <c r="E143">
        <v>2025</v>
      </c>
      <c r="F143">
        <v>1</v>
      </c>
      <c r="G143" s="60">
        <v>1</v>
      </c>
      <c r="I143" s="26">
        <v>5000016308</v>
      </c>
      <c r="J143" t="s">
        <v>37</v>
      </c>
      <c r="K143" t="s">
        <v>38</v>
      </c>
      <c r="M143">
        <v>79703641</v>
      </c>
      <c r="N143">
        <v>101</v>
      </c>
      <c r="O143" t="s">
        <v>171</v>
      </c>
      <c r="Q143" t="s">
        <v>35</v>
      </c>
      <c r="R143">
        <v>2980000</v>
      </c>
      <c r="T143">
        <v>1</v>
      </c>
      <c r="U143">
        <v>1</v>
      </c>
      <c r="Z143" t="s">
        <v>435</v>
      </c>
    </row>
    <row r="144" spans="1:31" x14ac:dyDescent="0.25">
      <c r="A144" t="str">
        <f t="shared" si="2"/>
        <v>500001704779703640</v>
      </c>
      <c r="B144">
        <v>5025006923</v>
      </c>
      <c r="C144" s="10" t="s">
        <v>170</v>
      </c>
      <c r="D144" s="10">
        <v>45777</v>
      </c>
      <c r="E144">
        <v>2025</v>
      </c>
      <c r="F144">
        <v>1</v>
      </c>
      <c r="G144" s="60">
        <v>1</v>
      </c>
      <c r="I144" s="26">
        <v>5000017047</v>
      </c>
      <c r="J144" t="s">
        <v>37</v>
      </c>
      <c r="K144" t="s">
        <v>38</v>
      </c>
      <c r="M144">
        <v>79703640</v>
      </c>
      <c r="N144">
        <v>101</v>
      </c>
      <c r="O144" t="s">
        <v>171</v>
      </c>
      <c r="Q144" t="s">
        <v>93</v>
      </c>
      <c r="R144">
        <v>140000</v>
      </c>
      <c r="T144">
        <v>1</v>
      </c>
      <c r="U144">
        <v>1</v>
      </c>
      <c r="Z144" t="s">
        <v>394</v>
      </c>
    </row>
    <row r="145" spans="1:26" x14ac:dyDescent="0.25">
      <c r="A145" t="str">
        <f t="shared" si="2"/>
        <v>500001349979703640</v>
      </c>
      <c r="B145">
        <v>5025006923</v>
      </c>
      <c r="C145" s="10" t="s">
        <v>170</v>
      </c>
      <c r="D145" s="10">
        <v>45777</v>
      </c>
      <c r="E145">
        <v>2025</v>
      </c>
      <c r="F145">
        <v>2</v>
      </c>
      <c r="G145" s="60">
        <v>1</v>
      </c>
      <c r="I145" s="26">
        <v>5000013499</v>
      </c>
      <c r="J145" t="s">
        <v>37</v>
      </c>
      <c r="K145" t="s">
        <v>38</v>
      </c>
      <c r="M145">
        <v>79703640</v>
      </c>
      <c r="N145">
        <v>101</v>
      </c>
      <c r="O145" t="s">
        <v>171</v>
      </c>
      <c r="Q145" t="s">
        <v>35</v>
      </c>
      <c r="R145">
        <v>290000</v>
      </c>
      <c r="T145">
        <v>1</v>
      </c>
      <c r="U145">
        <v>2</v>
      </c>
      <c r="Z145" t="s">
        <v>422</v>
      </c>
    </row>
    <row r="146" spans="1:26" x14ac:dyDescent="0.25">
      <c r="A146" t="str">
        <f t="shared" si="2"/>
        <v>500001775279703640</v>
      </c>
      <c r="B146">
        <v>5025006923</v>
      </c>
      <c r="C146" s="10" t="s">
        <v>170</v>
      </c>
      <c r="D146" s="10">
        <v>45777</v>
      </c>
      <c r="E146">
        <v>2025</v>
      </c>
      <c r="F146">
        <v>3</v>
      </c>
      <c r="G146" s="60">
        <v>1</v>
      </c>
      <c r="I146" s="26">
        <v>5000017752</v>
      </c>
      <c r="J146" t="s">
        <v>37</v>
      </c>
      <c r="K146" t="s">
        <v>38</v>
      </c>
      <c r="M146">
        <v>79703640</v>
      </c>
      <c r="N146">
        <v>101</v>
      </c>
      <c r="O146" t="s">
        <v>171</v>
      </c>
      <c r="Q146" t="s">
        <v>93</v>
      </c>
      <c r="R146">
        <v>147000</v>
      </c>
      <c r="T146">
        <v>1</v>
      </c>
      <c r="U146">
        <v>3</v>
      </c>
      <c r="Z146" t="s">
        <v>438</v>
      </c>
    </row>
    <row r="147" spans="1:26" x14ac:dyDescent="0.25">
      <c r="A147" t="str">
        <f t="shared" si="2"/>
        <v>500001771779703648</v>
      </c>
      <c r="B147">
        <v>5025006924</v>
      </c>
      <c r="C147" s="10" t="s">
        <v>170</v>
      </c>
      <c r="D147" s="10">
        <v>45777</v>
      </c>
      <c r="E147">
        <v>2025</v>
      </c>
      <c r="F147">
        <v>1</v>
      </c>
      <c r="G147" s="60">
        <v>4</v>
      </c>
      <c r="I147" s="26">
        <v>5000017717</v>
      </c>
      <c r="J147" t="s">
        <v>37</v>
      </c>
      <c r="K147" t="s">
        <v>38</v>
      </c>
      <c r="M147">
        <v>79703648</v>
      </c>
      <c r="N147">
        <v>101</v>
      </c>
      <c r="O147" t="s">
        <v>171</v>
      </c>
      <c r="Q147" t="s">
        <v>93</v>
      </c>
      <c r="R147">
        <v>2400000</v>
      </c>
      <c r="T147">
        <v>4</v>
      </c>
      <c r="U147">
        <v>1</v>
      </c>
      <c r="Z147" t="s">
        <v>439</v>
      </c>
    </row>
    <row r="148" spans="1:26" x14ac:dyDescent="0.25">
      <c r="A148" t="str">
        <f t="shared" si="2"/>
        <v>500000505979704092</v>
      </c>
      <c r="B148">
        <v>5025007717</v>
      </c>
      <c r="C148" s="10" t="s">
        <v>170</v>
      </c>
      <c r="D148" s="10">
        <v>45791</v>
      </c>
      <c r="E148">
        <v>2025</v>
      </c>
      <c r="F148">
        <v>1</v>
      </c>
      <c r="G148" s="60">
        <v>10</v>
      </c>
      <c r="I148" s="26">
        <v>5000005059</v>
      </c>
      <c r="J148" t="s">
        <v>37</v>
      </c>
      <c r="K148" t="s">
        <v>38</v>
      </c>
      <c r="M148">
        <v>79704092</v>
      </c>
      <c r="N148">
        <v>101</v>
      </c>
      <c r="O148" t="s">
        <v>171</v>
      </c>
      <c r="Q148" t="s">
        <v>93</v>
      </c>
      <c r="R148">
        <v>950000</v>
      </c>
      <c r="T148">
        <v>10</v>
      </c>
      <c r="U148">
        <v>1</v>
      </c>
      <c r="Z148" t="s">
        <v>431</v>
      </c>
    </row>
    <row r="149" spans="1:26" x14ac:dyDescent="0.25">
      <c r="A149" t="str">
        <f t="shared" si="2"/>
        <v>500000884379704092</v>
      </c>
      <c r="B149">
        <v>5025007717</v>
      </c>
      <c r="C149" s="10" t="s">
        <v>170</v>
      </c>
      <c r="D149" s="10">
        <v>45791</v>
      </c>
      <c r="E149">
        <v>2025</v>
      </c>
      <c r="F149">
        <v>2</v>
      </c>
      <c r="G149" s="60">
        <v>1</v>
      </c>
      <c r="I149" s="26">
        <v>5000008843</v>
      </c>
      <c r="J149" t="s">
        <v>37</v>
      </c>
      <c r="K149" t="s">
        <v>38</v>
      </c>
      <c r="M149">
        <v>79704092</v>
      </c>
      <c r="N149">
        <v>101</v>
      </c>
      <c r="O149" t="s">
        <v>171</v>
      </c>
      <c r="Q149" t="s">
        <v>35</v>
      </c>
      <c r="R149">
        <v>1025000</v>
      </c>
      <c r="T149">
        <v>1</v>
      </c>
      <c r="U149">
        <v>2</v>
      </c>
      <c r="Z149" t="s">
        <v>440</v>
      </c>
    </row>
    <row r="150" spans="1:26" x14ac:dyDescent="0.25">
      <c r="A150" t="str">
        <f t="shared" si="2"/>
        <v>500001624879704092</v>
      </c>
      <c r="B150">
        <v>5025007717</v>
      </c>
      <c r="C150" s="10" t="s">
        <v>170</v>
      </c>
      <c r="D150" s="10">
        <v>45791</v>
      </c>
      <c r="E150">
        <v>2025</v>
      </c>
      <c r="F150">
        <v>3</v>
      </c>
      <c r="G150" s="60">
        <v>1</v>
      </c>
      <c r="I150" s="26">
        <v>5000016248</v>
      </c>
      <c r="J150" t="s">
        <v>37</v>
      </c>
      <c r="K150" t="s">
        <v>38</v>
      </c>
      <c r="M150">
        <v>79704092</v>
      </c>
      <c r="N150">
        <v>101</v>
      </c>
      <c r="O150" t="s">
        <v>171</v>
      </c>
      <c r="Q150" t="s">
        <v>35</v>
      </c>
      <c r="R150">
        <v>1850000</v>
      </c>
      <c r="T150">
        <v>1</v>
      </c>
      <c r="U150">
        <v>3</v>
      </c>
      <c r="Z150" t="s">
        <v>444</v>
      </c>
    </row>
    <row r="151" spans="1:26" x14ac:dyDescent="0.25">
      <c r="A151" t="str">
        <f t="shared" si="2"/>
        <v>500000073979704092</v>
      </c>
      <c r="B151">
        <v>5025007717</v>
      </c>
      <c r="C151" s="10" t="s">
        <v>170</v>
      </c>
      <c r="D151" s="10">
        <v>45791</v>
      </c>
      <c r="E151">
        <v>2025</v>
      </c>
      <c r="F151">
        <v>4</v>
      </c>
      <c r="G151" s="60">
        <v>2</v>
      </c>
      <c r="I151" s="26">
        <v>5000000739</v>
      </c>
      <c r="J151" t="s">
        <v>37</v>
      </c>
      <c r="K151" t="s">
        <v>38</v>
      </c>
      <c r="M151">
        <v>79704092</v>
      </c>
      <c r="N151">
        <v>101</v>
      </c>
      <c r="O151" t="s">
        <v>171</v>
      </c>
      <c r="Q151" t="s">
        <v>262</v>
      </c>
      <c r="R151">
        <v>4350000</v>
      </c>
      <c r="T151">
        <v>2</v>
      </c>
      <c r="U151">
        <v>4</v>
      </c>
      <c r="Z151" t="s">
        <v>445</v>
      </c>
    </row>
    <row r="152" spans="1:26" x14ac:dyDescent="0.25">
      <c r="A152" t="str">
        <f t="shared" si="2"/>
        <v>500000074079704092</v>
      </c>
      <c r="B152">
        <v>5025007717</v>
      </c>
      <c r="C152" s="10" t="s">
        <v>170</v>
      </c>
      <c r="D152" s="10">
        <v>45791</v>
      </c>
      <c r="E152">
        <v>2025</v>
      </c>
      <c r="F152">
        <v>5</v>
      </c>
      <c r="G152" s="60">
        <v>100</v>
      </c>
      <c r="H152" t="s">
        <v>383</v>
      </c>
      <c r="I152" s="26">
        <v>5000000740</v>
      </c>
      <c r="J152" t="s">
        <v>37</v>
      </c>
      <c r="K152" t="s">
        <v>38</v>
      </c>
      <c r="M152">
        <v>79704092</v>
      </c>
      <c r="N152">
        <v>101</v>
      </c>
      <c r="O152" t="s">
        <v>171</v>
      </c>
      <c r="Q152" t="s">
        <v>93</v>
      </c>
      <c r="R152">
        <v>300000</v>
      </c>
      <c r="T152">
        <v>1</v>
      </c>
      <c r="U152">
        <v>5</v>
      </c>
      <c r="Z152" t="s">
        <v>446</v>
      </c>
    </row>
    <row r="153" spans="1:26" x14ac:dyDescent="0.25">
      <c r="A153" t="str">
        <f t="shared" si="2"/>
        <v>500000424879703408</v>
      </c>
      <c r="B153">
        <v>5025007920</v>
      </c>
      <c r="C153" s="10" t="s">
        <v>170</v>
      </c>
      <c r="D153" s="10">
        <v>45793</v>
      </c>
      <c r="E153">
        <v>2025</v>
      </c>
      <c r="F153">
        <v>1</v>
      </c>
      <c r="G153" s="60">
        <v>10</v>
      </c>
      <c r="I153" s="26">
        <v>5000004248</v>
      </c>
      <c r="J153" t="s">
        <v>37</v>
      </c>
      <c r="K153" t="s">
        <v>38</v>
      </c>
      <c r="M153">
        <v>79703408</v>
      </c>
      <c r="N153">
        <v>101</v>
      </c>
      <c r="O153" t="s">
        <v>171</v>
      </c>
      <c r="Q153" t="s">
        <v>93</v>
      </c>
      <c r="R153">
        <v>650000</v>
      </c>
      <c r="T153">
        <v>10</v>
      </c>
      <c r="U153">
        <v>1</v>
      </c>
      <c r="Z153" t="s">
        <v>397</v>
      </c>
    </row>
    <row r="154" spans="1:26" x14ac:dyDescent="0.25">
      <c r="A154" t="str">
        <f t="shared" si="2"/>
        <v>500000534079703408</v>
      </c>
      <c r="B154">
        <v>5025007920</v>
      </c>
      <c r="C154" s="10" t="s">
        <v>170</v>
      </c>
      <c r="D154" s="10">
        <v>45793</v>
      </c>
      <c r="E154">
        <v>2025</v>
      </c>
      <c r="F154">
        <v>2</v>
      </c>
      <c r="G154" s="60">
        <v>1</v>
      </c>
      <c r="I154" s="26">
        <v>5000005340</v>
      </c>
      <c r="J154" t="s">
        <v>37</v>
      </c>
      <c r="K154" t="s">
        <v>38</v>
      </c>
      <c r="M154">
        <v>79703408</v>
      </c>
      <c r="N154">
        <v>101</v>
      </c>
      <c r="O154" t="s">
        <v>171</v>
      </c>
      <c r="Q154" t="s">
        <v>35</v>
      </c>
      <c r="R154">
        <v>155000</v>
      </c>
      <c r="T154">
        <v>1</v>
      </c>
      <c r="U154">
        <v>2</v>
      </c>
      <c r="Z154" t="s">
        <v>508</v>
      </c>
    </row>
    <row r="155" spans="1:26" x14ac:dyDescent="0.25">
      <c r="A155" t="str">
        <f t="shared" si="2"/>
        <v>500000892979703408</v>
      </c>
      <c r="B155">
        <v>5025007920</v>
      </c>
      <c r="C155" s="10" t="s">
        <v>170</v>
      </c>
      <c r="D155" s="10">
        <v>45793</v>
      </c>
      <c r="E155">
        <v>2025</v>
      </c>
      <c r="F155">
        <v>3</v>
      </c>
      <c r="G155" s="60">
        <v>2</v>
      </c>
      <c r="I155" s="26">
        <v>5000008929</v>
      </c>
      <c r="J155" t="s">
        <v>37</v>
      </c>
      <c r="K155" t="s">
        <v>38</v>
      </c>
      <c r="M155">
        <v>79703408</v>
      </c>
      <c r="N155">
        <v>101</v>
      </c>
      <c r="O155" t="s">
        <v>171</v>
      </c>
      <c r="Q155" t="s">
        <v>93</v>
      </c>
      <c r="R155">
        <v>300000</v>
      </c>
      <c r="T155">
        <v>2</v>
      </c>
      <c r="U155">
        <v>3</v>
      </c>
      <c r="Z155" t="s">
        <v>509</v>
      </c>
    </row>
    <row r="156" spans="1:26" x14ac:dyDescent="0.25">
      <c r="A156" t="str">
        <f t="shared" si="2"/>
        <v>500001202179704393</v>
      </c>
      <c r="B156">
        <v>5025007922</v>
      </c>
      <c r="C156" s="10" t="s">
        <v>170</v>
      </c>
      <c r="D156" s="10">
        <v>45793</v>
      </c>
      <c r="E156">
        <v>2025</v>
      </c>
      <c r="F156">
        <v>1</v>
      </c>
      <c r="G156" s="60">
        <v>1</v>
      </c>
      <c r="I156" s="26">
        <v>5000012021</v>
      </c>
      <c r="J156" t="s">
        <v>37</v>
      </c>
      <c r="K156" t="s">
        <v>38</v>
      </c>
      <c r="M156">
        <v>79704393</v>
      </c>
      <c r="N156">
        <v>101</v>
      </c>
      <c r="O156" t="s">
        <v>171</v>
      </c>
      <c r="Q156" t="s">
        <v>93</v>
      </c>
      <c r="R156">
        <v>30000</v>
      </c>
      <c r="T156">
        <v>1</v>
      </c>
      <c r="U156">
        <v>1</v>
      </c>
      <c r="Z156" t="s">
        <v>450</v>
      </c>
    </row>
    <row r="157" spans="1:26" x14ac:dyDescent="0.25">
      <c r="A157" t="str">
        <f t="shared" si="2"/>
        <v>500000505979704393</v>
      </c>
      <c r="B157">
        <v>5025007922</v>
      </c>
      <c r="C157" s="10" t="s">
        <v>170</v>
      </c>
      <c r="D157" s="10">
        <v>45793</v>
      </c>
      <c r="E157">
        <v>2025</v>
      </c>
      <c r="F157">
        <v>2</v>
      </c>
      <c r="G157" s="60">
        <v>2</v>
      </c>
      <c r="I157" s="26">
        <v>5000005059</v>
      </c>
      <c r="J157" t="s">
        <v>37</v>
      </c>
      <c r="K157" t="s">
        <v>38</v>
      </c>
      <c r="M157">
        <v>79704393</v>
      </c>
      <c r="N157">
        <v>101</v>
      </c>
      <c r="O157" t="s">
        <v>171</v>
      </c>
      <c r="Q157" t="s">
        <v>93</v>
      </c>
      <c r="R157">
        <v>190000</v>
      </c>
      <c r="T157">
        <v>2</v>
      </c>
      <c r="U157">
        <v>2</v>
      </c>
      <c r="Z157" t="s">
        <v>454</v>
      </c>
    </row>
    <row r="158" spans="1:26" x14ac:dyDescent="0.25">
      <c r="A158" t="str">
        <f t="shared" si="2"/>
        <v>500000424879704393</v>
      </c>
      <c r="B158">
        <v>5025007922</v>
      </c>
      <c r="C158" s="10" t="s">
        <v>170</v>
      </c>
      <c r="D158" s="10">
        <v>45793</v>
      </c>
      <c r="E158">
        <v>2025</v>
      </c>
      <c r="F158">
        <v>3</v>
      </c>
      <c r="G158" s="60">
        <v>2</v>
      </c>
      <c r="I158" s="26">
        <v>5000004248</v>
      </c>
      <c r="J158" t="s">
        <v>37</v>
      </c>
      <c r="K158" t="s">
        <v>38</v>
      </c>
      <c r="M158">
        <v>79704393</v>
      </c>
      <c r="N158">
        <v>101</v>
      </c>
      <c r="O158" t="s">
        <v>171</v>
      </c>
      <c r="Q158" t="s">
        <v>93</v>
      </c>
      <c r="R158">
        <v>130000</v>
      </c>
      <c r="T158">
        <v>2</v>
      </c>
      <c r="U158">
        <v>3</v>
      </c>
      <c r="Z158" t="s">
        <v>455</v>
      </c>
    </row>
    <row r="159" spans="1:26" x14ac:dyDescent="0.25">
      <c r="A159" t="str">
        <f t="shared" si="2"/>
        <v>500000884379704393</v>
      </c>
      <c r="B159">
        <v>5025007922</v>
      </c>
      <c r="C159" s="10" t="s">
        <v>170</v>
      </c>
      <c r="D159" s="10">
        <v>45793</v>
      </c>
      <c r="E159">
        <v>2025</v>
      </c>
      <c r="F159">
        <v>4</v>
      </c>
      <c r="G159" s="60">
        <v>2</v>
      </c>
      <c r="I159" s="26">
        <v>5000008843</v>
      </c>
      <c r="J159" t="s">
        <v>37</v>
      </c>
      <c r="K159" t="s">
        <v>38</v>
      </c>
      <c r="M159">
        <v>79704393</v>
      </c>
      <c r="N159">
        <v>101</v>
      </c>
      <c r="O159" t="s">
        <v>171</v>
      </c>
      <c r="Q159" t="s">
        <v>35</v>
      </c>
      <c r="R159">
        <v>2050000</v>
      </c>
      <c r="T159">
        <v>2</v>
      </c>
      <c r="U159">
        <v>4</v>
      </c>
      <c r="Z159" t="s">
        <v>456</v>
      </c>
    </row>
    <row r="160" spans="1:26" x14ac:dyDescent="0.25">
      <c r="A160" t="str">
        <f t="shared" si="2"/>
        <v>500000074079704393</v>
      </c>
      <c r="B160">
        <v>5025007922</v>
      </c>
      <c r="C160" s="10" t="s">
        <v>170</v>
      </c>
      <c r="D160" s="10">
        <v>45793</v>
      </c>
      <c r="E160">
        <v>2025</v>
      </c>
      <c r="F160">
        <v>5</v>
      </c>
      <c r="G160" s="60">
        <v>200</v>
      </c>
      <c r="H160" t="s">
        <v>383</v>
      </c>
      <c r="I160" s="26">
        <v>5000000740</v>
      </c>
      <c r="J160" t="s">
        <v>37</v>
      </c>
      <c r="K160" t="s">
        <v>38</v>
      </c>
      <c r="M160">
        <v>79704393</v>
      </c>
      <c r="N160">
        <v>101</v>
      </c>
      <c r="O160" t="s">
        <v>171</v>
      </c>
      <c r="Q160" t="s">
        <v>93</v>
      </c>
      <c r="R160">
        <v>600000</v>
      </c>
      <c r="T160">
        <v>2</v>
      </c>
      <c r="U160">
        <v>5</v>
      </c>
      <c r="Z160" t="s">
        <v>463</v>
      </c>
    </row>
    <row r="161" spans="1:31" x14ac:dyDescent="0.25">
      <c r="A161" t="str">
        <f t="shared" si="2"/>
        <v>500001364079704393</v>
      </c>
      <c r="B161">
        <v>5025007922</v>
      </c>
      <c r="C161" s="10" t="s">
        <v>170</v>
      </c>
      <c r="D161" s="10">
        <v>45793</v>
      </c>
      <c r="E161">
        <v>2025</v>
      </c>
      <c r="F161">
        <v>6</v>
      </c>
      <c r="G161" s="60">
        <v>50</v>
      </c>
      <c r="I161" s="26">
        <v>5000013640</v>
      </c>
      <c r="J161" t="s">
        <v>37</v>
      </c>
      <c r="K161" t="s">
        <v>38</v>
      </c>
      <c r="M161">
        <v>79704393</v>
      </c>
      <c r="N161">
        <v>101</v>
      </c>
      <c r="O161" t="s">
        <v>171</v>
      </c>
      <c r="Q161" t="s">
        <v>93</v>
      </c>
      <c r="R161">
        <v>750000</v>
      </c>
      <c r="T161">
        <v>50</v>
      </c>
      <c r="U161">
        <v>6</v>
      </c>
      <c r="Z161" t="s">
        <v>464</v>
      </c>
    </row>
    <row r="162" spans="1:31" x14ac:dyDescent="0.25">
      <c r="A162" t="str">
        <f t="shared" si="2"/>
        <v>500001632279704393</v>
      </c>
      <c r="B162">
        <v>5025007922</v>
      </c>
      <c r="C162" s="10" t="s">
        <v>170</v>
      </c>
      <c r="D162" s="10">
        <v>45793</v>
      </c>
      <c r="E162">
        <v>2025</v>
      </c>
      <c r="F162">
        <v>7</v>
      </c>
      <c r="G162" s="60">
        <v>55</v>
      </c>
      <c r="I162" s="26">
        <v>5000016322</v>
      </c>
      <c r="J162" t="s">
        <v>37</v>
      </c>
      <c r="K162" t="s">
        <v>38</v>
      </c>
      <c r="M162">
        <v>79704393</v>
      </c>
      <c r="N162">
        <v>101</v>
      </c>
      <c r="O162" t="s">
        <v>171</v>
      </c>
      <c r="Q162" t="s">
        <v>93</v>
      </c>
      <c r="R162">
        <v>825000</v>
      </c>
      <c r="T162">
        <v>55</v>
      </c>
      <c r="U162">
        <v>7</v>
      </c>
      <c r="Z162" t="s">
        <v>471</v>
      </c>
    </row>
    <row r="163" spans="1:31" x14ac:dyDescent="0.25">
      <c r="A163" t="str">
        <f t="shared" si="2"/>
        <v>500001203379704393</v>
      </c>
      <c r="B163">
        <v>5025007922</v>
      </c>
      <c r="C163" s="10" t="s">
        <v>170</v>
      </c>
      <c r="D163" s="10">
        <v>45793</v>
      </c>
      <c r="E163">
        <v>2025</v>
      </c>
      <c r="F163">
        <v>8</v>
      </c>
      <c r="G163" s="60">
        <v>55</v>
      </c>
      <c r="I163" s="26">
        <v>5000012033</v>
      </c>
      <c r="J163" t="s">
        <v>37</v>
      </c>
      <c r="K163" t="s">
        <v>38</v>
      </c>
      <c r="M163">
        <v>79704393</v>
      </c>
      <c r="N163">
        <v>101</v>
      </c>
      <c r="O163" t="s">
        <v>171</v>
      </c>
      <c r="Q163" t="s">
        <v>93</v>
      </c>
      <c r="R163">
        <v>1375000</v>
      </c>
      <c r="T163">
        <v>55</v>
      </c>
      <c r="U163">
        <v>8</v>
      </c>
      <c r="Z163" t="s">
        <v>472</v>
      </c>
    </row>
    <row r="164" spans="1:31" x14ac:dyDescent="0.25">
      <c r="A164" t="str">
        <f t="shared" si="2"/>
        <v>500001779979704393</v>
      </c>
      <c r="B164">
        <v>5025007922</v>
      </c>
      <c r="C164" s="10" t="s">
        <v>170</v>
      </c>
      <c r="D164" s="10">
        <v>45793</v>
      </c>
      <c r="E164">
        <v>2025</v>
      </c>
      <c r="F164">
        <v>9</v>
      </c>
      <c r="G164" s="60">
        <v>5</v>
      </c>
      <c r="I164" s="26">
        <v>5000017799</v>
      </c>
      <c r="J164" t="s">
        <v>37</v>
      </c>
      <c r="K164" t="s">
        <v>38</v>
      </c>
      <c r="M164">
        <v>79704393</v>
      </c>
      <c r="N164">
        <v>101</v>
      </c>
      <c r="O164" t="s">
        <v>171</v>
      </c>
      <c r="Q164" t="s">
        <v>93</v>
      </c>
      <c r="R164">
        <v>125000</v>
      </c>
      <c r="T164">
        <v>5</v>
      </c>
      <c r="U164">
        <v>9</v>
      </c>
      <c r="Z164" t="s">
        <v>469</v>
      </c>
    </row>
    <row r="165" spans="1:31" x14ac:dyDescent="0.25">
      <c r="A165" t="str">
        <f t="shared" si="2"/>
        <v>500001202179704393</v>
      </c>
      <c r="B165">
        <v>5025007922</v>
      </c>
      <c r="C165" s="10" t="s">
        <v>170</v>
      </c>
      <c r="D165" s="10">
        <v>45793</v>
      </c>
      <c r="E165">
        <v>2025</v>
      </c>
      <c r="F165">
        <v>10</v>
      </c>
      <c r="G165" s="60">
        <v>2</v>
      </c>
      <c r="I165" s="26">
        <v>5000012021</v>
      </c>
      <c r="J165" t="s">
        <v>37</v>
      </c>
      <c r="K165" t="s">
        <v>38</v>
      </c>
      <c r="M165">
        <v>79704393</v>
      </c>
      <c r="N165">
        <v>101</v>
      </c>
      <c r="O165" t="s">
        <v>171</v>
      </c>
      <c r="Q165" t="s">
        <v>93</v>
      </c>
      <c r="R165">
        <v>60000</v>
      </c>
      <c r="T165">
        <v>2</v>
      </c>
      <c r="U165">
        <v>10</v>
      </c>
      <c r="Z165" t="s">
        <v>460</v>
      </c>
    </row>
    <row r="166" spans="1:31" x14ac:dyDescent="0.25">
      <c r="A166" t="str">
        <f t="shared" si="2"/>
        <v>500001725879704214</v>
      </c>
      <c r="B166">
        <v>5025007938</v>
      </c>
      <c r="C166" s="10" t="s">
        <v>170</v>
      </c>
      <c r="D166" s="10">
        <v>45793</v>
      </c>
      <c r="E166">
        <v>2025</v>
      </c>
      <c r="F166">
        <v>1</v>
      </c>
      <c r="G166" s="60">
        <v>1</v>
      </c>
      <c r="I166" s="26">
        <v>5000017258</v>
      </c>
      <c r="J166" t="s">
        <v>37</v>
      </c>
      <c r="K166" t="s">
        <v>38</v>
      </c>
      <c r="M166">
        <v>79704214</v>
      </c>
      <c r="N166">
        <v>101</v>
      </c>
      <c r="O166" t="s">
        <v>171</v>
      </c>
      <c r="Q166" t="s">
        <v>35</v>
      </c>
      <c r="R166">
        <v>945946</v>
      </c>
      <c r="T166">
        <v>1</v>
      </c>
      <c r="U166">
        <v>1</v>
      </c>
      <c r="Z166" t="s">
        <v>467</v>
      </c>
      <c r="AB166">
        <v>0</v>
      </c>
      <c r="AC166">
        <v>0</v>
      </c>
      <c r="AE166">
        <v>0</v>
      </c>
    </row>
    <row r="167" spans="1:31" x14ac:dyDescent="0.25">
      <c r="A167" t="str">
        <f t="shared" si="2"/>
        <v>500001591979704089</v>
      </c>
      <c r="B167">
        <v>5025007966</v>
      </c>
      <c r="C167" s="10" t="s">
        <v>170</v>
      </c>
      <c r="D167" s="10">
        <v>45794</v>
      </c>
      <c r="E167">
        <v>2025</v>
      </c>
      <c r="F167">
        <v>1</v>
      </c>
      <c r="G167" s="60">
        <v>1</v>
      </c>
      <c r="I167" s="26">
        <v>5000015919</v>
      </c>
      <c r="J167" t="s">
        <v>37</v>
      </c>
      <c r="K167" t="s">
        <v>38</v>
      </c>
      <c r="M167">
        <v>79704089</v>
      </c>
      <c r="N167">
        <v>101</v>
      </c>
      <c r="O167" t="s">
        <v>171</v>
      </c>
      <c r="Q167" t="s">
        <v>35</v>
      </c>
      <c r="R167">
        <v>270000</v>
      </c>
      <c r="T167">
        <v>1</v>
      </c>
      <c r="U167">
        <v>1</v>
      </c>
      <c r="Z167" t="s">
        <v>426</v>
      </c>
    </row>
    <row r="168" spans="1:31" x14ac:dyDescent="0.25">
      <c r="A168" t="str">
        <f t="shared" si="2"/>
        <v>500001597079704089</v>
      </c>
      <c r="B168">
        <v>5025007966</v>
      </c>
      <c r="C168" s="10" t="s">
        <v>170</v>
      </c>
      <c r="D168" s="10">
        <v>45794</v>
      </c>
      <c r="E168">
        <v>2025</v>
      </c>
      <c r="F168">
        <v>2</v>
      </c>
      <c r="G168" s="60">
        <v>1</v>
      </c>
      <c r="I168" s="26">
        <v>5000015970</v>
      </c>
      <c r="J168" t="s">
        <v>37</v>
      </c>
      <c r="K168" t="s">
        <v>38</v>
      </c>
      <c r="M168">
        <v>79704089</v>
      </c>
      <c r="N168">
        <v>101</v>
      </c>
      <c r="O168" t="s">
        <v>171</v>
      </c>
      <c r="Q168" t="s">
        <v>35</v>
      </c>
      <c r="R168">
        <v>48000</v>
      </c>
      <c r="T168">
        <v>1</v>
      </c>
      <c r="U168">
        <v>2</v>
      </c>
      <c r="Z168" t="s">
        <v>428</v>
      </c>
    </row>
    <row r="169" spans="1:31" x14ac:dyDescent="0.25">
      <c r="A169" t="str">
        <f t="shared" si="2"/>
        <v>500001606379704089</v>
      </c>
      <c r="B169">
        <v>5025007966</v>
      </c>
      <c r="C169" s="10" t="s">
        <v>170</v>
      </c>
      <c r="D169" s="10">
        <v>45794</v>
      </c>
      <c r="E169">
        <v>2025</v>
      </c>
      <c r="F169">
        <v>3</v>
      </c>
      <c r="G169" s="60">
        <v>1</v>
      </c>
      <c r="I169" s="26">
        <v>5000016063</v>
      </c>
      <c r="J169" t="s">
        <v>37</v>
      </c>
      <c r="K169" t="s">
        <v>38</v>
      </c>
      <c r="M169">
        <v>79704089</v>
      </c>
      <c r="N169">
        <v>101</v>
      </c>
      <c r="O169" t="s">
        <v>171</v>
      </c>
      <c r="Q169" t="s">
        <v>93</v>
      </c>
      <c r="R169">
        <v>119000</v>
      </c>
      <c r="T169">
        <v>1</v>
      </c>
      <c r="U169">
        <v>3</v>
      </c>
      <c r="Z169" t="s">
        <v>430</v>
      </c>
    </row>
    <row r="170" spans="1:31" x14ac:dyDescent="0.25">
      <c r="A170" t="str">
        <f t="shared" si="2"/>
        <v>500001429179704089</v>
      </c>
      <c r="B170">
        <v>5025007966</v>
      </c>
      <c r="C170" s="10" t="s">
        <v>170</v>
      </c>
      <c r="D170" s="10">
        <v>45794</v>
      </c>
      <c r="E170">
        <v>2025</v>
      </c>
      <c r="F170">
        <v>4</v>
      </c>
      <c r="G170" s="60">
        <v>1</v>
      </c>
      <c r="I170" s="26">
        <v>5000014291</v>
      </c>
      <c r="J170" t="s">
        <v>37</v>
      </c>
      <c r="K170" t="s">
        <v>38</v>
      </c>
      <c r="M170">
        <v>79704089</v>
      </c>
      <c r="N170">
        <v>101</v>
      </c>
      <c r="O170" t="s">
        <v>171</v>
      </c>
      <c r="Q170" t="s">
        <v>296</v>
      </c>
      <c r="R170">
        <v>92500</v>
      </c>
      <c r="T170">
        <v>1</v>
      </c>
      <c r="U170">
        <v>4</v>
      </c>
      <c r="Z170" t="s">
        <v>466</v>
      </c>
    </row>
    <row r="171" spans="1:31" x14ac:dyDescent="0.25">
      <c r="A171" t="str">
        <f t="shared" si="2"/>
        <v>500001778679704089</v>
      </c>
      <c r="B171">
        <v>5025007966</v>
      </c>
      <c r="C171" s="10" t="s">
        <v>170</v>
      </c>
      <c r="D171" s="10">
        <v>45794</v>
      </c>
      <c r="E171">
        <v>2025</v>
      </c>
      <c r="F171">
        <v>5</v>
      </c>
      <c r="G171" s="60">
        <v>1</v>
      </c>
      <c r="I171" s="26">
        <v>5000017786</v>
      </c>
      <c r="J171" t="s">
        <v>37</v>
      </c>
      <c r="K171" t="s">
        <v>38</v>
      </c>
      <c r="M171">
        <v>79704089</v>
      </c>
      <c r="N171">
        <v>101</v>
      </c>
      <c r="O171" t="s">
        <v>171</v>
      </c>
      <c r="Q171" t="s">
        <v>93</v>
      </c>
      <c r="R171">
        <v>59500</v>
      </c>
      <c r="T171">
        <v>1</v>
      </c>
      <c r="U171">
        <v>5</v>
      </c>
      <c r="Z171" t="s">
        <v>434</v>
      </c>
    </row>
    <row r="172" spans="1:31" x14ac:dyDescent="0.25">
      <c r="A172" t="str">
        <f t="shared" si="2"/>
        <v>500001625579704089</v>
      </c>
      <c r="B172">
        <v>5025007966</v>
      </c>
      <c r="C172" s="10" t="s">
        <v>170</v>
      </c>
      <c r="D172" s="10">
        <v>45794</v>
      </c>
      <c r="E172">
        <v>2025</v>
      </c>
      <c r="F172">
        <v>6</v>
      </c>
      <c r="G172" s="60">
        <v>1</v>
      </c>
      <c r="I172" s="26">
        <v>5000016255</v>
      </c>
      <c r="J172" t="s">
        <v>37</v>
      </c>
      <c r="K172" t="s">
        <v>38</v>
      </c>
      <c r="M172">
        <v>79704089</v>
      </c>
      <c r="N172">
        <v>101</v>
      </c>
      <c r="O172" t="s">
        <v>171</v>
      </c>
      <c r="Q172" t="s">
        <v>93</v>
      </c>
      <c r="R172">
        <v>343000</v>
      </c>
      <c r="T172">
        <v>1</v>
      </c>
      <c r="U172">
        <v>6</v>
      </c>
      <c r="Z172" t="s">
        <v>443</v>
      </c>
    </row>
    <row r="173" spans="1:31" x14ac:dyDescent="0.25">
      <c r="A173" t="str">
        <f t="shared" si="2"/>
        <v>500001586179703646</v>
      </c>
      <c r="B173">
        <v>5025008033</v>
      </c>
      <c r="C173" s="10" t="s">
        <v>170</v>
      </c>
      <c r="D173" s="10">
        <v>45796</v>
      </c>
      <c r="E173">
        <v>2025</v>
      </c>
      <c r="F173">
        <v>1</v>
      </c>
      <c r="G173" s="60">
        <v>1</v>
      </c>
      <c r="I173" s="26">
        <v>5000015861</v>
      </c>
      <c r="J173" t="s">
        <v>37</v>
      </c>
      <c r="K173" t="s">
        <v>38</v>
      </c>
      <c r="M173">
        <v>79703646</v>
      </c>
      <c r="N173">
        <v>101</v>
      </c>
      <c r="O173" t="s">
        <v>171</v>
      </c>
      <c r="Q173" t="s">
        <v>35</v>
      </c>
      <c r="R173">
        <v>1000000</v>
      </c>
      <c r="T173">
        <v>1</v>
      </c>
      <c r="U173">
        <v>1</v>
      </c>
      <c r="Z173" t="s">
        <v>414</v>
      </c>
    </row>
    <row r="174" spans="1:31" x14ac:dyDescent="0.25">
      <c r="A174" t="str">
        <f t="shared" si="2"/>
        <v>500001500079703646</v>
      </c>
      <c r="B174">
        <v>5025008033</v>
      </c>
      <c r="C174" s="10" t="s">
        <v>170</v>
      </c>
      <c r="D174" s="10">
        <v>45796</v>
      </c>
      <c r="E174">
        <v>2025</v>
      </c>
      <c r="F174">
        <v>2</v>
      </c>
      <c r="G174" s="60">
        <v>1</v>
      </c>
      <c r="I174" s="26">
        <v>5000015000</v>
      </c>
      <c r="J174" t="s">
        <v>37</v>
      </c>
      <c r="K174" t="s">
        <v>38</v>
      </c>
      <c r="M174">
        <v>79703646</v>
      </c>
      <c r="N174">
        <v>101</v>
      </c>
      <c r="O174" t="s">
        <v>171</v>
      </c>
      <c r="Q174" t="s">
        <v>35</v>
      </c>
      <c r="R174">
        <v>350000</v>
      </c>
      <c r="T174">
        <v>1</v>
      </c>
      <c r="U174">
        <v>2</v>
      </c>
      <c r="Z174" t="s">
        <v>415</v>
      </c>
    </row>
    <row r="175" spans="1:31" x14ac:dyDescent="0.25">
      <c r="A175" t="str">
        <f t="shared" si="2"/>
        <v>500001725879704389</v>
      </c>
      <c r="B175">
        <v>5025008142</v>
      </c>
      <c r="C175" s="10" t="s">
        <v>170</v>
      </c>
      <c r="D175" s="10">
        <v>45797</v>
      </c>
      <c r="E175">
        <v>2025</v>
      </c>
      <c r="F175">
        <v>1</v>
      </c>
      <c r="G175" s="60">
        <v>2</v>
      </c>
      <c r="I175" s="26">
        <v>5000017258</v>
      </c>
      <c r="J175" t="s">
        <v>37</v>
      </c>
      <c r="K175" t="s">
        <v>38</v>
      </c>
      <c r="M175">
        <v>79704389</v>
      </c>
      <c r="N175">
        <v>101</v>
      </c>
      <c r="O175" t="s">
        <v>171</v>
      </c>
      <c r="Q175" t="s">
        <v>35</v>
      </c>
      <c r="R175">
        <v>1891892</v>
      </c>
      <c r="T175">
        <v>2</v>
      </c>
      <c r="U175">
        <v>1</v>
      </c>
      <c r="Z175" t="s">
        <v>481</v>
      </c>
      <c r="AB175">
        <v>0</v>
      </c>
      <c r="AC175">
        <v>0</v>
      </c>
      <c r="AE175">
        <v>0</v>
      </c>
    </row>
    <row r="176" spans="1:31" x14ac:dyDescent="0.25">
      <c r="A176" t="str">
        <f t="shared" si="2"/>
        <v>500001672879704389</v>
      </c>
      <c r="B176">
        <v>5025008142</v>
      </c>
      <c r="C176" s="10" t="s">
        <v>170</v>
      </c>
      <c r="D176" s="10">
        <v>45797</v>
      </c>
      <c r="E176">
        <v>2025</v>
      </c>
      <c r="F176">
        <v>2</v>
      </c>
      <c r="G176" s="60">
        <v>6</v>
      </c>
      <c r="I176" s="26">
        <v>5000016728</v>
      </c>
      <c r="J176" t="s">
        <v>37</v>
      </c>
      <c r="K176" t="s">
        <v>38</v>
      </c>
      <c r="M176">
        <v>79704389</v>
      </c>
      <c r="N176">
        <v>101</v>
      </c>
      <c r="O176" t="s">
        <v>171</v>
      </c>
      <c r="Q176" t="s">
        <v>35</v>
      </c>
      <c r="R176">
        <v>2081082</v>
      </c>
      <c r="T176">
        <v>6</v>
      </c>
      <c r="U176">
        <v>2</v>
      </c>
      <c r="Z176" t="s">
        <v>481</v>
      </c>
      <c r="AB176">
        <v>0</v>
      </c>
      <c r="AC176">
        <v>0</v>
      </c>
      <c r="AE176">
        <v>0</v>
      </c>
    </row>
    <row r="177" spans="1:31" x14ac:dyDescent="0.25">
      <c r="A177" t="str">
        <f t="shared" si="2"/>
        <v>500000073979704389</v>
      </c>
      <c r="B177">
        <v>5025008142</v>
      </c>
      <c r="C177" s="10" t="s">
        <v>170</v>
      </c>
      <c r="D177" s="10">
        <v>45797</v>
      </c>
      <c r="E177">
        <v>2025</v>
      </c>
      <c r="F177">
        <v>3</v>
      </c>
      <c r="G177" s="60">
        <v>2</v>
      </c>
      <c r="I177" s="26">
        <v>5000000739</v>
      </c>
      <c r="J177" t="s">
        <v>37</v>
      </c>
      <c r="K177" t="s">
        <v>38</v>
      </c>
      <c r="M177">
        <v>79704389</v>
      </c>
      <c r="N177">
        <v>101</v>
      </c>
      <c r="O177" t="s">
        <v>171</v>
      </c>
      <c r="Q177" t="s">
        <v>262</v>
      </c>
      <c r="R177">
        <v>3873874</v>
      </c>
      <c r="T177">
        <v>2</v>
      </c>
      <c r="U177">
        <v>3</v>
      </c>
      <c r="Z177" t="s">
        <v>482</v>
      </c>
      <c r="AB177">
        <v>0</v>
      </c>
      <c r="AC177">
        <v>0</v>
      </c>
      <c r="AE177">
        <v>0</v>
      </c>
    </row>
    <row r="178" spans="1:31" x14ac:dyDescent="0.25">
      <c r="A178" t="str">
        <f t="shared" si="2"/>
        <v>500001748179704389</v>
      </c>
      <c r="B178">
        <v>5025008142</v>
      </c>
      <c r="C178" s="10" t="s">
        <v>170</v>
      </c>
      <c r="D178" s="10">
        <v>45797</v>
      </c>
      <c r="E178">
        <v>2025</v>
      </c>
      <c r="F178">
        <v>4</v>
      </c>
      <c r="G178" s="60">
        <v>1</v>
      </c>
      <c r="I178" s="26">
        <v>5000017481</v>
      </c>
      <c r="J178" t="s">
        <v>37</v>
      </c>
      <c r="K178" t="s">
        <v>38</v>
      </c>
      <c r="M178">
        <v>79704389</v>
      </c>
      <c r="N178">
        <v>101</v>
      </c>
      <c r="O178" t="s">
        <v>171</v>
      </c>
      <c r="Q178" t="s">
        <v>35</v>
      </c>
      <c r="R178">
        <v>3873874</v>
      </c>
      <c r="T178">
        <v>1</v>
      </c>
      <c r="U178">
        <v>4</v>
      </c>
      <c r="Z178" t="s">
        <v>483</v>
      </c>
      <c r="AB178">
        <v>0</v>
      </c>
      <c r="AC178">
        <v>0</v>
      </c>
      <c r="AE178">
        <v>0</v>
      </c>
    </row>
    <row r="179" spans="1:31" x14ac:dyDescent="0.25">
      <c r="A179" t="str">
        <f t="shared" si="2"/>
        <v>500001693079704503</v>
      </c>
      <c r="B179">
        <v>5025008332</v>
      </c>
      <c r="C179" s="10" t="s">
        <v>170</v>
      </c>
      <c r="D179" s="10">
        <v>45799</v>
      </c>
      <c r="E179">
        <v>2025</v>
      </c>
      <c r="F179">
        <v>1</v>
      </c>
      <c r="G179" s="60">
        <v>1</v>
      </c>
      <c r="I179" s="26">
        <v>5000016930</v>
      </c>
      <c r="J179" t="s">
        <v>37</v>
      </c>
      <c r="K179" t="s">
        <v>38</v>
      </c>
      <c r="M179">
        <v>79704503</v>
      </c>
      <c r="N179">
        <v>101</v>
      </c>
      <c r="O179" t="s">
        <v>171</v>
      </c>
      <c r="Q179" t="s">
        <v>93</v>
      </c>
      <c r="R179">
        <v>178433.34</v>
      </c>
      <c r="T179">
        <v>1</v>
      </c>
      <c r="U179">
        <v>1</v>
      </c>
      <c r="Z179" t="s">
        <v>424</v>
      </c>
    </row>
    <row r="180" spans="1:31" x14ac:dyDescent="0.25">
      <c r="A180" t="str">
        <f t="shared" si="2"/>
        <v>500001693079704503</v>
      </c>
      <c r="B180">
        <v>5025008332</v>
      </c>
      <c r="C180" s="10" t="s">
        <v>170</v>
      </c>
      <c r="D180" s="10">
        <v>45799</v>
      </c>
      <c r="E180">
        <v>2025</v>
      </c>
      <c r="F180">
        <v>2</v>
      </c>
      <c r="G180" s="60">
        <v>1</v>
      </c>
      <c r="I180" s="26">
        <v>5000016930</v>
      </c>
      <c r="J180" t="s">
        <v>37</v>
      </c>
      <c r="K180" t="s">
        <v>38</v>
      </c>
      <c r="M180">
        <v>79704503</v>
      </c>
      <c r="N180">
        <v>101</v>
      </c>
      <c r="O180" t="s">
        <v>171</v>
      </c>
      <c r="Q180" t="s">
        <v>93</v>
      </c>
      <c r="R180">
        <v>178433.34</v>
      </c>
      <c r="T180">
        <v>1</v>
      </c>
      <c r="U180">
        <v>2</v>
      </c>
      <c r="Z180" t="s">
        <v>448</v>
      </c>
    </row>
    <row r="181" spans="1:31" x14ac:dyDescent="0.25">
      <c r="A181" t="str">
        <f t="shared" si="2"/>
        <v>500001693079704503</v>
      </c>
      <c r="B181">
        <v>5025008332</v>
      </c>
      <c r="C181" s="10" t="s">
        <v>170</v>
      </c>
      <c r="D181" s="10">
        <v>45799</v>
      </c>
      <c r="E181">
        <v>2025</v>
      </c>
      <c r="F181">
        <v>3</v>
      </c>
      <c r="G181" s="60">
        <v>1</v>
      </c>
      <c r="I181" s="26">
        <v>5000016930</v>
      </c>
      <c r="J181" t="s">
        <v>37</v>
      </c>
      <c r="K181" t="s">
        <v>38</v>
      </c>
      <c r="M181">
        <v>79704503</v>
      </c>
      <c r="N181">
        <v>101</v>
      </c>
      <c r="O181" t="s">
        <v>171</v>
      </c>
      <c r="Q181" t="s">
        <v>93</v>
      </c>
      <c r="R181">
        <v>178433.34</v>
      </c>
      <c r="T181">
        <v>1</v>
      </c>
      <c r="U181">
        <v>3</v>
      </c>
      <c r="Z181" t="s">
        <v>457</v>
      </c>
    </row>
    <row r="182" spans="1:31" x14ac:dyDescent="0.25">
      <c r="A182" t="str">
        <f t="shared" si="2"/>
        <v>500001780179704506</v>
      </c>
      <c r="B182">
        <v>5025008383</v>
      </c>
      <c r="C182" s="10" t="s">
        <v>170</v>
      </c>
      <c r="D182" s="10">
        <v>45800</v>
      </c>
      <c r="E182">
        <v>2025</v>
      </c>
      <c r="F182">
        <v>1</v>
      </c>
      <c r="G182" s="60">
        <v>1</v>
      </c>
      <c r="I182" s="26">
        <v>5000017801</v>
      </c>
      <c r="J182" t="s">
        <v>37</v>
      </c>
      <c r="K182" t="s">
        <v>38</v>
      </c>
      <c r="M182">
        <v>79704506</v>
      </c>
      <c r="N182">
        <v>101</v>
      </c>
      <c r="O182" t="s">
        <v>171</v>
      </c>
      <c r="Q182" t="s">
        <v>35</v>
      </c>
      <c r="R182">
        <v>5630631</v>
      </c>
      <c r="T182">
        <v>1</v>
      </c>
      <c r="U182">
        <v>1</v>
      </c>
      <c r="Z182" t="s">
        <v>498</v>
      </c>
      <c r="AB182">
        <v>0</v>
      </c>
      <c r="AC182">
        <v>0</v>
      </c>
      <c r="AE182">
        <v>0</v>
      </c>
    </row>
    <row r="183" spans="1:31" x14ac:dyDescent="0.25">
      <c r="A183" t="str">
        <f t="shared" si="2"/>
        <v>500001196079704506</v>
      </c>
      <c r="B183">
        <v>5025008383</v>
      </c>
      <c r="C183" s="10" t="s">
        <v>170</v>
      </c>
      <c r="D183" s="10">
        <v>45800</v>
      </c>
      <c r="E183">
        <v>2025</v>
      </c>
      <c r="F183">
        <v>2</v>
      </c>
      <c r="G183" s="60">
        <v>1</v>
      </c>
      <c r="I183" s="26">
        <v>5000011960</v>
      </c>
      <c r="J183" t="s">
        <v>37</v>
      </c>
      <c r="K183" t="s">
        <v>38</v>
      </c>
      <c r="M183">
        <v>79704506</v>
      </c>
      <c r="N183">
        <v>101</v>
      </c>
      <c r="O183" t="s">
        <v>171</v>
      </c>
      <c r="Q183" t="s">
        <v>93</v>
      </c>
      <c r="R183">
        <v>1081081.1000000001</v>
      </c>
      <c r="T183">
        <v>1</v>
      </c>
      <c r="U183">
        <v>2</v>
      </c>
      <c r="Z183" t="s">
        <v>499</v>
      </c>
      <c r="AB183">
        <v>0</v>
      </c>
      <c r="AC183">
        <v>0</v>
      </c>
      <c r="AE183">
        <v>0</v>
      </c>
    </row>
    <row r="184" spans="1:31" x14ac:dyDescent="0.25">
      <c r="A184" t="str">
        <f t="shared" si="2"/>
        <v>500001780279704510</v>
      </c>
      <c r="B184">
        <v>5025008537</v>
      </c>
      <c r="C184" s="10" t="s">
        <v>170</v>
      </c>
      <c r="D184" s="10">
        <v>45803</v>
      </c>
      <c r="E184">
        <v>2025</v>
      </c>
      <c r="F184">
        <v>1</v>
      </c>
      <c r="G184" s="60">
        <v>1</v>
      </c>
      <c r="I184" s="26">
        <v>5000017802</v>
      </c>
      <c r="J184" t="s">
        <v>37</v>
      </c>
      <c r="K184" t="s">
        <v>38</v>
      </c>
      <c r="M184">
        <v>79704510</v>
      </c>
      <c r="N184">
        <v>101</v>
      </c>
      <c r="O184" t="s">
        <v>171</v>
      </c>
      <c r="Q184" t="s">
        <v>35</v>
      </c>
      <c r="R184">
        <v>8640000</v>
      </c>
      <c r="T184">
        <v>1</v>
      </c>
      <c r="U184">
        <v>1</v>
      </c>
      <c r="Z184" t="s">
        <v>500</v>
      </c>
    </row>
    <row r="185" spans="1:31" x14ac:dyDescent="0.25">
      <c r="A185" t="str">
        <f t="shared" si="2"/>
        <v>500001429179704510</v>
      </c>
      <c r="B185">
        <v>5025008537</v>
      </c>
      <c r="C185" s="10" t="s">
        <v>170</v>
      </c>
      <c r="D185" s="10">
        <v>45803</v>
      </c>
      <c r="E185">
        <v>2025</v>
      </c>
      <c r="F185">
        <v>2</v>
      </c>
      <c r="G185" s="60">
        <v>1</v>
      </c>
      <c r="I185" s="26">
        <v>5000014291</v>
      </c>
      <c r="J185" t="s">
        <v>37</v>
      </c>
      <c r="K185" t="s">
        <v>38</v>
      </c>
      <c r="M185">
        <v>79704510</v>
      </c>
      <c r="N185">
        <v>101</v>
      </c>
      <c r="O185" t="s">
        <v>171</v>
      </c>
      <c r="Q185" t="s">
        <v>296</v>
      </c>
      <c r="R185">
        <v>92500</v>
      </c>
      <c r="T185">
        <v>1</v>
      </c>
      <c r="U185">
        <v>2</v>
      </c>
      <c r="Z185" t="s">
        <v>480</v>
      </c>
    </row>
    <row r="186" spans="1:31" x14ac:dyDescent="0.25">
      <c r="A186" t="str">
        <f t="shared" si="2"/>
        <v>500001597079704391</v>
      </c>
      <c r="B186">
        <v>5025008560</v>
      </c>
      <c r="C186" s="10" t="s">
        <v>170</v>
      </c>
      <c r="D186" s="10">
        <v>45803</v>
      </c>
      <c r="E186">
        <v>2025</v>
      </c>
      <c r="F186">
        <v>1</v>
      </c>
      <c r="G186" s="60">
        <v>1</v>
      </c>
      <c r="I186" s="26">
        <v>5000015970</v>
      </c>
      <c r="J186" t="s">
        <v>37</v>
      </c>
      <c r="K186" t="s">
        <v>38</v>
      </c>
      <c r="M186">
        <v>79704391</v>
      </c>
      <c r="N186">
        <v>101</v>
      </c>
      <c r="O186" t="s">
        <v>171</v>
      </c>
      <c r="Q186" t="s">
        <v>35</v>
      </c>
      <c r="R186">
        <v>48000</v>
      </c>
      <c r="T186">
        <v>1</v>
      </c>
      <c r="U186">
        <v>1</v>
      </c>
      <c r="Z186" t="s">
        <v>449</v>
      </c>
    </row>
    <row r="187" spans="1:31" x14ac:dyDescent="0.25">
      <c r="A187" t="str">
        <f t="shared" si="2"/>
        <v>500001349979704391</v>
      </c>
      <c r="B187">
        <v>5025008560</v>
      </c>
      <c r="C187" s="10" t="s">
        <v>170</v>
      </c>
      <c r="D187" s="10">
        <v>45803</v>
      </c>
      <c r="E187">
        <v>2025</v>
      </c>
      <c r="F187">
        <v>2</v>
      </c>
      <c r="G187" s="60">
        <v>1</v>
      </c>
      <c r="I187" s="26">
        <v>5000013499</v>
      </c>
      <c r="J187" t="s">
        <v>37</v>
      </c>
      <c r="K187" t="s">
        <v>38</v>
      </c>
      <c r="M187">
        <v>79704391</v>
      </c>
      <c r="N187">
        <v>101</v>
      </c>
      <c r="O187" t="s">
        <v>171</v>
      </c>
      <c r="Q187" t="s">
        <v>35</v>
      </c>
      <c r="R187">
        <v>290000</v>
      </c>
      <c r="T187">
        <v>1</v>
      </c>
      <c r="U187">
        <v>2</v>
      </c>
      <c r="Z187" t="s">
        <v>452</v>
      </c>
    </row>
    <row r="188" spans="1:31" x14ac:dyDescent="0.25">
      <c r="A188" t="str">
        <f t="shared" si="2"/>
        <v>500001630879704391</v>
      </c>
      <c r="B188">
        <v>5025008560</v>
      </c>
      <c r="C188" s="10" t="s">
        <v>170</v>
      </c>
      <c r="D188" s="10">
        <v>45803</v>
      </c>
      <c r="E188">
        <v>2025</v>
      </c>
      <c r="F188">
        <v>3</v>
      </c>
      <c r="G188" s="60">
        <v>2</v>
      </c>
      <c r="I188" s="26">
        <v>5000016308</v>
      </c>
      <c r="J188" t="s">
        <v>37</v>
      </c>
      <c r="K188" t="s">
        <v>38</v>
      </c>
      <c r="M188">
        <v>79704391</v>
      </c>
      <c r="N188">
        <v>101</v>
      </c>
      <c r="O188" t="s">
        <v>171</v>
      </c>
      <c r="Q188" t="s">
        <v>35</v>
      </c>
      <c r="R188">
        <v>5960000</v>
      </c>
      <c r="T188">
        <v>2</v>
      </c>
      <c r="U188">
        <v>3</v>
      </c>
      <c r="Z188" t="s">
        <v>484</v>
      </c>
    </row>
    <row r="189" spans="1:31" x14ac:dyDescent="0.25">
      <c r="A189" t="str">
        <f t="shared" si="2"/>
        <v>500000424879704712</v>
      </c>
      <c r="B189">
        <v>5025008563</v>
      </c>
      <c r="C189" s="10" t="s">
        <v>170</v>
      </c>
      <c r="D189" s="10">
        <v>45803</v>
      </c>
      <c r="E189">
        <v>2025</v>
      </c>
      <c r="F189">
        <v>1</v>
      </c>
      <c r="G189" s="60">
        <v>6</v>
      </c>
      <c r="I189" s="26">
        <v>5000004248</v>
      </c>
      <c r="J189" t="s">
        <v>37</v>
      </c>
      <c r="K189" t="s">
        <v>38</v>
      </c>
      <c r="M189">
        <v>79704712</v>
      </c>
      <c r="N189">
        <v>101</v>
      </c>
      <c r="O189" t="s">
        <v>171</v>
      </c>
      <c r="Q189" t="s">
        <v>93</v>
      </c>
      <c r="R189">
        <v>390000</v>
      </c>
      <c r="T189">
        <v>6</v>
      </c>
      <c r="U189">
        <v>1</v>
      </c>
      <c r="Z189" t="s">
        <v>486</v>
      </c>
      <c r="AB189">
        <v>0</v>
      </c>
      <c r="AC189">
        <v>0</v>
      </c>
      <c r="AE189">
        <v>0</v>
      </c>
    </row>
    <row r="190" spans="1:31" x14ac:dyDescent="0.25">
      <c r="A190" t="str">
        <f t="shared" si="2"/>
        <v>500000505979704712</v>
      </c>
      <c r="B190">
        <v>5025008563</v>
      </c>
      <c r="C190" s="10" t="s">
        <v>170</v>
      </c>
      <c r="D190" s="10">
        <v>45803</v>
      </c>
      <c r="E190">
        <v>2025</v>
      </c>
      <c r="F190">
        <v>2</v>
      </c>
      <c r="G190" s="60">
        <v>4</v>
      </c>
      <c r="I190" s="26">
        <v>5000005059</v>
      </c>
      <c r="J190" t="s">
        <v>37</v>
      </c>
      <c r="K190" t="s">
        <v>38</v>
      </c>
      <c r="M190">
        <v>79704712</v>
      </c>
      <c r="N190">
        <v>101</v>
      </c>
      <c r="O190" t="s">
        <v>171</v>
      </c>
      <c r="Q190" t="s">
        <v>93</v>
      </c>
      <c r="R190">
        <v>380000</v>
      </c>
      <c r="T190">
        <v>4</v>
      </c>
      <c r="U190">
        <v>2</v>
      </c>
      <c r="Z190" t="s">
        <v>487</v>
      </c>
      <c r="AB190">
        <v>0</v>
      </c>
      <c r="AC190">
        <v>0</v>
      </c>
      <c r="AE190">
        <v>0</v>
      </c>
    </row>
    <row r="191" spans="1:31" x14ac:dyDescent="0.25">
      <c r="A191" t="str">
        <f t="shared" si="2"/>
        <v>500000884379704712</v>
      </c>
      <c r="B191">
        <v>5025008563</v>
      </c>
      <c r="C191" s="10" t="s">
        <v>170</v>
      </c>
      <c r="D191" s="10">
        <v>45803</v>
      </c>
      <c r="E191">
        <v>2025</v>
      </c>
      <c r="F191">
        <v>3</v>
      </c>
      <c r="G191" s="60">
        <v>1</v>
      </c>
      <c r="I191" s="26">
        <v>5000008843</v>
      </c>
      <c r="J191" t="s">
        <v>37</v>
      </c>
      <c r="K191" t="s">
        <v>38</v>
      </c>
      <c r="M191">
        <v>79704712</v>
      </c>
      <c r="N191">
        <v>101</v>
      </c>
      <c r="O191" t="s">
        <v>171</v>
      </c>
      <c r="Q191" t="s">
        <v>35</v>
      </c>
      <c r="R191">
        <v>1025000</v>
      </c>
      <c r="T191">
        <v>1</v>
      </c>
      <c r="U191">
        <v>3</v>
      </c>
      <c r="Z191" t="s">
        <v>503</v>
      </c>
      <c r="AB191">
        <v>0</v>
      </c>
      <c r="AC191">
        <v>0</v>
      </c>
      <c r="AE191">
        <v>0</v>
      </c>
    </row>
    <row r="192" spans="1:31" x14ac:dyDescent="0.25">
      <c r="A192" t="str">
        <f t="shared" si="2"/>
        <v>500000505979704712</v>
      </c>
      <c r="B192">
        <v>5025008563</v>
      </c>
      <c r="C192" s="10" t="s">
        <v>170</v>
      </c>
      <c r="D192" s="10">
        <v>45803</v>
      </c>
      <c r="E192">
        <v>2025</v>
      </c>
      <c r="F192">
        <v>4</v>
      </c>
      <c r="G192" s="60">
        <v>1</v>
      </c>
      <c r="I192" s="26">
        <v>5000005059</v>
      </c>
      <c r="J192" t="s">
        <v>37</v>
      </c>
      <c r="K192" t="s">
        <v>38</v>
      </c>
      <c r="M192">
        <v>79704712</v>
      </c>
      <c r="N192">
        <v>101</v>
      </c>
      <c r="O192" t="s">
        <v>171</v>
      </c>
      <c r="Q192" t="s">
        <v>93</v>
      </c>
      <c r="R192">
        <v>95000</v>
      </c>
      <c r="T192">
        <v>1</v>
      </c>
      <c r="U192">
        <v>4</v>
      </c>
      <c r="Z192" t="s">
        <v>504</v>
      </c>
      <c r="AB192">
        <v>0</v>
      </c>
      <c r="AC192">
        <v>0</v>
      </c>
      <c r="AE192">
        <v>0</v>
      </c>
    </row>
    <row r="193" spans="1:31" x14ac:dyDescent="0.25">
      <c r="A193" t="str">
        <f t="shared" si="2"/>
        <v>500000424879704712</v>
      </c>
      <c r="B193">
        <v>5025008563</v>
      </c>
      <c r="C193" s="10" t="s">
        <v>170</v>
      </c>
      <c r="D193" s="10">
        <v>45803</v>
      </c>
      <c r="E193">
        <v>2025</v>
      </c>
      <c r="F193">
        <v>5</v>
      </c>
      <c r="G193" s="60">
        <v>1</v>
      </c>
      <c r="I193" s="26">
        <v>5000004248</v>
      </c>
      <c r="J193" t="s">
        <v>37</v>
      </c>
      <c r="K193" t="s">
        <v>38</v>
      </c>
      <c r="M193">
        <v>79704712</v>
      </c>
      <c r="N193">
        <v>101</v>
      </c>
      <c r="O193" t="s">
        <v>171</v>
      </c>
      <c r="Q193" t="s">
        <v>93</v>
      </c>
      <c r="R193">
        <v>65000</v>
      </c>
      <c r="T193">
        <v>1</v>
      </c>
      <c r="U193">
        <v>5</v>
      </c>
      <c r="Z193" t="s">
        <v>505</v>
      </c>
      <c r="AB193">
        <v>0</v>
      </c>
      <c r="AC193">
        <v>0</v>
      </c>
      <c r="AE193">
        <v>0</v>
      </c>
    </row>
    <row r="194" spans="1:31" x14ac:dyDescent="0.25">
      <c r="A194" t="str">
        <f t="shared" ref="A194:A257" si="3">I194&amp;M194</f>
        <v>500001202179704712</v>
      </c>
      <c r="B194">
        <v>5025008563</v>
      </c>
      <c r="C194" s="10" t="s">
        <v>170</v>
      </c>
      <c r="D194" s="10">
        <v>45803</v>
      </c>
      <c r="E194">
        <v>2025</v>
      </c>
      <c r="F194">
        <v>6</v>
      </c>
      <c r="G194" s="60">
        <v>1</v>
      </c>
      <c r="I194" s="26">
        <v>5000012021</v>
      </c>
      <c r="J194" t="s">
        <v>37</v>
      </c>
      <c r="K194" t="s">
        <v>38</v>
      </c>
      <c r="M194">
        <v>79704712</v>
      </c>
      <c r="N194">
        <v>101</v>
      </c>
      <c r="O194" t="s">
        <v>171</v>
      </c>
      <c r="Q194" t="s">
        <v>93</v>
      </c>
      <c r="R194">
        <v>30000</v>
      </c>
      <c r="T194">
        <v>1</v>
      </c>
      <c r="U194">
        <v>6</v>
      </c>
      <c r="Z194" t="s">
        <v>506</v>
      </c>
      <c r="AB194">
        <v>0</v>
      </c>
      <c r="AC194">
        <v>0</v>
      </c>
      <c r="AE194">
        <v>0</v>
      </c>
    </row>
    <row r="195" spans="1:31" x14ac:dyDescent="0.25">
      <c r="A195" t="str">
        <f t="shared" si="3"/>
        <v>500000892979704714</v>
      </c>
      <c r="B195">
        <v>5025008564</v>
      </c>
      <c r="C195" s="10" t="s">
        <v>170</v>
      </c>
      <c r="D195" s="10">
        <v>45803</v>
      </c>
      <c r="E195">
        <v>2025</v>
      </c>
      <c r="F195">
        <v>1</v>
      </c>
      <c r="G195" s="60">
        <v>1</v>
      </c>
      <c r="I195" s="26">
        <v>5000008929</v>
      </c>
      <c r="J195" t="s">
        <v>37</v>
      </c>
      <c r="K195" t="s">
        <v>38</v>
      </c>
      <c r="M195">
        <v>79704714</v>
      </c>
      <c r="N195">
        <v>101</v>
      </c>
      <c r="O195" t="s">
        <v>171</v>
      </c>
      <c r="Q195" t="s">
        <v>93</v>
      </c>
      <c r="R195">
        <v>150000</v>
      </c>
      <c r="T195">
        <v>1</v>
      </c>
      <c r="U195">
        <v>1</v>
      </c>
      <c r="Z195" t="s">
        <v>485</v>
      </c>
      <c r="AB195">
        <v>0</v>
      </c>
      <c r="AC195">
        <v>0</v>
      </c>
      <c r="AE195">
        <v>0</v>
      </c>
    </row>
    <row r="196" spans="1:31" x14ac:dyDescent="0.25">
      <c r="A196" t="str">
        <f t="shared" si="3"/>
        <v>500000884379704714</v>
      </c>
      <c r="B196">
        <v>5025008564</v>
      </c>
      <c r="C196" s="10" t="s">
        <v>170</v>
      </c>
      <c r="D196" s="10">
        <v>45803</v>
      </c>
      <c r="E196">
        <v>2025</v>
      </c>
      <c r="F196">
        <v>2</v>
      </c>
      <c r="G196" s="60">
        <v>1</v>
      </c>
      <c r="I196" s="26">
        <v>5000008843</v>
      </c>
      <c r="J196" t="s">
        <v>37</v>
      </c>
      <c r="K196" t="s">
        <v>38</v>
      </c>
      <c r="M196">
        <v>79704714</v>
      </c>
      <c r="N196">
        <v>101</v>
      </c>
      <c r="O196" t="s">
        <v>171</v>
      </c>
      <c r="Q196" t="s">
        <v>35</v>
      </c>
      <c r="R196">
        <v>1025000</v>
      </c>
      <c r="T196">
        <v>1</v>
      </c>
      <c r="U196">
        <v>2</v>
      </c>
      <c r="Z196" t="s">
        <v>507</v>
      </c>
      <c r="AB196">
        <v>0</v>
      </c>
      <c r="AC196">
        <v>0</v>
      </c>
      <c r="AE196">
        <v>0</v>
      </c>
    </row>
    <row r="197" spans="1:31" x14ac:dyDescent="0.25">
      <c r="A197" t="str">
        <f t="shared" si="3"/>
        <v>500000505979704714</v>
      </c>
      <c r="B197">
        <v>5025008564</v>
      </c>
      <c r="C197" s="10" t="s">
        <v>170</v>
      </c>
      <c r="D197" s="10">
        <v>45803</v>
      </c>
      <c r="E197">
        <v>2025</v>
      </c>
      <c r="F197">
        <v>3</v>
      </c>
      <c r="G197" s="60">
        <v>1</v>
      </c>
      <c r="I197" s="26">
        <v>5000005059</v>
      </c>
      <c r="J197" t="s">
        <v>37</v>
      </c>
      <c r="K197" t="s">
        <v>38</v>
      </c>
      <c r="M197">
        <v>79704714</v>
      </c>
      <c r="N197">
        <v>101</v>
      </c>
      <c r="O197" t="s">
        <v>171</v>
      </c>
      <c r="Q197" t="s">
        <v>93</v>
      </c>
      <c r="R197">
        <v>95000</v>
      </c>
      <c r="T197">
        <v>1</v>
      </c>
      <c r="U197">
        <v>3</v>
      </c>
      <c r="Z197" t="s">
        <v>507</v>
      </c>
      <c r="AB197">
        <v>0</v>
      </c>
      <c r="AC197">
        <v>0</v>
      </c>
      <c r="AE197">
        <v>0</v>
      </c>
    </row>
    <row r="198" spans="1:31" x14ac:dyDescent="0.25">
      <c r="A198" t="str">
        <f t="shared" si="3"/>
        <v>500000424879704714</v>
      </c>
      <c r="B198">
        <v>5025008564</v>
      </c>
      <c r="C198" s="10" t="s">
        <v>170</v>
      </c>
      <c r="D198" s="10">
        <v>45803</v>
      </c>
      <c r="E198">
        <v>2025</v>
      </c>
      <c r="F198">
        <v>4</v>
      </c>
      <c r="G198" s="60">
        <v>1</v>
      </c>
      <c r="I198" s="26">
        <v>5000004248</v>
      </c>
      <c r="J198" t="s">
        <v>37</v>
      </c>
      <c r="K198" t="s">
        <v>38</v>
      </c>
      <c r="M198">
        <v>79704714</v>
      </c>
      <c r="N198">
        <v>101</v>
      </c>
      <c r="O198" t="s">
        <v>171</v>
      </c>
      <c r="Q198" t="s">
        <v>93</v>
      </c>
      <c r="R198">
        <v>65000</v>
      </c>
      <c r="T198">
        <v>1</v>
      </c>
      <c r="U198">
        <v>4</v>
      </c>
      <c r="Z198" t="s">
        <v>507</v>
      </c>
      <c r="AB198">
        <v>0</v>
      </c>
      <c r="AC198">
        <v>0</v>
      </c>
      <c r="AE198">
        <v>0</v>
      </c>
    </row>
    <row r="199" spans="1:31" x14ac:dyDescent="0.25">
      <c r="A199" t="str">
        <f t="shared" si="3"/>
        <v>500001202179704714</v>
      </c>
      <c r="B199">
        <v>5025008564</v>
      </c>
      <c r="C199" s="10" t="s">
        <v>170</v>
      </c>
      <c r="D199" s="10">
        <v>45803</v>
      </c>
      <c r="E199">
        <v>2025</v>
      </c>
      <c r="F199">
        <v>5</v>
      </c>
      <c r="G199" s="60">
        <v>1</v>
      </c>
      <c r="I199" s="26">
        <v>5000012021</v>
      </c>
      <c r="J199" t="s">
        <v>37</v>
      </c>
      <c r="K199" t="s">
        <v>38</v>
      </c>
      <c r="M199">
        <v>79704714</v>
      </c>
      <c r="N199">
        <v>101</v>
      </c>
      <c r="O199" t="s">
        <v>171</v>
      </c>
      <c r="Q199" t="s">
        <v>93</v>
      </c>
      <c r="R199">
        <v>30000</v>
      </c>
      <c r="T199">
        <v>1</v>
      </c>
      <c r="U199">
        <v>5</v>
      </c>
      <c r="Z199" t="s">
        <v>507</v>
      </c>
      <c r="AB199">
        <v>0</v>
      </c>
      <c r="AC199">
        <v>0</v>
      </c>
      <c r="AE199">
        <v>0</v>
      </c>
    </row>
    <row r="200" spans="1:31" x14ac:dyDescent="0.25">
      <c r="A200" t="str">
        <f t="shared" si="3"/>
        <v>500001630879704689</v>
      </c>
      <c r="B200">
        <v>5025008629</v>
      </c>
      <c r="C200" s="10" t="s">
        <v>170</v>
      </c>
      <c r="D200" s="10">
        <v>45804</v>
      </c>
      <c r="E200">
        <v>2025</v>
      </c>
      <c r="F200">
        <v>1</v>
      </c>
      <c r="G200" s="60">
        <v>1</v>
      </c>
      <c r="I200" s="26">
        <v>5000016308</v>
      </c>
      <c r="J200" t="s">
        <v>37</v>
      </c>
      <c r="K200" t="s">
        <v>38</v>
      </c>
      <c r="M200">
        <v>79704689</v>
      </c>
      <c r="N200">
        <v>101</v>
      </c>
      <c r="O200" t="s">
        <v>171</v>
      </c>
      <c r="Q200" t="s">
        <v>35</v>
      </c>
      <c r="R200">
        <v>2980000</v>
      </c>
      <c r="T200">
        <v>1</v>
      </c>
      <c r="U200">
        <v>1</v>
      </c>
      <c r="Z200" t="s">
        <v>501</v>
      </c>
    </row>
    <row r="201" spans="1:31" x14ac:dyDescent="0.25">
      <c r="A201" t="str">
        <f t="shared" si="3"/>
        <v>500000424879704893</v>
      </c>
      <c r="B201">
        <v>5025008847</v>
      </c>
      <c r="C201" s="10" t="s">
        <v>170</v>
      </c>
      <c r="D201" s="10">
        <v>45808</v>
      </c>
      <c r="E201">
        <v>2025</v>
      </c>
      <c r="F201">
        <v>1</v>
      </c>
      <c r="G201" s="60">
        <v>13</v>
      </c>
      <c r="I201" s="26">
        <v>5000004248</v>
      </c>
      <c r="J201" t="s">
        <v>37</v>
      </c>
      <c r="K201" t="s">
        <v>38</v>
      </c>
      <c r="M201">
        <v>79704893</v>
      </c>
      <c r="N201">
        <v>101</v>
      </c>
      <c r="O201" t="s">
        <v>171</v>
      </c>
      <c r="Q201" t="s">
        <v>93</v>
      </c>
      <c r="R201">
        <v>845000</v>
      </c>
      <c r="T201">
        <v>13</v>
      </c>
      <c r="U201">
        <v>1</v>
      </c>
      <c r="Z201" t="s">
        <v>511</v>
      </c>
    </row>
    <row r="202" spans="1:31" x14ac:dyDescent="0.25">
      <c r="A202" t="str">
        <f t="shared" si="3"/>
        <v>500000884379704893</v>
      </c>
      <c r="B202">
        <v>5025008847</v>
      </c>
      <c r="C202" s="10" t="s">
        <v>170</v>
      </c>
      <c r="D202" s="10">
        <v>45808</v>
      </c>
      <c r="E202">
        <v>2025</v>
      </c>
      <c r="F202">
        <v>2</v>
      </c>
      <c r="G202" s="60">
        <v>1</v>
      </c>
      <c r="I202" s="26">
        <v>5000008843</v>
      </c>
      <c r="J202" t="s">
        <v>37</v>
      </c>
      <c r="K202" t="s">
        <v>38</v>
      </c>
      <c r="M202">
        <v>79704893</v>
      </c>
      <c r="N202">
        <v>101</v>
      </c>
      <c r="O202" t="s">
        <v>171</v>
      </c>
      <c r="Q202" t="s">
        <v>35</v>
      </c>
      <c r="R202">
        <v>1025000</v>
      </c>
      <c r="T202">
        <v>1</v>
      </c>
      <c r="U202">
        <v>2</v>
      </c>
      <c r="Z202" t="s">
        <v>512</v>
      </c>
    </row>
    <row r="203" spans="1:31" x14ac:dyDescent="0.25">
      <c r="A203" t="str">
        <f t="shared" si="3"/>
        <v>500000505979704893</v>
      </c>
      <c r="B203">
        <v>5025008847</v>
      </c>
      <c r="C203" s="10" t="s">
        <v>170</v>
      </c>
      <c r="D203" s="10">
        <v>45808</v>
      </c>
      <c r="E203">
        <v>2025</v>
      </c>
      <c r="F203">
        <v>3</v>
      </c>
      <c r="G203" s="60">
        <v>1</v>
      </c>
      <c r="I203" s="26">
        <v>5000005059</v>
      </c>
      <c r="J203" t="s">
        <v>37</v>
      </c>
      <c r="K203" t="s">
        <v>38</v>
      </c>
      <c r="M203">
        <v>79704893</v>
      </c>
      <c r="N203">
        <v>101</v>
      </c>
      <c r="O203" t="s">
        <v>171</v>
      </c>
      <c r="Q203" t="s">
        <v>93</v>
      </c>
      <c r="R203">
        <v>95000</v>
      </c>
      <c r="T203">
        <v>1</v>
      </c>
      <c r="U203">
        <v>3</v>
      </c>
      <c r="Z203" t="s">
        <v>514</v>
      </c>
    </row>
    <row r="204" spans="1:31" x14ac:dyDescent="0.25">
      <c r="A204" t="str">
        <f t="shared" si="3"/>
        <v>500001175479704893</v>
      </c>
      <c r="B204">
        <v>5025008847</v>
      </c>
      <c r="C204" s="10" t="s">
        <v>170</v>
      </c>
      <c r="D204" s="10">
        <v>45808</v>
      </c>
      <c r="E204">
        <v>2025</v>
      </c>
      <c r="F204">
        <v>4</v>
      </c>
      <c r="G204" s="60">
        <v>1</v>
      </c>
      <c r="I204" s="26">
        <v>5000011754</v>
      </c>
      <c r="J204" t="s">
        <v>37</v>
      </c>
      <c r="K204" t="s">
        <v>38</v>
      </c>
      <c r="M204">
        <v>79704893</v>
      </c>
      <c r="N204">
        <v>101</v>
      </c>
      <c r="O204" t="s">
        <v>171</v>
      </c>
      <c r="Q204" t="s">
        <v>93</v>
      </c>
      <c r="R204">
        <v>20000</v>
      </c>
      <c r="T204">
        <v>1</v>
      </c>
      <c r="U204">
        <v>4</v>
      </c>
      <c r="Z204" t="s">
        <v>515</v>
      </c>
    </row>
    <row r="205" spans="1:31" x14ac:dyDescent="0.25">
      <c r="A205" t="str">
        <f t="shared" si="3"/>
        <v>500001202179704893</v>
      </c>
      <c r="B205">
        <v>5025008847</v>
      </c>
      <c r="C205" s="10" t="s">
        <v>170</v>
      </c>
      <c r="D205" s="10">
        <v>45808</v>
      </c>
      <c r="E205">
        <v>2025</v>
      </c>
      <c r="F205">
        <v>5</v>
      </c>
      <c r="G205" s="60">
        <v>1</v>
      </c>
      <c r="I205" s="26">
        <v>5000012021</v>
      </c>
      <c r="J205" t="s">
        <v>37</v>
      </c>
      <c r="K205" t="s">
        <v>38</v>
      </c>
      <c r="M205">
        <v>79704893</v>
      </c>
      <c r="N205">
        <v>101</v>
      </c>
      <c r="O205" t="s">
        <v>171</v>
      </c>
      <c r="Q205" t="s">
        <v>93</v>
      </c>
      <c r="R205">
        <v>30000</v>
      </c>
      <c r="T205">
        <v>1</v>
      </c>
      <c r="U205">
        <v>5</v>
      </c>
      <c r="Z205" t="s">
        <v>516</v>
      </c>
    </row>
    <row r="206" spans="1:31" x14ac:dyDescent="0.25">
      <c r="A206" t="str">
        <f t="shared" si="3"/>
        <v>500001630879704894</v>
      </c>
      <c r="B206">
        <v>5025008850</v>
      </c>
      <c r="C206" s="10" t="s">
        <v>170</v>
      </c>
      <c r="D206" s="10">
        <v>45808</v>
      </c>
      <c r="E206">
        <v>2025</v>
      </c>
      <c r="F206">
        <v>1</v>
      </c>
      <c r="G206" s="60">
        <v>1</v>
      </c>
      <c r="I206" s="26">
        <v>5000016308</v>
      </c>
      <c r="J206" t="s">
        <v>37</v>
      </c>
      <c r="K206" t="s">
        <v>38</v>
      </c>
      <c r="M206">
        <v>79704894</v>
      </c>
      <c r="N206">
        <v>101</v>
      </c>
      <c r="O206" t="s">
        <v>171</v>
      </c>
      <c r="Q206" t="s">
        <v>35</v>
      </c>
      <c r="R206">
        <v>2980000</v>
      </c>
      <c r="T206">
        <v>1</v>
      </c>
      <c r="U206">
        <v>1</v>
      </c>
      <c r="Z206" t="s">
        <v>522</v>
      </c>
    </row>
    <row r="207" spans="1:31" x14ac:dyDescent="0.25">
      <c r="A207" t="str">
        <f t="shared" si="3"/>
        <v>500000534079704858</v>
      </c>
      <c r="B207">
        <v>5025008986</v>
      </c>
      <c r="C207" s="10" t="s">
        <v>170</v>
      </c>
      <c r="D207" s="10">
        <v>45811</v>
      </c>
      <c r="E207">
        <v>2025</v>
      </c>
      <c r="F207">
        <v>1</v>
      </c>
      <c r="G207" s="60">
        <v>5</v>
      </c>
      <c r="I207" s="26">
        <v>5000005340</v>
      </c>
      <c r="J207" t="s">
        <v>37</v>
      </c>
      <c r="K207" t="s">
        <v>38</v>
      </c>
      <c r="M207">
        <v>79704858</v>
      </c>
      <c r="N207">
        <v>101</v>
      </c>
      <c r="O207" t="s">
        <v>171</v>
      </c>
      <c r="Q207" t="s">
        <v>35</v>
      </c>
      <c r="R207">
        <v>775000</v>
      </c>
      <c r="T207">
        <v>5</v>
      </c>
      <c r="U207">
        <v>1</v>
      </c>
      <c r="Z207" t="s">
        <v>473</v>
      </c>
    </row>
    <row r="208" spans="1:31" x14ac:dyDescent="0.25">
      <c r="A208" t="str">
        <f t="shared" si="3"/>
        <v>500000534079704858</v>
      </c>
      <c r="B208">
        <v>5025008986</v>
      </c>
      <c r="C208" s="10" t="s">
        <v>170</v>
      </c>
      <c r="D208" s="10">
        <v>45811</v>
      </c>
      <c r="E208">
        <v>2025</v>
      </c>
      <c r="F208">
        <v>2</v>
      </c>
      <c r="G208" s="60">
        <v>1</v>
      </c>
      <c r="I208" s="26">
        <v>5000005340</v>
      </c>
      <c r="J208" t="s">
        <v>37</v>
      </c>
      <c r="K208" t="s">
        <v>38</v>
      </c>
      <c r="M208">
        <v>79704858</v>
      </c>
      <c r="N208">
        <v>101</v>
      </c>
      <c r="O208" t="s">
        <v>171</v>
      </c>
      <c r="Q208" t="s">
        <v>35</v>
      </c>
      <c r="R208">
        <v>155000</v>
      </c>
      <c r="T208">
        <v>1</v>
      </c>
      <c r="U208">
        <v>2</v>
      </c>
      <c r="Z208" t="s">
        <v>493</v>
      </c>
    </row>
    <row r="209" spans="1:31" x14ac:dyDescent="0.25">
      <c r="A209" t="str">
        <f t="shared" si="3"/>
        <v>500001364079704858</v>
      </c>
      <c r="B209">
        <v>5025008986</v>
      </c>
      <c r="C209" s="10" t="s">
        <v>170</v>
      </c>
      <c r="D209" s="10">
        <v>45811</v>
      </c>
      <c r="E209">
        <v>2025</v>
      </c>
      <c r="F209">
        <v>3</v>
      </c>
      <c r="G209" s="60">
        <v>5</v>
      </c>
      <c r="I209" s="26">
        <v>5000013640</v>
      </c>
      <c r="J209" t="s">
        <v>37</v>
      </c>
      <c r="K209" t="s">
        <v>38</v>
      </c>
      <c r="M209">
        <v>79704858</v>
      </c>
      <c r="N209">
        <v>101</v>
      </c>
      <c r="O209" t="s">
        <v>171</v>
      </c>
      <c r="Q209" t="s">
        <v>93</v>
      </c>
      <c r="R209">
        <v>75000</v>
      </c>
      <c r="T209">
        <v>5</v>
      </c>
      <c r="U209">
        <v>3</v>
      </c>
      <c r="Z209" t="s">
        <v>495</v>
      </c>
    </row>
    <row r="210" spans="1:31" x14ac:dyDescent="0.25">
      <c r="A210" t="str">
        <f t="shared" si="3"/>
        <v>500001658579704858</v>
      </c>
      <c r="B210">
        <v>5025008986</v>
      </c>
      <c r="C210" s="10" t="s">
        <v>170</v>
      </c>
      <c r="D210" s="10">
        <v>45811</v>
      </c>
      <c r="E210">
        <v>2025</v>
      </c>
      <c r="F210">
        <v>4</v>
      </c>
      <c r="G210" s="60">
        <v>1</v>
      </c>
      <c r="I210" s="26">
        <v>5000016585</v>
      </c>
      <c r="J210" t="s">
        <v>37</v>
      </c>
      <c r="K210" t="s">
        <v>38</v>
      </c>
      <c r="M210">
        <v>79704858</v>
      </c>
      <c r="N210">
        <v>101</v>
      </c>
      <c r="O210" t="s">
        <v>171</v>
      </c>
      <c r="Q210" t="s">
        <v>35</v>
      </c>
      <c r="R210">
        <v>25000</v>
      </c>
      <c r="T210">
        <v>1</v>
      </c>
      <c r="U210">
        <v>4</v>
      </c>
      <c r="Z210" t="s">
        <v>496</v>
      </c>
    </row>
    <row r="211" spans="1:31" x14ac:dyDescent="0.25">
      <c r="A211" t="str">
        <f t="shared" si="3"/>
        <v>500001466879704853</v>
      </c>
      <c r="B211">
        <v>5025009018</v>
      </c>
      <c r="C211" s="10" t="s">
        <v>170</v>
      </c>
      <c r="D211" s="10">
        <v>45811</v>
      </c>
      <c r="E211">
        <v>2025</v>
      </c>
      <c r="F211">
        <v>1</v>
      </c>
      <c r="G211" s="60">
        <v>1</v>
      </c>
      <c r="I211" s="26">
        <v>5000014668</v>
      </c>
      <c r="J211" t="s">
        <v>37</v>
      </c>
      <c r="K211" t="s">
        <v>38</v>
      </c>
      <c r="M211">
        <v>79704853</v>
      </c>
      <c r="N211">
        <v>101</v>
      </c>
      <c r="O211" t="s">
        <v>171</v>
      </c>
      <c r="Q211" t="s">
        <v>35</v>
      </c>
      <c r="R211">
        <v>2550000</v>
      </c>
      <c r="T211">
        <v>1</v>
      </c>
      <c r="U211">
        <v>1</v>
      </c>
      <c r="Z211" t="s">
        <v>497</v>
      </c>
    </row>
    <row r="212" spans="1:31" x14ac:dyDescent="0.25">
      <c r="A212" t="str">
        <f t="shared" si="3"/>
        <v>500001782879705208</v>
      </c>
      <c r="B212">
        <v>5025009492</v>
      </c>
      <c r="C212" s="10" t="s">
        <v>170</v>
      </c>
      <c r="D212" s="10">
        <v>45819</v>
      </c>
      <c r="E212">
        <v>2025</v>
      </c>
      <c r="F212">
        <v>1</v>
      </c>
      <c r="G212" s="60">
        <v>1</v>
      </c>
      <c r="I212" s="26">
        <v>5000017828</v>
      </c>
      <c r="J212" t="s">
        <v>37</v>
      </c>
      <c r="K212" t="s">
        <v>38</v>
      </c>
      <c r="M212">
        <v>79705208</v>
      </c>
      <c r="N212">
        <v>101</v>
      </c>
      <c r="O212" t="s">
        <v>171</v>
      </c>
      <c r="Q212" t="s">
        <v>35</v>
      </c>
      <c r="R212">
        <v>29729729.800000001</v>
      </c>
      <c r="T212">
        <v>1</v>
      </c>
      <c r="U212">
        <v>1</v>
      </c>
      <c r="Z212" t="s">
        <v>537</v>
      </c>
      <c r="AB212">
        <v>0</v>
      </c>
      <c r="AC212">
        <v>0</v>
      </c>
      <c r="AE212">
        <v>0</v>
      </c>
    </row>
    <row r="213" spans="1:31" x14ac:dyDescent="0.25">
      <c r="A213" t="str">
        <f t="shared" si="3"/>
        <v>500001509179705286</v>
      </c>
      <c r="B213">
        <v>5025009615</v>
      </c>
      <c r="C213" s="10" t="s">
        <v>170</v>
      </c>
      <c r="D213" s="10">
        <v>45821</v>
      </c>
      <c r="E213">
        <v>2025</v>
      </c>
      <c r="F213">
        <v>1</v>
      </c>
      <c r="G213" s="60">
        <v>1</v>
      </c>
      <c r="I213" s="26">
        <v>5000015091</v>
      </c>
      <c r="J213" t="s">
        <v>37</v>
      </c>
      <c r="K213" t="s">
        <v>38</v>
      </c>
      <c r="M213">
        <v>79705286</v>
      </c>
      <c r="N213">
        <v>101</v>
      </c>
      <c r="O213" t="s">
        <v>171</v>
      </c>
      <c r="Q213" t="s">
        <v>296</v>
      </c>
      <c r="R213">
        <v>90000</v>
      </c>
      <c r="T213">
        <v>1</v>
      </c>
      <c r="U213">
        <v>1</v>
      </c>
      <c r="Z213" t="s">
        <v>521</v>
      </c>
    </row>
    <row r="214" spans="1:31" x14ac:dyDescent="0.25">
      <c r="A214" t="str">
        <f t="shared" si="3"/>
        <v>500001672879704950</v>
      </c>
      <c r="B214">
        <v>5025009654</v>
      </c>
      <c r="C214" s="10" t="s">
        <v>170</v>
      </c>
      <c r="D214" s="10">
        <v>45822</v>
      </c>
      <c r="E214">
        <v>2025</v>
      </c>
      <c r="F214">
        <v>1</v>
      </c>
      <c r="G214" s="60">
        <v>1</v>
      </c>
      <c r="I214" s="26">
        <v>5000016728</v>
      </c>
      <c r="J214" t="s">
        <v>37</v>
      </c>
      <c r="K214" t="s">
        <v>38</v>
      </c>
      <c r="M214">
        <v>79704950</v>
      </c>
      <c r="N214">
        <v>101</v>
      </c>
      <c r="O214" t="s">
        <v>171</v>
      </c>
      <c r="Q214" t="s">
        <v>35</v>
      </c>
      <c r="R214">
        <v>346847</v>
      </c>
      <c r="T214">
        <v>1</v>
      </c>
      <c r="U214">
        <v>1</v>
      </c>
      <c r="Z214" t="s">
        <v>523</v>
      </c>
      <c r="AB214">
        <v>0</v>
      </c>
      <c r="AC214">
        <v>0</v>
      </c>
      <c r="AE214">
        <v>0</v>
      </c>
    </row>
    <row r="215" spans="1:31" x14ac:dyDescent="0.25">
      <c r="A215" t="str">
        <f t="shared" si="3"/>
        <v>500001300879705275</v>
      </c>
      <c r="B215">
        <v>5025009657</v>
      </c>
      <c r="C215" s="10" t="s">
        <v>170</v>
      </c>
      <c r="D215" s="10">
        <v>45822</v>
      </c>
      <c r="E215">
        <v>2025</v>
      </c>
      <c r="F215">
        <v>1</v>
      </c>
      <c r="G215" s="60">
        <v>1</v>
      </c>
      <c r="I215" s="26">
        <v>5000013008</v>
      </c>
      <c r="J215" t="s">
        <v>37</v>
      </c>
      <c r="K215" t="s">
        <v>38</v>
      </c>
      <c r="M215">
        <v>79705275</v>
      </c>
      <c r="N215">
        <v>101</v>
      </c>
      <c r="O215" t="s">
        <v>171</v>
      </c>
      <c r="Q215" t="s">
        <v>35</v>
      </c>
      <c r="R215">
        <v>3288288.3</v>
      </c>
      <c r="T215">
        <v>1</v>
      </c>
      <c r="U215">
        <v>1</v>
      </c>
      <c r="Z215" t="s">
        <v>541</v>
      </c>
      <c r="AB215">
        <v>0</v>
      </c>
      <c r="AC215">
        <v>0</v>
      </c>
      <c r="AE215">
        <v>0</v>
      </c>
    </row>
    <row r="216" spans="1:31" x14ac:dyDescent="0.25">
      <c r="A216" t="str">
        <f t="shared" si="3"/>
        <v>500001672879705275</v>
      </c>
      <c r="B216">
        <v>5025009657</v>
      </c>
      <c r="C216" s="10" t="s">
        <v>170</v>
      </c>
      <c r="D216" s="10">
        <v>45822</v>
      </c>
      <c r="E216">
        <v>2025</v>
      </c>
      <c r="F216">
        <v>2</v>
      </c>
      <c r="G216" s="60">
        <v>1</v>
      </c>
      <c r="I216" s="26">
        <v>5000016728</v>
      </c>
      <c r="J216" t="s">
        <v>37</v>
      </c>
      <c r="K216" t="s">
        <v>38</v>
      </c>
      <c r="M216">
        <v>79705275</v>
      </c>
      <c r="N216">
        <v>101</v>
      </c>
      <c r="O216" t="s">
        <v>171</v>
      </c>
      <c r="Q216" t="s">
        <v>35</v>
      </c>
      <c r="R216">
        <v>346847</v>
      </c>
      <c r="T216">
        <v>1</v>
      </c>
      <c r="U216">
        <v>2</v>
      </c>
      <c r="Z216" t="s">
        <v>542</v>
      </c>
      <c r="AB216">
        <v>0</v>
      </c>
      <c r="AC216">
        <v>0</v>
      </c>
      <c r="AE216">
        <v>0</v>
      </c>
    </row>
    <row r="217" spans="1:31" x14ac:dyDescent="0.25">
      <c r="A217" t="str">
        <f t="shared" si="3"/>
        <v>500000073979705275</v>
      </c>
      <c r="B217">
        <v>5025009657</v>
      </c>
      <c r="C217" s="10" t="s">
        <v>170</v>
      </c>
      <c r="D217" s="10">
        <v>45822</v>
      </c>
      <c r="E217">
        <v>2025</v>
      </c>
      <c r="F217">
        <v>3</v>
      </c>
      <c r="G217" s="60">
        <v>1</v>
      </c>
      <c r="I217" s="26">
        <v>5000000739</v>
      </c>
      <c r="J217" t="s">
        <v>37</v>
      </c>
      <c r="K217" t="s">
        <v>38</v>
      </c>
      <c r="M217">
        <v>79705275</v>
      </c>
      <c r="N217">
        <v>101</v>
      </c>
      <c r="O217" t="s">
        <v>171</v>
      </c>
      <c r="Q217" t="s">
        <v>262</v>
      </c>
      <c r="R217">
        <v>2072072.1</v>
      </c>
      <c r="T217">
        <v>1</v>
      </c>
      <c r="U217">
        <v>3</v>
      </c>
      <c r="Z217" t="s">
        <v>543</v>
      </c>
      <c r="AB217">
        <v>0</v>
      </c>
      <c r="AC217">
        <v>0</v>
      </c>
      <c r="AE217">
        <v>0</v>
      </c>
    </row>
    <row r="218" spans="1:31" x14ac:dyDescent="0.25">
      <c r="A218" t="str">
        <f t="shared" si="3"/>
        <v>500000505979705285</v>
      </c>
      <c r="B218">
        <v>5025009664</v>
      </c>
      <c r="C218" s="10" t="s">
        <v>170</v>
      </c>
      <c r="D218" s="10">
        <v>45822</v>
      </c>
      <c r="E218">
        <v>2025</v>
      </c>
      <c r="F218">
        <v>1</v>
      </c>
      <c r="G218" s="60">
        <v>10</v>
      </c>
      <c r="I218" s="26">
        <v>5000005059</v>
      </c>
      <c r="J218" t="s">
        <v>37</v>
      </c>
      <c r="K218" t="s">
        <v>38</v>
      </c>
      <c r="M218">
        <v>79705285</v>
      </c>
      <c r="N218">
        <v>101</v>
      </c>
      <c r="O218" t="s">
        <v>171</v>
      </c>
      <c r="Q218" t="s">
        <v>93</v>
      </c>
      <c r="R218">
        <v>950000</v>
      </c>
      <c r="T218">
        <v>10</v>
      </c>
      <c r="U218">
        <v>1</v>
      </c>
      <c r="Z218" t="s">
        <v>517</v>
      </c>
    </row>
    <row r="219" spans="1:31" x14ac:dyDescent="0.25">
      <c r="A219" t="str">
        <f t="shared" si="3"/>
        <v>500000534079705285</v>
      </c>
      <c r="B219">
        <v>5025009664</v>
      </c>
      <c r="C219" s="10" t="s">
        <v>170</v>
      </c>
      <c r="D219" s="10">
        <v>45822</v>
      </c>
      <c r="E219">
        <v>2025</v>
      </c>
      <c r="F219">
        <v>2</v>
      </c>
      <c r="G219" s="60">
        <v>1</v>
      </c>
      <c r="I219" s="26">
        <v>5000005340</v>
      </c>
      <c r="J219" t="s">
        <v>37</v>
      </c>
      <c r="K219" t="s">
        <v>38</v>
      </c>
      <c r="M219">
        <v>79705285</v>
      </c>
      <c r="N219">
        <v>101</v>
      </c>
      <c r="O219" t="s">
        <v>171</v>
      </c>
      <c r="Q219" t="s">
        <v>35</v>
      </c>
      <c r="R219">
        <v>155000</v>
      </c>
      <c r="T219">
        <v>1</v>
      </c>
      <c r="U219">
        <v>2</v>
      </c>
      <c r="Z219" t="s">
        <v>518</v>
      </c>
    </row>
    <row r="220" spans="1:31" x14ac:dyDescent="0.25">
      <c r="A220" t="str">
        <f t="shared" si="3"/>
        <v>500000884379705285</v>
      </c>
      <c r="B220">
        <v>5025009664</v>
      </c>
      <c r="C220" s="10" t="s">
        <v>170</v>
      </c>
      <c r="D220" s="10">
        <v>45822</v>
      </c>
      <c r="E220">
        <v>2025</v>
      </c>
      <c r="F220">
        <v>3</v>
      </c>
      <c r="G220" s="60">
        <v>2</v>
      </c>
      <c r="I220" s="26">
        <v>5000008843</v>
      </c>
      <c r="J220" t="s">
        <v>37</v>
      </c>
      <c r="K220" t="s">
        <v>38</v>
      </c>
      <c r="M220">
        <v>79705285</v>
      </c>
      <c r="N220">
        <v>101</v>
      </c>
      <c r="O220" t="s">
        <v>171</v>
      </c>
      <c r="Q220" t="s">
        <v>35</v>
      </c>
      <c r="R220">
        <v>2050000</v>
      </c>
      <c r="T220">
        <v>2</v>
      </c>
      <c r="U220">
        <v>3</v>
      </c>
      <c r="Z220" t="s">
        <v>524</v>
      </c>
    </row>
    <row r="221" spans="1:31" x14ac:dyDescent="0.25">
      <c r="A221" t="str">
        <f t="shared" si="3"/>
        <v>500000505979705285</v>
      </c>
      <c r="B221">
        <v>5025009664</v>
      </c>
      <c r="C221" s="10" t="s">
        <v>170</v>
      </c>
      <c r="D221" s="10">
        <v>45822</v>
      </c>
      <c r="E221">
        <v>2025</v>
      </c>
      <c r="F221">
        <v>4</v>
      </c>
      <c r="G221" s="60">
        <v>1</v>
      </c>
      <c r="I221" s="26">
        <v>5000005059</v>
      </c>
      <c r="J221" t="s">
        <v>37</v>
      </c>
      <c r="K221" t="s">
        <v>38</v>
      </c>
      <c r="M221">
        <v>79705285</v>
      </c>
      <c r="N221">
        <v>101</v>
      </c>
      <c r="O221" t="s">
        <v>171</v>
      </c>
      <c r="Q221" t="s">
        <v>93</v>
      </c>
      <c r="R221">
        <v>95000</v>
      </c>
      <c r="T221">
        <v>1</v>
      </c>
      <c r="U221">
        <v>4</v>
      </c>
      <c r="Z221" t="s">
        <v>528</v>
      </c>
    </row>
    <row r="222" spans="1:31" x14ac:dyDescent="0.25">
      <c r="A222" t="str">
        <f t="shared" si="3"/>
        <v>500000424879705285</v>
      </c>
      <c r="B222">
        <v>5025009664</v>
      </c>
      <c r="C222" s="10" t="s">
        <v>170</v>
      </c>
      <c r="D222" s="10">
        <v>45822</v>
      </c>
      <c r="E222">
        <v>2025</v>
      </c>
      <c r="F222">
        <v>5</v>
      </c>
      <c r="G222" s="60">
        <v>1</v>
      </c>
      <c r="I222" s="26">
        <v>5000004248</v>
      </c>
      <c r="J222" t="s">
        <v>37</v>
      </c>
      <c r="K222" t="s">
        <v>38</v>
      </c>
      <c r="M222">
        <v>79705285</v>
      </c>
      <c r="N222">
        <v>101</v>
      </c>
      <c r="O222" t="s">
        <v>171</v>
      </c>
      <c r="Q222" t="s">
        <v>93</v>
      </c>
      <c r="R222">
        <v>65000</v>
      </c>
      <c r="T222">
        <v>1</v>
      </c>
      <c r="U222">
        <v>5</v>
      </c>
      <c r="Z222" t="s">
        <v>527</v>
      </c>
    </row>
    <row r="223" spans="1:31" x14ac:dyDescent="0.25">
      <c r="A223" t="str">
        <f t="shared" si="3"/>
        <v>500001202179705285</v>
      </c>
      <c r="B223">
        <v>5025009664</v>
      </c>
      <c r="C223" s="10" t="s">
        <v>170</v>
      </c>
      <c r="D223" s="10">
        <v>45822</v>
      </c>
      <c r="E223">
        <v>2025</v>
      </c>
      <c r="F223">
        <v>6</v>
      </c>
      <c r="G223" s="60">
        <v>1</v>
      </c>
      <c r="I223" s="26">
        <v>5000012021</v>
      </c>
      <c r="J223" t="s">
        <v>37</v>
      </c>
      <c r="K223" t="s">
        <v>38</v>
      </c>
      <c r="M223">
        <v>79705285</v>
      </c>
      <c r="N223">
        <v>101</v>
      </c>
      <c r="O223" t="s">
        <v>171</v>
      </c>
      <c r="Q223" t="s">
        <v>93</v>
      </c>
      <c r="R223">
        <v>30000</v>
      </c>
      <c r="T223">
        <v>1</v>
      </c>
      <c r="U223">
        <v>6</v>
      </c>
      <c r="Z223" t="s">
        <v>527</v>
      </c>
    </row>
    <row r="224" spans="1:31" x14ac:dyDescent="0.25">
      <c r="A224" t="str">
        <f t="shared" si="3"/>
        <v>500001349979705283</v>
      </c>
      <c r="B224">
        <v>5025009882</v>
      </c>
      <c r="C224" s="10" t="s">
        <v>170</v>
      </c>
      <c r="D224" s="10">
        <v>45826</v>
      </c>
      <c r="E224">
        <v>2025</v>
      </c>
      <c r="F224">
        <v>1</v>
      </c>
      <c r="G224" s="60">
        <v>1</v>
      </c>
      <c r="I224" s="26">
        <v>5000013499</v>
      </c>
      <c r="J224" t="s">
        <v>37</v>
      </c>
      <c r="K224" t="s">
        <v>38</v>
      </c>
      <c r="M224">
        <v>79705283</v>
      </c>
      <c r="N224">
        <v>101</v>
      </c>
      <c r="O224" t="s">
        <v>171</v>
      </c>
      <c r="Q224" t="s">
        <v>35</v>
      </c>
      <c r="R224">
        <v>290000</v>
      </c>
      <c r="T224">
        <v>1</v>
      </c>
      <c r="U224">
        <v>1</v>
      </c>
      <c r="Z224" t="s">
        <v>519</v>
      </c>
    </row>
    <row r="225" spans="1:26" x14ac:dyDescent="0.25">
      <c r="A225" t="str">
        <f t="shared" si="3"/>
        <v>500001728979705283</v>
      </c>
      <c r="B225">
        <v>5025009882</v>
      </c>
      <c r="C225" s="10" t="s">
        <v>170</v>
      </c>
      <c r="D225" s="10">
        <v>45826</v>
      </c>
      <c r="E225">
        <v>2025</v>
      </c>
      <c r="F225">
        <v>2</v>
      </c>
      <c r="G225" s="60">
        <v>3</v>
      </c>
      <c r="I225" s="26">
        <v>5000017289</v>
      </c>
      <c r="J225" t="s">
        <v>37</v>
      </c>
      <c r="K225" t="s">
        <v>38</v>
      </c>
      <c r="M225">
        <v>79705283</v>
      </c>
      <c r="N225">
        <v>101</v>
      </c>
      <c r="O225" t="s">
        <v>171</v>
      </c>
      <c r="Q225" t="s">
        <v>93</v>
      </c>
      <c r="R225">
        <v>108000</v>
      </c>
      <c r="T225">
        <v>3</v>
      </c>
      <c r="U225">
        <v>2</v>
      </c>
      <c r="Z225" t="s">
        <v>544</v>
      </c>
    </row>
    <row r="226" spans="1:26" x14ac:dyDescent="0.25">
      <c r="A226" t="str">
        <f t="shared" si="3"/>
        <v>500001630879705283</v>
      </c>
      <c r="B226">
        <v>5025009882</v>
      </c>
      <c r="C226" s="10" t="s">
        <v>170</v>
      </c>
      <c r="D226" s="10">
        <v>45826</v>
      </c>
      <c r="E226">
        <v>2025</v>
      </c>
      <c r="F226">
        <v>3</v>
      </c>
      <c r="G226" s="60">
        <v>1</v>
      </c>
      <c r="I226" s="26">
        <v>5000016308</v>
      </c>
      <c r="J226" t="s">
        <v>37</v>
      </c>
      <c r="K226" t="s">
        <v>38</v>
      </c>
      <c r="M226">
        <v>79705283</v>
      </c>
      <c r="N226">
        <v>101</v>
      </c>
      <c r="O226" t="s">
        <v>171</v>
      </c>
      <c r="Q226" t="s">
        <v>35</v>
      </c>
      <c r="R226">
        <v>2980000</v>
      </c>
      <c r="T226">
        <v>1</v>
      </c>
      <c r="U226">
        <v>3</v>
      </c>
      <c r="Z226" t="s">
        <v>545</v>
      </c>
    </row>
    <row r="227" spans="1:26" x14ac:dyDescent="0.25">
      <c r="A227" t="str">
        <f t="shared" si="3"/>
        <v>500000912379705367</v>
      </c>
      <c r="B227">
        <v>5025009884</v>
      </c>
      <c r="C227" s="10" t="s">
        <v>170</v>
      </c>
      <c r="D227" s="10">
        <v>45826</v>
      </c>
      <c r="E227">
        <v>2025</v>
      </c>
      <c r="F227">
        <v>1</v>
      </c>
      <c r="G227" s="60">
        <v>1</v>
      </c>
      <c r="I227" s="26">
        <v>5000009123</v>
      </c>
      <c r="J227" t="s">
        <v>37</v>
      </c>
      <c r="K227" t="s">
        <v>38</v>
      </c>
      <c r="M227">
        <v>79705367</v>
      </c>
      <c r="N227">
        <v>101</v>
      </c>
      <c r="O227" t="s">
        <v>171</v>
      </c>
      <c r="Q227" t="s">
        <v>35</v>
      </c>
      <c r="R227">
        <v>350000.09</v>
      </c>
      <c r="T227">
        <v>1</v>
      </c>
      <c r="U227">
        <v>1</v>
      </c>
      <c r="Z227" t="s">
        <v>546</v>
      </c>
    </row>
    <row r="228" spans="1:26" x14ac:dyDescent="0.25">
      <c r="A228" t="str">
        <f t="shared" si="3"/>
        <v>500001196079705572</v>
      </c>
      <c r="B228">
        <v>5025009939</v>
      </c>
      <c r="C228" s="10" t="s">
        <v>170</v>
      </c>
      <c r="D228" s="10">
        <v>45827</v>
      </c>
      <c r="E228">
        <v>2025</v>
      </c>
      <c r="F228">
        <v>1</v>
      </c>
      <c r="G228" s="60">
        <v>1</v>
      </c>
      <c r="I228" s="26">
        <v>5000011960</v>
      </c>
      <c r="J228" t="s">
        <v>37</v>
      </c>
      <c r="K228" t="s">
        <v>38</v>
      </c>
      <c r="M228">
        <v>79705572</v>
      </c>
      <c r="N228">
        <v>101</v>
      </c>
      <c r="O228" t="s">
        <v>171</v>
      </c>
      <c r="Q228" t="s">
        <v>93</v>
      </c>
      <c r="R228">
        <v>2100000.12</v>
      </c>
      <c r="T228">
        <v>1</v>
      </c>
      <c r="U228">
        <v>1</v>
      </c>
      <c r="Z228" t="s">
        <v>554</v>
      </c>
    </row>
    <row r="229" spans="1:26" x14ac:dyDescent="0.25">
      <c r="A229" t="str">
        <f t="shared" si="3"/>
        <v>500000074079705642</v>
      </c>
      <c r="B229">
        <v>5025010516</v>
      </c>
      <c r="C229" s="10" t="s">
        <v>170</v>
      </c>
      <c r="D229" s="10">
        <v>45834</v>
      </c>
      <c r="E229">
        <v>2025</v>
      </c>
      <c r="F229">
        <v>1</v>
      </c>
      <c r="G229" s="60">
        <v>200</v>
      </c>
      <c r="H229" t="s">
        <v>383</v>
      </c>
      <c r="I229" s="26">
        <v>5000000740</v>
      </c>
      <c r="J229" t="s">
        <v>37</v>
      </c>
      <c r="K229" t="s">
        <v>38</v>
      </c>
      <c r="M229">
        <v>79705642</v>
      </c>
      <c r="N229">
        <v>101</v>
      </c>
      <c r="O229" t="s">
        <v>171</v>
      </c>
      <c r="Q229" t="s">
        <v>93</v>
      </c>
      <c r="R229">
        <v>600000</v>
      </c>
      <c r="T229">
        <v>2</v>
      </c>
      <c r="U229">
        <v>1</v>
      </c>
      <c r="Z229" t="s">
        <v>538</v>
      </c>
    </row>
    <row r="230" spans="1:26" x14ac:dyDescent="0.25">
      <c r="A230" t="str">
        <f t="shared" si="3"/>
        <v>500000884379705642</v>
      </c>
      <c r="B230">
        <v>5025010516</v>
      </c>
      <c r="C230" s="10" t="s">
        <v>170</v>
      </c>
      <c r="D230" s="10">
        <v>45834</v>
      </c>
      <c r="E230">
        <v>2025</v>
      </c>
      <c r="F230">
        <v>2</v>
      </c>
      <c r="G230" s="60">
        <v>1</v>
      </c>
      <c r="I230" s="26">
        <v>5000008843</v>
      </c>
      <c r="J230" t="s">
        <v>37</v>
      </c>
      <c r="K230" t="s">
        <v>38</v>
      </c>
      <c r="M230">
        <v>79705642</v>
      </c>
      <c r="N230">
        <v>101</v>
      </c>
      <c r="O230" t="s">
        <v>171</v>
      </c>
      <c r="Q230" t="s">
        <v>35</v>
      </c>
      <c r="R230">
        <v>1025000</v>
      </c>
      <c r="T230">
        <v>1</v>
      </c>
      <c r="U230">
        <v>2</v>
      </c>
      <c r="Z230" t="s">
        <v>549</v>
      </c>
    </row>
    <row r="231" spans="1:26" x14ac:dyDescent="0.25">
      <c r="A231" t="str">
        <f t="shared" si="3"/>
        <v>500000505979705642</v>
      </c>
      <c r="B231">
        <v>5025010516</v>
      </c>
      <c r="C231" s="10" t="s">
        <v>170</v>
      </c>
      <c r="D231" s="10">
        <v>45834</v>
      </c>
      <c r="E231">
        <v>2025</v>
      </c>
      <c r="F231">
        <v>3</v>
      </c>
      <c r="G231" s="60">
        <v>1</v>
      </c>
      <c r="I231" s="26">
        <v>5000005059</v>
      </c>
      <c r="J231" t="s">
        <v>37</v>
      </c>
      <c r="K231" t="s">
        <v>38</v>
      </c>
      <c r="M231">
        <v>79705642</v>
      </c>
      <c r="N231">
        <v>101</v>
      </c>
      <c r="O231" t="s">
        <v>171</v>
      </c>
      <c r="Q231" t="s">
        <v>93</v>
      </c>
      <c r="R231">
        <v>95000</v>
      </c>
      <c r="T231">
        <v>1</v>
      </c>
      <c r="U231">
        <v>3</v>
      </c>
      <c r="Z231" t="s">
        <v>551</v>
      </c>
    </row>
    <row r="232" spans="1:26" x14ac:dyDescent="0.25">
      <c r="A232" t="str">
        <f t="shared" si="3"/>
        <v>500000424879705642</v>
      </c>
      <c r="B232">
        <v>5025010516</v>
      </c>
      <c r="C232" s="10" t="s">
        <v>170</v>
      </c>
      <c r="D232" s="10">
        <v>45834</v>
      </c>
      <c r="E232">
        <v>2025</v>
      </c>
      <c r="F232">
        <v>4</v>
      </c>
      <c r="G232" s="60">
        <v>1</v>
      </c>
      <c r="I232" s="26">
        <v>5000004248</v>
      </c>
      <c r="J232" t="s">
        <v>37</v>
      </c>
      <c r="K232" t="s">
        <v>38</v>
      </c>
      <c r="M232">
        <v>79705642</v>
      </c>
      <c r="N232">
        <v>101</v>
      </c>
      <c r="O232" t="s">
        <v>171</v>
      </c>
      <c r="Q232" t="s">
        <v>93</v>
      </c>
      <c r="R232">
        <v>65000</v>
      </c>
      <c r="T232">
        <v>1</v>
      </c>
      <c r="U232">
        <v>4</v>
      </c>
      <c r="Z232" t="s">
        <v>552</v>
      </c>
    </row>
    <row r="233" spans="1:26" x14ac:dyDescent="0.25">
      <c r="A233" t="str">
        <f t="shared" si="3"/>
        <v>500001202179705642</v>
      </c>
      <c r="B233">
        <v>5025010516</v>
      </c>
      <c r="C233" s="10" t="s">
        <v>170</v>
      </c>
      <c r="D233" s="10">
        <v>45834</v>
      </c>
      <c r="E233">
        <v>2025</v>
      </c>
      <c r="F233">
        <v>5</v>
      </c>
      <c r="G233" s="60">
        <v>1</v>
      </c>
      <c r="I233" s="26">
        <v>5000012021</v>
      </c>
      <c r="J233" t="s">
        <v>37</v>
      </c>
      <c r="K233" t="s">
        <v>38</v>
      </c>
      <c r="M233">
        <v>79705642</v>
      </c>
      <c r="N233">
        <v>101</v>
      </c>
      <c r="O233" t="s">
        <v>171</v>
      </c>
      <c r="Q233" t="s">
        <v>93</v>
      </c>
      <c r="R233">
        <v>30000</v>
      </c>
      <c r="T233">
        <v>1</v>
      </c>
      <c r="U233">
        <v>5</v>
      </c>
      <c r="Z233" t="s">
        <v>553</v>
      </c>
    </row>
    <row r="234" spans="1:26" x14ac:dyDescent="0.25">
      <c r="A234" t="str">
        <f t="shared" si="3"/>
        <v>500001175479705642</v>
      </c>
      <c r="B234">
        <v>5025010516</v>
      </c>
      <c r="C234" s="10" t="s">
        <v>170</v>
      </c>
      <c r="D234" s="10">
        <v>45834</v>
      </c>
      <c r="E234">
        <v>2025</v>
      </c>
      <c r="F234">
        <v>6</v>
      </c>
      <c r="G234" s="60">
        <v>1</v>
      </c>
      <c r="I234" s="26">
        <v>5000011754</v>
      </c>
      <c r="J234" t="s">
        <v>37</v>
      </c>
      <c r="K234" t="s">
        <v>38</v>
      </c>
      <c r="M234">
        <v>79705642</v>
      </c>
      <c r="N234">
        <v>101</v>
      </c>
      <c r="O234" t="s">
        <v>171</v>
      </c>
      <c r="Q234" t="s">
        <v>93</v>
      </c>
      <c r="R234">
        <v>20000</v>
      </c>
      <c r="T234">
        <v>1</v>
      </c>
      <c r="U234">
        <v>6</v>
      </c>
      <c r="Z234" t="s">
        <v>552</v>
      </c>
    </row>
    <row r="235" spans="1:26" x14ac:dyDescent="0.25">
      <c r="A235" t="str">
        <f t="shared" si="3"/>
        <v>500000884379705701</v>
      </c>
      <c r="B235">
        <v>5025010521</v>
      </c>
      <c r="C235" s="10" t="s">
        <v>170</v>
      </c>
      <c r="D235" s="10">
        <v>45834</v>
      </c>
      <c r="E235">
        <v>2025</v>
      </c>
      <c r="F235">
        <v>1</v>
      </c>
      <c r="G235" s="60">
        <v>1</v>
      </c>
      <c r="I235" s="26">
        <v>5000008843</v>
      </c>
      <c r="J235" t="s">
        <v>37</v>
      </c>
      <c r="K235" t="s">
        <v>38</v>
      </c>
      <c r="M235">
        <v>79705701</v>
      </c>
      <c r="N235">
        <v>101</v>
      </c>
      <c r="O235" t="s">
        <v>171</v>
      </c>
      <c r="Q235" t="s">
        <v>35</v>
      </c>
      <c r="R235">
        <v>1025000</v>
      </c>
      <c r="T235">
        <v>1</v>
      </c>
      <c r="U235">
        <v>1</v>
      </c>
      <c r="Z235" t="s">
        <v>555</v>
      </c>
    </row>
    <row r="236" spans="1:26" x14ac:dyDescent="0.25">
      <c r="A236" t="str">
        <f t="shared" si="3"/>
        <v>500000505979705701</v>
      </c>
      <c r="B236">
        <v>5025010521</v>
      </c>
      <c r="C236" s="10" t="s">
        <v>170</v>
      </c>
      <c r="D236" s="10">
        <v>45834</v>
      </c>
      <c r="E236">
        <v>2025</v>
      </c>
      <c r="F236">
        <v>2</v>
      </c>
      <c r="G236" s="60">
        <v>1</v>
      </c>
      <c r="I236" s="26">
        <v>5000005059</v>
      </c>
      <c r="J236" t="s">
        <v>37</v>
      </c>
      <c r="K236" t="s">
        <v>38</v>
      </c>
      <c r="M236">
        <v>79705701</v>
      </c>
      <c r="N236">
        <v>101</v>
      </c>
      <c r="O236" t="s">
        <v>171</v>
      </c>
      <c r="Q236" t="s">
        <v>93</v>
      </c>
      <c r="R236">
        <v>95000</v>
      </c>
      <c r="T236">
        <v>1</v>
      </c>
      <c r="U236">
        <v>2</v>
      </c>
      <c r="Z236" t="s">
        <v>557</v>
      </c>
    </row>
    <row r="237" spans="1:26" x14ac:dyDescent="0.25">
      <c r="A237" t="str">
        <f t="shared" si="3"/>
        <v>500000424879705701</v>
      </c>
      <c r="B237">
        <v>5025010521</v>
      </c>
      <c r="C237" s="10" t="s">
        <v>170</v>
      </c>
      <c r="D237" s="10">
        <v>45834</v>
      </c>
      <c r="E237">
        <v>2025</v>
      </c>
      <c r="F237">
        <v>3</v>
      </c>
      <c r="G237" s="60">
        <v>1</v>
      </c>
      <c r="I237" s="26">
        <v>5000004248</v>
      </c>
      <c r="J237" t="s">
        <v>37</v>
      </c>
      <c r="K237" t="s">
        <v>38</v>
      </c>
      <c r="M237">
        <v>79705701</v>
      </c>
      <c r="N237">
        <v>101</v>
      </c>
      <c r="O237" t="s">
        <v>171</v>
      </c>
      <c r="Q237" t="s">
        <v>93</v>
      </c>
      <c r="R237">
        <v>65000</v>
      </c>
      <c r="T237">
        <v>1</v>
      </c>
      <c r="U237">
        <v>3</v>
      </c>
      <c r="Z237" t="s">
        <v>558</v>
      </c>
    </row>
    <row r="238" spans="1:26" x14ac:dyDescent="0.25">
      <c r="A238" t="str">
        <f t="shared" si="3"/>
        <v>500001202179705701</v>
      </c>
      <c r="B238">
        <v>5025010521</v>
      </c>
      <c r="C238" s="10" t="s">
        <v>170</v>
      </c>
      <c r="D238" s="10">
        <v>45834</v>
      </c>
      <c r="E238">
        <v>2025</v>
      </c>
      <c r="F238">
        <v>4</v>
      </c>
      <c r="G238" s="60">
        <v>1</v>
      </c>
      <c r="I238" s="26">
        <v>5000012021</v>
      </c>
      <c r="J238" t="s">
        <v>37</v>
      </c>
      <c r="K238" t="s">
        <v>38</v>
      </c>
      <c r="M238">
        <v>79705701</v>
      </c>
      <c r="N238">
        <v>101</v>
      </c>
      <c r="O238" t="s">
        <v>171</v>
      </c>
      <c r="Q238" t="s">
        <v>93</v>
      </c>
      <c r="R238">
        <v>30000</v>
      </c>
      <c r="T238">
        <v>1</v>
      </c>
      <c r="U238">
        <v>4</v>
      </c>
      <c r="Z238" t="s">
        <v>559</v>
      </c>
    </row>
    <row r="239" spans="1:26" x14ac:dyDescent="0.25">
      <c r="A239" t="str">
        <f t="shared" si="3"/>
        <v>500001785679705857</v>
      </c>
      <c r="B239">
        <v>5025010751</v>
      </c>
      <c r="C239" s="10" t="s">
        <v>170</v>
      </c>
      <c r="D239" s="10">
        <v>45838</v>
      </c>
      <c r="E239">
        <v>2025</v>
      </c>
      <c r="F239">
        <v>3</v>
      </c>
      <c r="G239" s="60">
        <v>1</v>
      </c>
      <c r="I239" s="26">
        <v>5000017856</v>
      </c>
      <c r="J239" t="s">
        <v>37</v>
      </c>
      <c r="K239" t="s">
        <v>38</v>
      </c>
      <c r="M239">
        <v>79705857</v>
      </c>
      <c r="N239">
        <v>101</v>
      </c>
      <c r="O239" t="s">
        <v>171</v>
      </c>
      <c r="Q239" t="s">
        <v>35</v>
      </c>
      <c r="R239">
        <v>11351351.4</v>
      </c>
      <c r="T239">
        <v>1</v>
      </c>
      <c r="U239">
        <v>3</v>
      </c>
      <c r="Z239" t="s">
        <v>575</v>
      </c>
    </row>
    <row r="240" spans="1:26" x14ac:dyDescent="0.25">
      <c r="A240" t="str">
        <f t="shared" si="3"/>
        <v>500001785779705857</v>
      </c>
      <c r="B240">
        <v>5025010751</v>
      </c>
      <c r="C240" s="10" t="s">
        <v>170</v>
      </c>
      <c r="D240" s="10">
        <v>45838</v>
      </c>
      <c r="E240">
        <v>2025</v>
      </c>
      <c r="F240">
        <v>4</v>
      </c>
      <c r="G240" s="60">
        <v>1</v>
      </c>
      <c r="I240" s="26">
        <v>5000017857</v>
      </c>
      <c r="J240" t="s">
        <v>37</v>
      </c>
      <c r="K240" t="s">
        <v>38</v>
      </c>
      <c r="M240">
        <v>79705857</v>
      </c>
      <c r="N240">
        <v>101</v>
      </c>
      <c r="O240" t="s">
        <v>171</v>
      </c>
      <c r="Q240" t="s">
        <v>35</v>
      </c>
      <c r="R240">
        <v>18693693.699999999</v>
      </c>
      <c r="T240">
        <v>1</v>
      </c>
      <c r="U240">
        <v>4</v>
      </c>
      <c r="Z240" t="s">
        <v>576</v>
      </c>
    </row>
    <row r="241" spans="1:31" x14ac:dyDescent="0.25">
      <c r="A241" t="str">
        <f t="shared" si="3"/>
        <v>500001196079705857</v>
      </c>
      <c r="B241">
        <v>5025010780</v>
      </c>
      <c r="C241" s="10" t="s">
        <v>170</v>
      </c>
      <c r="D241" s="10">
        <v>45838</v>
      </c>
      <c r="E241">
        <v>2025</v>
      </c>
      <c r="F241">
        <v>1</v>
      </c>
      <c r="G241" s="60">
        <v>1</v>
      </c>
      <c r="I241" s="26">
        <v>5000011960</v>
      </c>
      <c r="J241" t="s">
        <v>37</v>
      </c>
      <c r="K241" t="s">
        <v>38</v>
      </c>
      <c r="M241">
        <v>79705857</v>
      </c>
      <c r="N241">
        <v>101</v>
      </c>
      <c r="O241" t="s">
        <v>171</v>
      </c>
      <c r="Q241" t="s">
        <v>93</v>
      </c>
      <c r="R241">
        <v>1621621.7</v>
      </c>
      <c r="T241">
        <v>1</v>
      </c>
      <c r="U241">
        <v>1</v>
      </c>
      <c r="Z241" t="s">
        <v>573</v>
      </c>
      <c r="AB241">
        <v>0</v>
      </c>
      <c r="AC241">
        <v>0</v>
      </c>
      <c r="AE241">
        <v>0</v>
      </c>
    </row>
    <row r="242" spans="1:31" x14ac:dyDescent="0.25">
      <c r="A242" t="str">
        <f t="shared" si="3"/>
        <v>500001196079705857</v>
      </c>
      <c r="B242">
        <v>5025010780</v>
      </c>
      <c r="C242" s="10" t="s">
        <v>170</v>
      </c>
      <c r="D242" s="10">
        <v>45838</v>
      </c>
      <c r="E242">
        <v>2025</v>
      </c>
      <c r="F242">
        <v>2</v>
      </c>
      <c r="G242" s="60">
        <v>1</v>
      </c>
      <c r="I242" s="26">
        <v>5000011960</v>
      </c>
      <c r="J242" t="s">
        <v>37</v>
      </c>
      <c r="K242" t="s">
        <v>38</v>
      </c>
      <c r="M242">
        <v>79705857</v>
      </c>
      <c r="N242">
        <v>101</v>
      </c>
      <c r="O242" t="s">
        <v>171</v>
      </c>
      <c r="Q242" t="s">
        <v>93</v>
      </c>
      <c r="R242">
        <v>2117117.2000000002</v>
      </c>
      <c r="T242">
        <v>1</v>
      </c>
      <c r="U242">
        <v>2</v>
      </c>
      <c r="Z242" t="s">
        <v>574</v>
      </c>
      <c r="AB242">
        <v>0</v>
      </c>
      <c r="AC242">
        <v>0</v>
      </c>
      <c r="AE242">
        <v>0</v>
      </c>
    </row>
    <row r="243" spans="1:31" x14ac:dyDescent="0.25">
      <c r="A243" t="str">
        <f t="shared" si="3"/>
        <v>500000217179705643</v>
      </c>
      <c r="B243">
        <v>5025010835</v>
      </c>
      <c r="C243" s="10" t="s">
        <v>170</v>
      </c>
      <c r="D243" s="10">
        <v>45839</v>
      </c>
      <c r="E243">
        <v>2025</v>
      </c>
      <c r="F243">
        <v>1</v>
      </c>
      <c r="G243" s="60">
        <v>1</v>
      </c>
      <c r="I243" s="26">
        <v>5000002171</v>
      </c>
      <c r="J243" t="s">
        <v>37</v>
      </c>
      <c r="K243" t="s">
        <v>38</v>
      </c>
      <c r="M243">
        <v>79705643</v>
      </c>
      <c r="N243">
        <v>101</v>
      </c>
      <c r="O243" t="s">
        <v>171</v>
      </c>
      <c r="Q243" t="s">
        <v>93</v>
      </c>
      <c r="R243">
        <v>16000</v>
      </c>
      <c r="T243">
        <v>1</v>
      </c>
      <c r="U243">
        <v>1</v>
      </c>
      <c r="Z243" t="s">
        <v>548</v>
      </c>
    </row>
    <row r="244" spans="1:31" x14ac:dyDescent="0.25">
      <c r="A244" t="str">
        <f t="shared" si="3"/>
        <v>500001630879705643</v>
      </c>
      <c r="B244">
        <v>5025010835</v>
      </c>
      <c r="C244" s="10" t="s">
        <v>170</v>
      </c>
      <c r="D244" s="10">
        <v>45839</v>
      </c>
      <c r="E244">
        <v>2025</v>
      </c>
      <c r="F244">
        <v>2</v>
      </c>
      <c r="G244" s="60">
        <v>1</v>
      </c>
      <c r="I244" s="26">
        <v>5000016308</v>
      </c>
      <c r="J244" t="s">
        <v>37</v>
      </c>
      <c r="K244" t="s">
        <v>38</v>
      </c>
      <c r="M244">
        <v>79705643</v>
      </c>
      <c r="N244">
        <v>101</v>
      </c>
      <c r="O244" t="s">
        <v>171</v>
      </c>
      <c r="Q244" t="s">
        <v>35</v>
      </c>
      <c r="R244">
        <v>2980000</v>
      </c>
      <c r="T244">
        <v>1</v>
      </c>
      <c r="U244">
        <v>2</v>
      </c>
      <c r="Z244" t="s">
        <v>563</v>
      </c>
    </row>
    <row r="245" spans="1:31" x14ac:dyDescent="0.25">
      <c r="A245" t="str">
        <f t="shared" si="3"/>
        <v>500001734679705643</v>
      </c>
      <c r="B245">
        <v>5025010835</v>
      </c>
      <c r="C245" s="10" t="s">
        <v>170</v>
      </c>
      <c r="D245" s="10">
        <v>45839</v>
      </c>
      <c r="E245">
        <v>2025</v>
      </c>
      <c r="F245">
        <v>3</v>
      </c>
      <c r="G245" s="60">
        <v>1</v>
      </c>
      <c r="I245" s="26">
        <v>5000017346</v>
      </c>
      <c r="J245" t="s">
        <v>37</v>
      </c>
      <c r="K245" t="s">
        <v>38</v>
      </c>
      <c r="M245">
        <v>79705643</v>
      </c>
      <c r="N245">
        <v>101</v>
      </c>
      <c r="O245" t="s">
        <v>171</v>
      </c>
      <c r="Q245" t="s">
        <v>35</v>
      </c>
      <c r="R245">
        <v>875000</v>
      </c>
      <c r="T245">
        <v>1</v>
      </c>
      <c r="U245">
        <v>3</v>
      </c>
      <c r="Z245" t="s">
        <v>540</v>
      </c>
    </row>
    <row r="246" spans="1:31" x14ac:dyDescent="0.25">
      <c r="A246" t="str">
        <f t="shared" si="3"/>
        <v>500001630879705702</v>
      </c>
      <c r="B246">
        <v>5025010836</v>
      </c>
      <c r="C246" s="10" t="s">
        <v>170</v>
      </c>
      <c r="D246" s="10">
        <v>45839</v>
      </c>
      <c r="E246">
        <v>2025</v>
      </c>
      <c r="F246">
        <v>1</v>
      </c>
      <c r="G246" s="60">
        <v>1</v>
      </c>
      <c r="I246" s="26">
        <v>5000016308</v>
      </c>
      <c r="J246" t="s">
        <v>37</v>
      </c>
      <c r="K246" t="s">
        <v>38</v>
      </c>
      <c r="M246">
        <v>79705702</v>
      </c>
      <c r="N246">
        <v>101</v>
      </c>
      <c r="O246" t="s">
        <v>171</v>
      </c>
      <c r="Q246" t="s">
        <v>35</v>
      </c>
      <c r="R246">
        <v>2980000</v>
      </c>
      <c r="T246">
        <v>1</v>
      </c>
      <c r="U246">
        <v>1</v>
      </c>
      <c r="Z246" t="s">
        <v>572</v>
      </c>
    </row>
    <row r="247" spans="1:31" x14ac:dyDescent="0.25">
      <c r="A247" t="str">
        <f t="shared" si="3"/>
        <v>500001175479705946</v>
      </c>
      <c r="B247">
        <v>5025010890</v>
      </c>
      <c r="C247" s="10" t="s">
        <v>170</v>
      </c>
      <c r="D247" s="10">
        <v>45840</v>
      </c>
      <c r="E247">
        <v>2025</v>
      </c>
      <c r="F247">
        <v>1</v>
      </c>
      <c r="G247" s="60">
        <v>6</v>
      </c>
      <c r="I247" s="26">
        <v>5000011754</v>
      </c>
      <c r="J247" t="s">
        <v>37</v>
      </c>
      <c r="K247" t="s">
        <v>38</v>
      </c>
      <c r="M247">
        <v>79705946</v>
      </c>
      <c r="N247">
        <v>101</v>
      </c>
      <c r="O247" t="s">
        <v>171</v>
      </c>
      <c r="Q247" t="s">
        <v>93</v>
      </c>
      <c r="R247">
        <v>120000</v>
      </c>
      <c r="T247">
        <v>6</v>
      </c>
      <c r="U247">
        <v>1</v>
      </c>
      <c r="Z247" t="s">
        <v>560</v>
      </c>
    </row>
    <row r="248" spans="1:31" x14ac:dyDescent="0.25">
      <c r="A248" t="str">
        <f t="shared" si="3"/>
        <v>500000892979705946</v>
      </c>
      <c r="B248">
        <v>5025010890</v>
      </c>
      <c r="C248" s="10" t="s">
        <v>170</v>
      </c>
      <c r="D248" s="10">
        <v>45840</v>
      </c>
      <c r="E248">
        <v>2025</v>
      </c>
      <c r="F248">
        <v>2</v>
      </c>
      <c r="G248" s="60">
        <v>1</v>
      </c>
      <c r="I248" s="26">
        <v>5000008929</v>
      </c>
      <c r="J248" t="s">
        <v>37</v>
      </c>
      <c r="K248" t="s">
        <v>38</v>
      </c>
      <c r="M248">
        <v>79705946</v>
      </c>
      <c r="N248">
        <v>101</v>
      </c>
      <c r="O248" t="s">
        <v>171</v>
      </c>
      <c r="Q248" t="s">
        <v>93</v>
      </c>
      <c r="R248">
        <v>150000</v>
      </c>
      <c r="T248">
        <v>1</v>
      </c>
      <c r="U248">
        <v>2</v>
      </c>
      <c r="Z248" t="s">
        <v>570</v>
      </c>
    </row>
    <row r="249" spans="1:31" x14ac:dyDescent="0.25">
      <c r="A249" t="str">
        <f t="shared" si="3"/>
        <v>500000884379705946</v>
      </c>
      <c r="B249">
        <v>5025010890</v>
      </c>
      <c r="C249" s="10" t="s">
        <v>170</v>
      </c>
      <c r="D249" s="10">
        <v>45840</v>
      </c>
      <c r="E249">
        <v>2025</v>
      </c>
      <c r="F249">
        <v>3</v>
      </c>
      <c r="G249" s="60">
        <v>2</v>
      </c>
      <c r="I249" s="26">
        <v>5000008843</v>
      </c>
      <c r="J249" t="s">
        <v>37</v>
      </c>
      <c r="K249" t="s">
        <v>38</v>
      </c>
      <c r="M249">
        <v>79705946</v>
      </c>
      <c r="N249">
        <v>101</v>
      </c>
      <c r="O249" t="s">
        <v>171</v>
      </c>
      <c r="Q249" t="s">
        <v>35</v>
      </c>
      <c r="R249">
        <v>2050000</v>
      </c>
      <c r="T249">
        <v>2</v>
      </c>
      <c r="U249">
        <v>3</v>
      </c>
      <c r="Z249" t="s">
        <v>571</v>
      </c>
    </row>
    <row r="250" spans="1:31" x14ac:dyDescent="0.25">
      <c r="A250" t="str">
        <f t="shared" si="3"/>
        <v>500001349979705945</v>
      </c>
      <c r="B250">
        <v>5025011126</v>
      </c>
      <c r="C250" s="10" t="s">
        <v>170</v>
      </c>
      <c r="D250" s="10">
        <v>45843</v>
      </c>
      <c r="E250">
        <v>2025</v>
      </c>
      <c r="F250">
        <v>1</v>
      </c>
      <c r="G250" s="60">
        <v>1</v>
      </c>
      <c r="I250" s="26">
        <v>5000013499</v>
      </c>
      <c r="J250" t="s">
        <v>37</v>
      </c>
      <c r="K250" t="s">
        <v>38</v>
      </c>
      <c r="M250">
        <v>79705945</v>
      </c>
      <c r="N250">
        <v>101</v>
      </c>
      <c r="O250" t="s">
        <v>171</v>
      </c>
      <c r="Q250" t="s">
        <v>35</v>
      </c>
      <c r="R250">
        <v>290000</v>
      </c>
      <c r="T250">
        <v>1</v>
      </c>
      <c r="U250">
        <v>1</v>
      </c>
      <c r="Z250" t="s">
        <v>561</v>
      </c>
    </row>
    <row r="251" spans="1:31" x14ac:dyDescent="0.25">
      <c r="A251" t="str">
        <f t="shared" si="3"/>
        <v>500001625579705945</v>
      </c>
      <c r="B251">
        <v>5025011126</v>
      </c>
      <c r="C251" s="10" t="s">
        <v>170</v>
      </c>
      <c r="D251" s="10">
        <v>45843</v>
      </c>
      <c r="E251">
        <v>2025</v>
      </c>
      <c r="F251">
        <v>2</v>
      </c>
      <c r="G251" s="60">
        <v>1</v>
      </c>
      <c r="I251" s="26">
        <v>5000016255</v>
      </c>
      <c r="J251" t="s">
        <v>37</v>
      </c>
      <c r="K251" t="s">
        <v>38</v>
      </c>
      <c r="M251">
        <v>79705945</v>
      </c>
      <c r="N251">
        <v>101</v>
      </c>
      <c r="O251" t="s">
        <v>171</v>
      </c>
      <c r="Q251" t="s">
        <v>93</v>
      </c>
      <c r="R251">
        <v>343000</v>
      </c>
      <c r="T251">
        <v>1</v>
      </c>
      <c r="U251">
        <v>2</v>
      </c>
      <c r="Z251" t="s">
        <v>562</v>
      </c>
    </row>
    <row r="252" spans="1:31" x14ac:dyDescent="0.25">
      <c r="A252" t="str">
        <f t="shared" si="3"/>
        <v>500000073979706305</v>
      </c>
      <c r="B252">
        <v>5025011424</v>
      </c>
      <c r="C252" s="10" t="s">
        <v>170</v>
      </c>
      <c r="D252" s="10">
        <v>45847</v>
      </c>
      <c r="E252">
        <v>2025</v>
      </c>
      <c r="F252">
        <v>1</v>
      </c>
      <c r="G252" s="60">
        <v>1</v>
      </c>
      <c r="I252" s="26">
        <v>5000000739</v>
      </c>
      <c r="J252" t="s">
        <v>37</v>
      </c>
      <c r="K252" t="s">
        <v>38</v>
      </c>
      <c r="M252">
        <v>79706305</v>
      </c>
      <c r="N252">
        <v>101</v>
      </c>
      <c r="O252" t="s">
        <v>171</v>
      </c>
      <c r="Q252" t="s">
        <v>262</v>
      </c>
      <c r="R252">
        <v>2072072.1</v>
      </c>
      <c r="T252">
        <v>1</v>
      </c>
      <c r="U252">
        <v>1</v>
      </c>
      <c r="Z252" t="s">
        <v>591</v>
      </c>
    </row>
    <row r="253" spans="1:31" x14ac:dyDescent="0.25">
      <c r="A253" t="str">
        <f t="shared" si="3"/>
        <v>500001625579706210</v>
      </c>
      <c r="B253">
        <v>5025011483</v>
      </c>
      <c r="C253" s="10" t="s">
        <v>170</v>
      </c>
      <c r="D253" s="10">
        <v>45848</v>
      </c>
      <c r="E253">
        <v>2025</v>
      </c>
      <c r="F253">
        <v>1</v>
      </c>
      <c r="G253" s="60">
        <v>1</v>
      </c>
      <c r="I253" s="26">
        <v>5000016255</v>
      </c>
      <c r="J253" t="s">
        <v>37</v>
      </c>
      <c r="K253" t="s">
        <v>38</v>
      </c>
      <c r="M253">
        <v>79706210</v>
      </c>
      <c r="N253">
        <v>101</v>
      </c>
      <c r="O253" t="s">
        <v>171</v>
      </c>
      <c r="Q253" t="s">
        <v>93</v>
      </c>
      <c r="R253">
        <v>343000</v>
      </c>
      <c r="T253">
        <v>1</v>
      </c>
      <c r="U253">
        <v>1</v>
      </c>
      <c r="Z253" t="s">
        <v>585</v>
      </c>
    </row>
    <row r="254" spans="1:31" x14ac:dyDescent="0.25">
      <c r="A254" t="str">
        <f t="shared" si="3"/>
        <v>500001429179706210</v>
      </c>
      <c r="B254">
        <v>5025011483</v>
      </c>
      <c r="C254" s="10" t="s">
        <v>170</v>
      </c>
      <c r="D254" s="10">
        <v>45848</v>
      </c>
      <c r="E254">
        <v>2025</v>
      </c>
      <c r="F254">
        <v>2</v>
      </c>
      <c r="G254" s="60">
        <v>3</v>
      </c>
      <c r="I254" s="26">
        <v>5000014291</v>
      </c>
      <c r="J254" t="s">
        <v>37</v>
      </c>
      <c r="K254" t="s">
        <v>38</v>
      </c>
      <c r="M254">
        <v>79706210</v>
      </c>
      <c r="N254">
        <v>101</v>
      </c>
      <c r="O254" t="s">
        <v>171</v>
      </c>
      <c r="Q254" t="s">
        <v>296</v>
      </c>
      <c r="R254">
        <v>277500</v>
      </c>
      <c r="T254">
        <v>3</v>
      </c>
      <c r="U254">
        <v>2</v>
      </c>
      <c r="Z254" t="s">
        <v>586</v>
      </c>
    </row>
    <row r="255" spans="1:31" x14ac:dyDescent="0.25">
      <c r="A255" t="str">
        <f t="shared" si="3"/>
        <v>500001349979706210</v>
      </c>
      <c r="B255">
        <v>5025011483</v>
      </c>
      <c r="C255" s="10" t="s">
        <v>170</v>
      </c>
      <c r="D255" s="10">
        <v>45848</v>
      </c>
      <c r="E255">
        <v>2025</v>
      </c>
      <c r="F255">
        <v>3</v>
      </c>
      <c r="G255" s="60">
        <v>1</v>
      </c>
      <c r="I255" s="26">
        <v>5000013499</v>
      </c>
      <c r="J255" t="s">
        <v>37</v>
      </c>
      <c r="K255" t="s">
        <v>38</v>
      </c>
      <c r="M255">
        <v>79706210</v>
      </c>
      <c r="N255">
        <v>101</v>
      </c>
      <c r="O255" t="s">
        <v>171</v>
      </c>
      <c r="Q255" t="s">
        <v>35</v>
      </c>
      <c r="R255">
        <v>290000</v>
      </c>
      <c r="T255">
        <v>1</v>
      </c>
      <c r="U255">
        <v>3</v>
      </c>
      <c r="Z255" t="s">
        <v>587</v>
      </c>
    </row>
    <row r="256" spans="1:31" x14ac:dyDescent="0.25">
      <c r="A256" t="str">
        <f t="shared" si="3"/>
        <v>500001677979706433</v>
      </c>
      <c r="B256">
        <v>5025011640</v>
      </c>
      <c r="C256" s="10" t="s">
        <v>170</v>
      </c>
      <c r="D256" s="10">
        <v>45850</v>
      </c>
      <c r="E256">
        <v>2025</v>
      </c>
      <c r="F256">
        <v>1</v>
      </c>
      <c r="G256" s="60">
        <v>1</v>
      </c>
      <c r="I256" s="26">
        <v>5000016779</v>
      </c>
      <c r="J256" t="s">
        <v>37</v>
      </c>
      <c r="K256" t="s">
        <v>38</v>
      </c>
      <c r="M256">
        <v>79706433</v>
      </c>
      <c r="N256">
        <v>101</v>
      </c>
      <c r="O256" t="s">
        <v>171</v>
      </c>
      <c r="Q256" t="s">
        <v>35</v>
      </c>
      <c r="R256">
        <v>825000.06</v>
      </c>
      <c r="T256">
        <v>1</v>
      </c>
      <c r="U256">
        <v>1</v>
      </c>
      <c r="Z256" t="s">
        <v>592</v>
      </c>
    </row>
    <row r="257" spans="1:31" x14ac:dyDescent="0.25">
      <c r="A257" t="str">
        <f t="shared" si="3"/>
        <v>500000824279706572</v>
      </c>
      <c r="B257">
        <v>5025012071</v>
      </c>
      <c r="C257" s="10" t="s">
        <v>170</v>
      </c>
      <c r="D257" s="10">
        <v>45856</v>
      </c>
      <c r="E257">
        <v>2025</v>
      </c>
      <c r="F257">
        <v>1</v>
      </c>
      <c r="G257" s="60">
        <v>1</v>
      </c>
      <c r="I257" s="26">
        <v>5000008242</v>
      </c>
      <c r="J257" t="s">
        <v>37</v>
      </c>
      <c r="K257" t="s">
        <v>38</v>
      </c>
      <c r="M257">
        <v>79706572</v>
      </c>
      <c r="N257">
        <v>101</v>
      </c>
      <c r="O257" t="s">
        <v>171</v>
      </c>
      <c r="Q257" t="s">
        <v>296</v>
      </c>
      <c r="R257">
        <v>225000</v>
      </c>
      <c r="T257">
        <v>1</v>
      </c>
      <c r="U257">
        <v>1</v>
      </c>
      <c r="Z257" t="s">
        <v>594</v>
      </c>
    </row>
    <row r="258" spans="1:31" x14ac:dyDescent="0.25">
      <c r="A258" t="str">
        <f t="shared" ref="A258:A321" si="4">I258&amp;M258</f>
        <v>500000424879706572</v>
      </c>
      <c r="B258">
        <v>5025012071</v>
      </c>
      <c r="C258" s="10" t="s">
        <v>170</v>
      </c>
      <c r="D258" s="10">
        <v>45856</v>
      </c>
      <c r="E258">
        <v>2025</v>
      </c>
      <c r="F258">
        <v>2</v>
      </c>
      <c r="G258" s="60">
        <v>12</v>
      </c>
      <c r="I258" s="26">
        <v>5000004248</v>
      </c>
      <c r="J258" t="s">
        <v>37</v>
      </c>
      <c r="K258" t="s">
        <v>38</v>
      </c>
      <c r="M258">
        <v>79706572</v>
      </c>
      <c r="N258">
        <v>101</v>
      </c>
      <c r="O258" t="s">
        <v>171</v>
      </c>
      <c r="Q258" t="s">
        <v>93</v>
      </c>
      <c r="R258">
        <v>780000</v>
      </c>
      <c r="T258">
        <v>12</v>
      </c>
      <c r="U258">
        <v>2</v>
      </c>
      <c r="Z258" t="s">
        <v>595</v>
      </c>
    </row>
    <row r="259" spans="1:31" x14ac:dyDescent="0.25">
      <c r="A259" t="str">
        <f t="shared" si="4"/>
        <v>500000534079706620</v>
      </c>
      <c r="B259">
        <v>5025012081</v>
      </c>
      <c r="C259" s="10" t="s">
        <v>170</v>
      </c>
      <c r="D259" s="10">
        <v>45856</v>
      </c>
      <c r="E259">
        <v>2025</v>
      </c>
      <c r="F259">
        <v>1</v>
      </c>
      <c r="G259" s="60">
        <v>3</v>
      </c>
      <c r="I259" s="26">
        <v>5000005340</v>
      </c>
      <c r="J259" t="s">
        <v>37</v>
      </c>
      <c r="K259" t="s">
        <v>38</v>
      </c>
      <c r="M259">
        <v>79706620</v>
      </c>
      <c r="N259">
        <v>101</v>
      </c>
      <c r="O259" t="s">
        <v>171</v>
      </c>
      <c r="Q259" t="s">
        <v>35</v>
      </c>
      <c r="R259">
        <v>465000</v>
      </c>
      <c r="T259">
        <v>3</v>
      </c>
      <c r="U259">
        <v>1</v>
      </c>
      <c r="Z259" t="s">
        <v>599</v>
      </c>
    </row>
    <row r="260" spans="1:31" x14ac:dyDescent="0.25">
      <c r="A260" t="str">
        <f t="shared" si="4"/>
        <v>500001637579706622</v>
      </c>
      <c r="B260">
        <v>5025012085</v>
      </c>
      <c r="C260" s="10" t="s">
        <v>170</v>
      </c>
      <c r="D260" s="10">
        <v>45856</v>
      </c>
      <c r="E260">
        <v>2025</v>
      </c>
      <c r="F260">
        <v>1</v>
      </c>
      <c r="G260" s="60">
        <v>1</v>
      </c>
      <c r="I260" s="26">
        <v>5000016375</v>
      </c>
      <c r="J260" t="s">
        <v>37</v>
      </c>
      <c r="K260" t="s">
        <v>38</v>
      </c>
      <c r="M260">
        <v>79706622</v>
      </c>
      <c r="N260">
        <v>101</v>
      </c>
      <c r="O260" t="s">
        <v>171</v>
      </c>
      <c r="Q260" t="s">
        <v>35</v>
      </c>
      <c r="R260">
        <v>2072072.1</v>
      </c>
      <c r="T260">
        <v>1</v>
      </c>
      <c r="U260">
        <v>1</v>
      </c>
      <c r="Z260" t="s">
        <v>600</v>
      </c>
      <c r="AB260">
        <v>0</v>
      </c>
      <c r="AC260">
        <v>0</v>
      </c>
      <c r="AE260">
        <v>0</v>
      </c>
    </row>
    <row r="261" spans="1:31" x14ac:dyDescent="0.25">
      <c r="A261" t="str">
        <f t="shared" si="4"/>
        <v>500000884379706851</v>
      </c>
      <c r="B261">
        <v>5025012568</v>
      </c>
      <c r="C261" s="10" t="s">
        <v>170</v>
      </c>
      <c r="D261" s="10">
        <v>45863</v>
      </c>
      <c r="E261">
        <v>2025</v>
      </c>
      <c r="F261">
        <v>1</v>
      </c>
      <c r="G261" s="60">
        <v>1</v>
      </c>
      <c r="I261" s="26">
        <v>5000008843</v>
      </c>
      <c r="J261" t="s">
        <v>37</v>
      </c>
      <c r="K261" t="s">
        <v>38</v>
      </c>
      <c r="M261">
        <v>79706851</v>
      </c>
      <c r="N261">
        <v>101</v>
      </c>
      <c r="O261" t="s">
        <v>171</v>
      </c>
      <c r="Q261" t="s">
        <v>35</v>
      </c>
      <c r="R261">
        <v>1025000</v>
      </c>
      <c r="T261">
        <v>1</v>
      </c>
      <c r="U261">
        <v>1</v>
      </c>
      <c r="Z261" t="s">
        <v>602</v>
      </c>
    </row>
    <row r="262" spans="1:31" x14ac:dyDescent="0.25">
      <c r="A262" t="str">
        <f t="shared" si="4"/>
        <v>500000505979706851</v>
      </c>
      <c r="B262">
        <v>5025012568</v>
      </c>
      <c r="C262" s="10" t="s">
        <v>170</v>
      </c>
      <c r="D262" s="10">
        <v>45863</v>
      </c>
      <c r="E262">
        <v>2025</v>
      </c>
      <c r="F262">
        <v>2</v>
      </c>
      <c r="G262" s="60">
        <v>1</v>
      </c>
      <c r="I262" s="26">
        <v>5000005059</v>
      </c>
      <c r="J262" t="s">
        <v>37</v>
      </c>
      <c r="K262" t="s">
        <v>38</v>
      </c>
      <c r="M262">
        <v>79706851</v>
      </c>
      <c r="N262">
        <v>101</v>
      </c>
      <c r="O262" t="s">
        <v>171</v>
      </c>
      <c r="Q262" t="s">
        <v>93</v>
      </c>
      <c r="R262">
        <v>95000</v>
      </c>
      <c r="T262">
        <v>1</v>
      </c>
      <c r="U262">
        <v>2</v>
      </c>
      <c r="Z262" t="s">
        <v>603</v>
      </c>
    </row>
    <row r="263" spans="1:31" x14ac:dyDescent="0.25">
      <c r="A263" t="str">
        <f t="shared" si="4"/>
        <v>500000424879706851</v>
      </c>
      <c r="B263">
        <v>5025012568</v>
      </c>
      <c r="C263" s="10" t="s">
        <v>170</v>
      </c>
      <c r="D263" s="10">
        <v>45863</v>
      </c>
      <c r="E263">
        <v>2025</v>
      </c>
      <c r="F263">
        <v>3</v>
      </c>
      <c r="G263" s="60">
        <v>1</v>
      </c>
      <c r="I263" s="26">
        <v>5000004248</v>
      </c>
      <c r="J263" t="s">
        <v>37</v>
      </c>
      <c r="K263" t="s">
        <v>38</v>
      </c>
      <c r="M263">
        <v>79706851</v>
      </c>
      <c r="N263">
        <v>101</v>
      </c>
      <c r="O263" t="s">
        <v>171</v>
      </c>
      <c r="Q263" t="s">
        <v>93</v>
      </c>
      <c r="R263">
        <v>65000</v>
      </c>
      <c r="T263">
        <v>1</v>
      </c>
      <c r="U263">
        <v>3</v>
      </c>
      <c r="Z263" t="s">
        <v>604</v>
      </c>
    </row>
    <row r="264" spans="1:31" x14ac:dyDescent="0.25">
      <c r="A264" t="str">
        <f t="shared" si="4"/>
        <v>500001202179706851</v>
      </c>
      <c r="B264">
        <v>5025012568</v>
      </c>
      <c r="C264" s="10" t="s">
        <v>170</v>
      </c>
      <c r="D264" s="10">
        <v>45863</v>
      </c>
      <c r="E264">
        <v>2025</v>
      </c>
      <c r="F264">
        <v>4</v>
      </c>
      <c r="G264" s="60">
        <v>1</v>
      </c>
      <c r="I264" s="26">
        <v>5000012021</v>
      </c>
      <c r="J264" t="s">
        <v>37</v>
      </c>
      <c r="K264" t="s">
        <v>38</v>
      </c>
      <c r="M264">
        <v>79706851</v>
      </c>
      <c r="N264">
        <v>101</v>
      </c>
      <c r="O264" t="s">
        <v>171</v>
      </c>
      <c r="Q264" t="s">
        <v>93</v>
      </c>
      <c r="R264">
        <v>30000</v>
      </c>
      <c r="T264">
        <v>1</v>
      </c>
      <c r="U264">
        <v>4</v>
      </c>
      <c r="Z264" t="s">
        <v>605</v>
      </c>
    </row>
    <row r="265" spans="1:31" x14ac:dyDescent="0.25">
      <c r="A265" t="str">
        <f t="shared" si="4"/>
        <v>500000884379706828</v>
      </c>
      <c r="B265">
        <v>5025012569</v>
      </c>
      <c r="C265" s="10" t="s">
        <v>170</v>
      </c>
      <c r="D265" s="10">
        <v>45863</v>
      </c>
      <c r="E265">
        <v>2025</v>
      </c>
      <c r="F265">
        <v>1</v>
      </c>
      <c r="G265" s="60">
        <v>1</v>
      </c>
      <c r="I265" s="26">
        <v>5000008843</v>
      </c>
      <c r="J265" t="s">
        <v>37</v>
      </c>
      <c r="K265" t="s">
        <v>38</v>
      </c>
      <c r="M265">
        <v>79706828</v>
      </c>
      <c r="N265">
        <v>101</v>
      </c>
      <c r="O265" t="s">
        <v>171</v>
      </c>
      <c r="Q265" t="s">
        <v>35</v>
      </c>
      <c r="R265">
        <v>1025000</v>
      </c>
      <c r="T265">
        <v>1</v>
      </c>
      <c r="U265">
        <v>1</v>
      </c>
      <c r="Z265" t="s">
        <v>608</v>
      </c>
    </row>
    <row r="266" spans="1:31" x14ac:dyDescent="0.25">
      <c r="A266" t="str">
        <f t="shared" si="4"/>
        <v>500001708279707003</v>
      </c>
      <c r="B266">
        <v>5025012901</v>
      </c>
      <c r="C266" s="10" t="s">
        <v>170</v>
      </c>
      <c r="D266" s="10">
        <v>45868</v>
      </c>
      <c r="E266">
        <v>2025</v>
      </c>
      <c r="F266">
        <v>1</v>
      </c>
      <c r="G266" s="60">
        <v>1</v>
      </c>
      <c r="I266" s="26">
        <v>5000017082</v>
      </c>
      <c r="J266" t="s">
        <v>37</v>
      </c>
      <c r="K266" t="s">
        <v>38</v>
      </c>
      <c r="M266">
        <v>79707003</v>
      </c>
      <c r="N266">
        <v>101</v>
      </c>
      <c r="O266" t="s">
        <v>171</v>
      </c>
      <c r="Q266" t="s">
        <v>35</v>
      </c>
      <c r="R266">
        <v>2072072.1</v>
      </c>
      <c r="T266">
        <v>1</v>
      </c>
      <c r="U266">
        <v>1</v>
      </c>
      <c r="Z266" t="s">
        <v>613</v>
      </c>
    </row>
    <row r="267" spans="1:31" x14ac:dyDescent="0.25">
      <c r="A267" t="str">
        <f t="shared" si="4"/>
        <v>500000953079706583</v>
      </c>
      <c r="B267">
        <v>5025013093</v>
      </c>
      <c r="C267" s="10" t="s">
        <v>170</v>
      </c>
      <c r="D267" s="10">
        <v>45870</v>
      </c>
      <c r="E267">
        <v>2025</v>
      </c>
      <c r="F267">
        <v>1</v>
      </c>
      <c r="G267" s="60">
        <v>1</v>
      </c>
      <c r="I267" s="26">
        <v>5000009530</v>
      </c>
      <c r="J267" t="s">
        <v>37</v>
      </c>
      <c r="K267" t="s">
        <v>38</v>
      </c>
      <c r="M267">
        <v>79706583</v>
      </c>
      <c r="N267">
        <v>101</v>
      </c>
      <c r="O267" t="s">
        <v>171</v>
      </c>
      <c r="Q267" t="s">
        <v>35</v>
      </c>
      <c r="R267">
        <v>220000</v>
      </c>
      <c r="T267">
        <v>1</v>
      </c>
      <c r="U267">
        <v>1</v>
      </c>
      <c r="Z267" t="s">
        <v>582</v>
      </c>
    </row>
    <row r="268" spans="1:31" x14ac:dyDescent="0.25">
      <c r="A268" t="str">
        <f t="shared" si="4"/>
        <v>500001380279706583</v>
      </c>
      <c r="B268">
        <v>5025013093</v>
      </c>
      <c r="C268" s="10" t="s">
        <v>170</v>
      </c>
      <c r="D268" s="10">
        <v>45870</v>
      </c>
      <c r="E268">
        <v>2025</v>
      </c>
      <c r="F268">
        <v>2</v>
      </c>
      <c r="G268" s="60">
        <v>1</v>
      </c>
      <c r="I268" s="26">
        <v>5000013802</v>
      </c>
      <c r="J268" t="s">
        <v>37</v>
      </c>
      <c r="K268" t="s">
        <v>38</v>
      </c>
      <c r="M268">
        <v>79706583</v>
      </c>
      <c r="N268">
        <v>101</v>
      </c>
      <c r="O268" t="s">
        <v>171</v>
      </c>
      <c r="Q268" t="s">
        <v>35</v>
      </c>
      <c r="R268">
        <v>550000</v>
      </c>
      <c r="T268">
        <v>1</v>
      </c>
      <c r="U268">
        <v>2</v>
      </c>
      <c r="Z268" t="s">
        <v>584</v>
      </c>
    </row>
    <row r="269" spans="1:31" x14ac:dyDescent="0.25">
      <c r="A269" t="str">
        <f t="shared" si="4"/>
        <v>500001632379706583</v>
      </c>
      <c r="B269">
        <v>5025013093</v>
      </c>
      <c r="C269" s="10" t="s">
        <v>170</v>
      </c>
      <c r="D269" s="10">
        <v>45870</v>
      </c>
      <c r="E269">
        <v>2025</v>
      </c>
      <c r="F269">
        <v>3</v>
      </c>
      <c r="G269" s="60">
        <v>10</v>
      </c>
      <c r="I269" s="26">
        <v>5000016323</v>
      </c>
      <c r="J269" t="s">
        <v>37</v>
      </c>
      <c r="K269" t="s">
        <v>38</v>
      </c>
      <c r="M269">
        <v>79706583</v>
      </c>
      <c r="N269">
        <v>101</v>
      </c>
      <c r="O269" t="s">
        <v>171</v>
      </c>
      <c r="Q269" t="s">
        <v>93</v>
      </c>
      <c r="R269">
        <v>120000</v>
      </c>
      <c r="T269">
        <v>10</v>
      </c>
      <c r="U269">
        <v>3</v>
      </c>
      <c r="Z269" t="s">
        <v>590</v>
      </c>
    </row>
    <row r="270" spans="1:31" x14ac:dyDescent="0.25">
      <c r="A270" t="str">
        <f t="shared" si="4"/>
        <v>500001630879707122</v>
      </c>
      <c r="B270">
        <v>5025013094</v>
      </c>
      <c r="C270" s="10" t="s">
        <v>170</v>
      </c>
      <c r="D270" s="10">
        <v>45870</v>
      </c>
      <c r="E270">
        <v>2025</v>
      </c>
      <c r="F270">
        <v>1</v>
      </c>
      <c r="G270" s="60">
        <v>1</v>
      </c>
      <c r="I270" s="26">
        <v>5000016308</v>
      </c>
      <c r="J270" t="s">
        <v>37</v>
      </c>
      <c r="K270" t="s">
        <v>38</v>
      </c>
      <c r="M270">
        <v>79707122</v>
      </c>
      <c r="N270">
        <v>101</v>
      </c>
      <c r="O270" t="s">
        <v>171</v>
      </c>
      <c r="Q270" t="s">
        <v>35</v>
      </c>
      <c r="R270">
        <v>2980000</v>
      </c>
      <c r="T270">
        <v>1</v>
      </c>
      <c r="U270">
        <v>1</v>
      </c>
      <c r="Z270" t="s">
        <v>618</v>
      </c>
    </row>
    <row r="271" spans="1:31" x14ac:dyDescent="0.25">
      <c r="A271" t="str">
        <f t="shared" si="4"/>
        <v>500001429179706827</v>
      </c>
      <c r="B271">
        <v>5025013096</v>
      </c>
      <c r="C271" s="10" t="s">
        <v>170</v>
      </c>
      <c r="D271" s="10">
        <v>45870</v>
      </c>
      <c r="E271">
        <v>2025</v>
      </c>
      <c r="F271">
        <v>1</v>
      </c>
      <c r="G271" s="60">
        <v>1</v>
      </c>
      <c r="I271" s="26">
        <v>5000014291</v>
      </c>
      <c r="J271" t="s">
        <v>37</v>
      </c>
      <c r="K271" t="s">
        <v>38</v>
      </c>
      <c r="M271">
        <v>79706827</v>
      </c>
      <c r="N271">
        <v>101</v>
      </c>
      <c r="O271" t="s">
        <v>171</v>
      </c>
      <c r="Q271" t="s">
        <v>296</v>
      </c>
      <c r="R271">
        <v>340000</v>
      </c>
      <c r="T271">
        <v>1</v>
      </c>
      <c r="U271">
        <v>1</v>
      </c>
      <c r="Z271" t="s">
        <v>606</v>
      </c>
    </row>
    <row r="272" spans="1:31" x14ac:dyDescent="0.25">
      <c r="A272" t="str">
        <f t="shared" si="4"/>
        <v>500001630879706827</v>
      </c>
      <c r="B272">
        <v>5025013096</v>
      </c>
      <c r="C272" s="10" t="s">
        <v>170</v>
      </c>
      <c r="D272" s="10">
        <v>45870</v>
      </c>
      <c r="E272">
        <v>2025</v>
      </c>
      <c r="F272">
        <v>2</v>
      </c>
      <c r="G272" s="60">
        <v>1</v>
      </c>
      <c r="I272" s="26">
        <v>5000016308</v>
      </c>
      <c r="J272" t="s">
        <v>37</v>
      </c>
      <c r="K272" t="s">
        <v>38</v>
      </c>
      <c r="M272">
        <v>79706827</v>
      </c>
      <c r="N272">
        <v>101</v>
      </c>
      <c r="O272" t="s">
        <v>171</v>
      </c>
      <c r="Q272" t="s">
        <v>35</v>
      </c>
      <c r="R272">
        <v>2980000</v>
      </c>
      <c r="T272">
        <v>1</v>
      </c>
      <c r="U272">
        <v>2</v>
      </c>
      <c r="Z272" t="s">
        <v>607</v>
      </c>
    </row>
    <row r="273" spans="1:31" x14ac:dyDescent="0.25">
      <c r="A273" t="str">
        <f t="shared" si="4"/>
        <v>500001364079707171</v>
      </c>
      <c r="B273">
        <v>5025013292</v>
      </c>
      <c r="C273" s="10" t="s">
        <v>170</v>
      </c>
      <c r="D273" s="10">
        <v>45874</v>
      </c>
      <c r="E273">
        <v>2025</v>
      </c>
      <c r="F273">
        <v>1</v>
      </c>
      <c r="G273" s="60">
        <v>10</v>
      </c>
      <c r="I273" s="26">
        <v>5000013640</v>
      </c>
      <c r="J273" t="s">
        <v>37</v>
      </c>
      <c r="K273" s="25" t="s">
        <v>38</v>
      </c>
      <c r="M273">
        <v>79707171</v>
      </c>
      <c r="N273">
        <v>101</v>
      </c>
      <c r="O273" t="s">
        <v>171</v>
      </c>
      <c r="Q273" t="s">
        <v>93</v>
      </c>
      <c r="R273">
        <v>150000</v>
      </c>
      <c r="T273">
        <v>10</v>
      </c>
      <c r="U273">
        <v>1</v>
      </c>
      <c r="Z273" t="s">
        <v>619</v>
      </c>
    </row>
    <row r="274" spans="1:31" x14ac:dyDescent="0.25">
      <c r="A274" t="str">
        <f t="shared" si="4"/>
        <v>500001203379707171</v>
      </c>
      <c r="B274">
        <v>5025013292</v>
      </c>
      <c r="C274" s="10" t="s">
        <v>170</v>
      </c>
      <c r="D274" s="10">
        <v>45874</v>
      </c>
      <c r="E274">
        <v>2025</v>
      </c>
      <c r="F274">
        <v>2</v>
      </c>
      <c r="G274" s="60">
        <v>10</v>
      </c>
      <c r="I274" s="26">
        <v>5000012033</v>
      </c>
      <c r="J274" t="s">
        <v>37</v>
      </c>
      <c r="K274" t="s">
        <v>38</v>
      </c>
      <c r="M274">
        <v>79707171</v>
      </c>
      <c r="N274">
        <v>101</v>
      </c>
      <c r="O274" t="s">
        <v>171</v>
      </c>
      <c r="Q274" t="s">
        <v>93</v>
      </c>
      <c r="R274">
        <v>250000</v>
      </c>
      <c r="T274">
        <v>10</v>
      </c>
      <c r="U274">
        <v>2</v>
      </c>
      <c r="Z274" t="s">
        <v>619</v>
      </c>
    </row>
    <row r="275" spans="1:31" x14ac:dyDescent="0.25">
      <c r="A275" t="str">
        <f t="shared" si="4"/>
        <v>500001632279707171</v>
      </c>
      <c r="B275">
        <v>5025013292</v>
      </c>
      <c r="C275" s="10" t="s">
        <v>170</v>
      </c>
      <c r="D275" s="10">
        <v>45874</v>
      </c>
      <c r="E275">
        <v>2025</v>
      </c>
      <c r="F275">
        <v>3</v>
      </c>
      <c r="G275" s="60">
        <v>10</v>
      </c>
      <c r="I275" s="26">
        <v>5000016322</v>
      </c>
      <c r="J275" t="s">
        <v>37</v>
      </c>
      <c r="K275" t="s">
        <v>38</v>
      </c>
      <c r="M275">
        <v>79707171</v>
      </c>
      <c r="N275">
        <v>101</v>
      </c>
      <c r="O275" t="s">
        <v>171</v>
      </c>
      <c r="Q275" t="s">
        <v>93</v>
      </c>
      <c r="R275">
        <v>150000</v>
      </c>
      <c r="T275">
        <v>10</v>
      </c>
      <c r="U275">
        <v>3</v>
      </c>
      <c r="Z275" t="s">
        <v>619</v>
      </c>
    </row>
    <row r="276" spans="1:31" x14ac:dyDescent="0.25">
      <c r="A276" t="str">
        <f t="shared" si="4"/>
        <v>500000884379707348</v>
      </c>
      <c r="B276">
        <v>5025013346</v>
      </c>
      <c r="C276" s="10" t="s">
        <v>170</v>
      </c>
      <c r="D276" s="10">
        <v>45875</v>
      </c>
      <c r="E276">
        <v>2025</v>
      </c>
      <c r="F276">
        <v>1</v>
      </c>
      <c r="G276" s="60">
        <v>2</v>
      </c>
      <c r="I276" s="26">
        <v>5000008843</v>
      </c>
      <c r="J276" t="s">
        <v>37</v>
      </c>
      <c r="K276" t="s">
        <v>38</v>
      </c>
      <c r="M276">
        <v>79707348</v>
      </c>
      <c r="N276">
        <v>101</v>
      </c>
      <c r="O276" t="s">
        <v>171</v>
      </c>
      <c r="Q276" t="s">
        <v>35</v>
      </c>
      <c r="R276">
        <v>2100000</v>
      </c>
      <c r="T276">
        <v>2</v>
      </c>
      <c r="U276">
        <v>1</v>
      </c>
      <c r="Z276" t="s">
        <v>621</v>
      </c>
    </row>
    <row r="277" spans="1:31" x14ac:dyDescent="0.25">
      <c r="A277" t="str">
        <f t="shared" si="4"/>
        <v>500000505979707348</v>
      </c>
      <c r="B277">
        <v>5025013346</v>
      </c>
      <c r="C277" s="10" t="s">
        <v>170</v>
      </c>
      <c r="D277" s="10">
        <v>45875</v>
      </c>
      <c r="E277">
        <v>2025</v>
      </c>
      <c r="F277">
        <v>2</v>
      </c>
      <c r="G277" s="60">
        <v>2</v>
      </c>
      <c r="I277" s="26">
        <v>5000005059</v>
      </c>
      <c r="J277" t="s">
        <v>37</v>
      </c>
      <c r="K277" t="s">
        <v>38</v>
      </c>
      <c r="M277">
        <v>79707348</v>
      </c>
      <c r="N277">
        <v>101</v>
      </c>
      <c r="O277" t="s">
        <v>171</v>
      </c>
      <c r="Q277" t="s">
        <v>93</v>
      </c>
      <c r="R277">
        <v>190000</v>
      </c>
      <c r="T277">
        <v>2</v>
      </c>
      <c r="U277">
        <v>2</v>
      </c>
      <c r="Z277" t="s">
        <v>623</v>
      </c>
    </row>
    <row r="278" spans="1:31" x14ac:dyDescent="0.25">
      <c r="A278" t="str">
        <f t="shared" si="4"/>
        <v>500000424879707348</v>
      </c>
      <c r="B278">
        <v>5025013346</v>
      </c>
      <c r="C278" s="10" t="s">
        <v>170</v>
      </c>
      <c r="D278" s="10">
        <v>45875</v>
      </c>
      <c r="E278">
        <v>2025</v>
      </c>
      <c r="F278">
        <v>3</v>
      </c>
      <c r="G278" s="60">
        <v>2</v>
      </c>
      <c r="I278" s="26">
        <v>5000004248</v>
      </c>
      <c r="J278" t="s">
        <v>37</v>
      </c>
      <c r="K278" t="s">
        <v>38</v>
      </c>
      <c r="M278">
        <v>79707348</v>
      </c>
      <c r="N278">
        <v>101</v>
      </c>
      <c r="O278" t="s">
        <v>171</v>
      </c>
      <c r="Q278" t="s">
        <v>93</v>
      </c>
      <c r="R278">
        <v>130000</v>
      </c>
      <c r="T278">
        <v>2</v>
      </c>
      <c r="U278">
        <v>3</v>
      </c>
      <c r="Z278" t="s">
        <v>624</v>
      </c>
    </row>
    <row r="279" spans="1:31" x14ac:dyDescent="0.25">
      <c r="A279" t="str">
        <f t="shared" si="4"/>
        <v>500001202179707348</v>
      </c>
      <c r="B279">
        <v>5025013346</v>
      </c>
      <c r="C279" s="10" t="s">
        <v>170</v>
      </c>
      <c r="D279" s="10">
        <v>45875</v>
      </c>
      <c r="E279">
        <v>2025</v>
      </c>
      <c r="F279">
        <v>4</v>
      </c>
      <c r="G279" s="60">
        <v>2</v>
      </c>
      <c r="I279" s="26">
        <v>5000012021</v>
      </c>
      <c r="J279" t="s">
        <v>37</v>
      </c>
      <c r="K279" t="s">
        <v>38</v>
      </c>
      <c r="M279">
        <v>79707348</v>
      </c>
      <c r="N279">
        <v>101</v>
      </c>
      <c r="O279" t="s">
        <v>171</v>
      </c>
      <c r="Q279" t="s">
        <v>93</v>
      </c>
      <c r="R279">
        <v>60000</v>
      </c>
      <c r="T279">
        <v>2</v>
      </c>
      <c r="U279">
        <v>4</v>
      </c>
      <c r="Z279" t="s">
        <v>625</v>
      </c>
    </row>
    <row r="280" spans="1:31" x14ac:dyDescent="0.25">
      <c r="A280" t="str">
        <f t="shared" si="4"/>
        <v>500001625579707347</v>
      </c>
      <c r="B280">
        <v>5025013601</v>
      </c>
      <c r="C280" s="10" t="s">
        <v>170</v>
      </c>
      <c r="D280" s="10">
        <v>45878</v>
      </c>
      <c r="E280">
        <v>2025</v>
      </c>
      <c r="F280">
        <v>1</v>
      </c>
      <c r="G280" s="60">
        <v>1</v>
      </c>
      <c r="I280" s="26">
        <v>5000016255</v>
      </c>
      <c r="J280" t="s">
        <v>37</v>
      </c>
      <c r="K280" t="s">
        <v>38</v>
      </c>
      <c r="M280">
        <v>79707347</v>
      </c>
      <c r="N280">
        <v>101</v>
      </c>
      <c r="O280" t="s">
        <v>171</v>
      </c>
      <c r="Q280" t="s">
        <v>93</v>
      </c>
      <c r="R280">
        <v>343000</v>
      </c>
      <c r="T280">
        <v>1</v>
      </c>
      <c r="U280">
        <v>1</v>
      </c>
      <c r="Z280" t="s">
        <v>620</v>
      </c>
    </row>
    <row r="281" spans="1:31" x14ac:dyDescent="0.25">
      <c r="A281" t="str">
        <f t="shared" si="4"/>
        <v>500001630879707347</v>
      </c>
      <c r="B281">
        <v>5025013601</v>
      </c>
      <c r="C281" s="10" t="s">
        <v>170</v>
      </c>
      <c r="D281" s="10">
        <v>45878</v>
      </c>
      <c r="E281">
        <v>2025</v>
      </c>
      <c r="F281">
        <v>2</v>
      </c>
      <c r="G281" s="60">
        <v>2</v>
      </c>
      <c r="I281" s="26">
        <v>5000016308</v>
      </c>
      <c r="J281" t="s">
        <v>37</v>
      </c>
      <c r="K281" t="s">
        <v>38</v>
      </c>
      <c r="M281">
        <v>79707347</v>
      </c>
      <c r="N281">
        <v>101</v>
      </c>
      <c r="O281" t="s">
        <v>171</v>
      </c>
      <c r="Q281" t="s">
        <v>35</v>
      </c>
      <c r="R281">
        <v>5960000</v>
      </c>
      <c r="T281">
        <v>2</v>
      </c>
      <c r="U281">
        <v>2</v>
      </c>
      <c r="Z281" t="s">
        <v>627</v>
      </c>
    </row>
    <row r="282" spans="1:31" x14ac:dyDescent="0.25">
      <c r="A282" t="str">
        <f t="shared" si="4"/>
        <v>500001380279707437</v>
      </c>
      <c r="B282">
        <v>5025013780</v>
      </c>
      <c r="C282" s="10" t="s">
        <v>170</v>
      </c>
      <c r="D282" s="10">
        <v>45882</v>
      </c>
      <c r="E282">
        <v>2025</v>
      </c>
      <c r="F282">
        <v>1</v>
      </c>
      <c r="G282" s="60">
        <v>1</v>
      </c>
      <c r="I282" s="26">
        <v>5000013802</v>
      </c>
      <c r="J282" t="s">
        <v>37</v>
      </c>
      <c r="K282" t="s">
        <v>38</v>
      </c>
      <c r="M282">
        <v>79707437</v>
      </c>
      <c r="N282">
        <v>101</v>
      </c>
      <c r="O282" t="s">
        <v>171</v>
      </c>
      <c r="Q282" t="s">
        <v>35</v>
      </c>
      <c r="R282">
        <v>550000</v>
      </c>
      <c r="T282">
        <v>1</v>
      </c>
      <c r="U282">
        <v>1</v>
      </c>
      <c r="Z282" t="s">
        <v>629</v>
      </c>
    </row>
    <row r="283" spans="1:31" x14ac:dyDescent="0.25">
      <c r="A283" t="str">
        <f t="shared" si="4"/>
        <v>500001591979707437</v>
      </c>
      <c r="B283">
        <v>5025013780</v>
      </c>
      <c r="C283" s="10" t="s">
        <v>170</v>
      </c>
      <c r="D283" s="10">
        <v>45882</v>
      </c>
      <c r="E283">
        <v>2025</v>
      </c>
      <c r="F283">
        <v>2</v>
      </c>
      <c r="G283" s="60">
        <v>1</v>
      </c>
      <c r="I283" s="26">
        <v>5000015919</v>
      </c>
      <c r="J283" t="s">
        <v>37</v>
      </c>
      <c r="K283" t="s">
        <v>38</v>
      </c>
      <c r="M283">
        <v>79707437</v>
      </c>
      <c r="N283">
        <v>101</v>
      </c>
      <c r="O283" t="s">
        <v>171</v>
      </c>
      <c r="Q283" t="s">
        <v>35</v>
      </c>
      <c r="R283">
        <v>369500</v>
      </c>
      <c r="T283">
        <v>1</v>
      </c>
      <c r="U283">
        <v>2</v>
      </c>
      <c r="Z283" t="s">
        <v>640</v>
      </c>
    </row>
    <row r="284" spans="1:31" x14ac:dyDescent="0.25">
      <c r="A284" t="str">
        <f t="shared" si="4"/>
        <v>500001642879707737</v>
      </c>
      <c r="B284">
        <v>5025014253</v>
      </c>
      <c r="C284" s="10" t="s">
        <v>170</v>
      </c>
      <c r="D284" s="10">
        <v>45889</v>
      </c>
      <c r="E284">
        <v>2025</v>
      </c>
      <c r="F284">
        <v>1</v>
      </c>
      <c r="G284" s="60">
        <v>1</v>
      </c>
      <c r="I284" s="26">
        <v>5000016428</v>
      </c>
      <c r="J284" t="s">
        <v>37</v>
      </c>
      <c r="K284" t="s">
        <v>38</v>
      </c>
      <c r="M284">
        <v>79707737</v>
      </c>
      <c r="N284">
        <v>101</v>
      </c>
      <c r="O284" t="s">
        <v>171</v>
      </c>
      <c r="Q284" t="s">
        <v>35</v>
      </c>
      <c r="R284">
        <v>1531532</v>
      </c>
      <c r="T284">
        <v>1</v>
      </c>
      <c r="U284">
        <v>1</v>
      </c>
      <c r="Z284" t="s">
        <v>642</v>
      </c>
      <c r="AB284">
        <v>0</v>
      </c>
      <c r="AC284">
        <v>0</v>
      </c>
      <c r="AE284">
        <v>0</v>
      </c>
    </row>
    <row r="285" spans="1:31" x14ac:dyDescent="0.25">
      <c r="A285" t="str">
        <f t="shared" si="4"/>
        <v>500001556079707720</v>
      </c>
      <c r="B285">
        <v>5025014438</v>
      </c>
      <c r="C285" s="10" t="s">
        <v>170</v>
      </c>
      <c r="D285" s="10">
        <v>45892</v>
      </c>
      <c r="E285">
        <v>2025</v>
      </c>
      <c r="F285">
        <v>1</v>
      </c>
      <c r="G285" s="60">
        <v>1</v>
      </c>
      <c r="I285" s="26">
        <v>5000015560</v>
      </c>
      <c r="J285" t="s">
        <v>37</v>
      </c>
      <c r="K285" t="s">
        <v>38</v>
      </c>
      <c r="M285">
        <v>79707720</v>
      </c>
      <c r="N285">
        <v>101</v>
      </c>
      <c r="O285" t="s">
        <v>171</v>
      </c>
      <c r="Q285" t="s">
        <v>93</v>
      </c>
      <c r="R285">
        <v>160000</v>
      </c>
      <c r="T285">
        <v>1</v>
      </c>
      <c r="U285">
        <v>1</v>
      </c>
      <c r="Z285" t="s">
        <v>630</v>
      </c>
    </row>
    <row r="286" spans="1:31" x14ac:dyDescent="0.25">
      <c r="A286" t="str">
        <f t="shared" si="4"/>
        <v>500001630879707720</v>
      </c>
      <c r="B286">
        <v>5025014438</v>
      </c>
      <c r="C286" s="10" t="s">
        <v>170</v>
      </c>
      <c r="D286" s="10">
        <v>45892</v>
      </c>
      <c r="E286">
        <v>2025</v>
      </c>
      <c r="F286">
        <v>2</v>
      </c>
      <c r="G286" s="60">
        <v>4</v>
      </c>
      <c r="I286" s="26">
        <v>5000016308</v>
      </c>
      <c r="J286" t="s">
        <v>37</v>
      </c>
      <c r="K286" t="s">
        <v>38</v>
      </c>
      <c r="M286">
        <v>79707720</v>
      </c>
      <c r="N286">
        <v>101</v>
      </c>
      <c r="O286" t="s">
        <v>171</v>
      </c>
      <c r="Q286" t="s">
        <v>35</v>
      </c>
      <c r="R286">
        <v>11920000</v>
      </c>
      <c r="T286">
        <v>4</v>
      </c>
      <c r="U286">
        <v>2</v>
      </c>
      <c r="Z286" t="s">
        <v>641</v>
      </c>
    </row>
    <row r="287" spans="1:31" x14ac:dyDescent="0.25">
      <c r="A287" t="str">
        <f t="shared" si="4"/>
        <v>500001693079707984</v>
      </c>
      <c r="B287">
        <v>5025014583</v>
      </c>
      <c r="C287" s="10" t="s">
        <v>170</v>
      </c>
      <c r="D287" s="10">
        <v>45894</v>
      </c>
      <c r="E287">
        <v>2025</v>
      </c>
      <c r="F287">
        <v>1</v>
      </c>
      <c r="G287" s="60">
        <v>1</v>
      </c>
      <c r="I287" s="26">
        <v>5000016930</v>
      </c>
      <c r="J287" t="s">
        <v>37</v>
      </c>
      <c r="K287" t="s">
        <v>38</v>
      </c>
      <c r="M287">
        <v>79707984</v>
      </c>
      <c r="N287">
        <v>101</v>
      </c>
      <c r="O287" t="s">
        <v>171</v>
      </c>
      <c r="Q287" t="s">
        <v>93</v>
      </c>
      <c r="R287">
        <v>168350</v>
      </c>
      <c r="T287">
        <v>1</v>
      </c>
      <c r="U287">
        <v>1</v>
      </c>
      <c r="Z287" t="s">
        <v>494</v>
      </c>
    </row>
    <row r="288" spans="1:31" x14ac:dyDescent="0.25">
      <c r="A288" t="str">
        <f t="shared" si="4"/>
        <v>500001693079707983</v>
      </c>
      <c r="B288">
        <v>5025014584</v>
      </c>
      <c r="C288" s="10" t="s">
        <v>170</v>
      </c>
      <c r="D288" s="10">
        <v>45894</v>
      </c>
      <c r="E288">
        <v>2025</v>
      </c>
      <c r="F288">
        <v>1</v>
      </c>
      <c r="G288" s="60">
        <v>1</v>
      </c>
      <c r="I288" s="26">
        <v>5000016930</v>
      </c>
      <c r="J288" t="s">
        <v>37</v>
      </c>
      <c r="K288" t="s">
        <v>38</v>
      </c>
      <c r="M288">
        <v>79707983</v>
      </c>
      <c r="N288">
        <v>101</v>
      </c>
      <c r="O288" t="s">
        <v>171</v>
      </c>
      <c r="Q288" t="s">
        <v>93</v>
      </c>
      <c r="R288">
        <v>168350</v>
      </c>
      <c r="T288">
        <v>1</v>
      </c>
      <c r="U288">
        <v>1</v>
      </c>
      <c r="Z288" t="s">
        <v>534</v>
      </c>
    </row>
    <row r="289" spans="1:31" x14ac:dyDescent="0.25">
      <c r="A289" t="str">
        <f t="shared" si="4"/>
        <v>500001693079707983</v>
      </c>
      <c r="B289">
        <v>5025014584</v>
      </c>
      <c r="C289" s="10" t="s">
        <v>170</v>
      </c>
      <c r="D289" s="10">
        <v>45894</v>
      </c>
      <c r="E289">
        <v>2025</v>
      </c>
      <c r="F289">
        <v>2</v>
      </c>
      <c r="G289" s="60">
        <v>1</v>
      </c>
      <c r="I289" s="26">
        <v>5000016930</v>
      </c>
      <c r="J289" t="s">
        <v>37</v>
      </c>
      <c r="K289" t="s">
        <v>38</v>
      </c>
      <c r="M289">
        <v>79707983</v>
      </c>
      <c r="N289">
        <v>101</v>
      </c>
      <c r="O289" t="s">
        <v>171</v>
      </c>
      <c r="Q289" t="s">
        <v>93</v>
      </c>
      <c r="R289">
        <v>168350</v>
      </c>
      <c r="T289">
        <v>1</v>
      </c>
      <c r="U289">
        <v>2</v>
      </c>
      <c r="Z289" t="s">
        <v>565</v>
      </c>
    </row>
    <row r="290" spans="1:31" x14ac:dyDescent="0.25">
      <c r="A290" t="str">
        <f t="shared" si="4"/>
        <v>500001693079707981</v>
      </c>
      <c r="B290">
        <v>5025014586</v>
      </c>
      <c r="C290" s="10" t="s">
        <v>170</v>
      </c>
      <c r="D290" s="10">
        <v>45894</v>
      </c>
      <c r="E290">
        <v>2025</v>
      </c>
      <c r="F290">
        <v>1</v>
      </c>
      <c r="G290" s="60">
        <v>1</v>
      </c>
      <c r="I290" s="26">
        <v>5000016930</v>
      </c>
      <c r="J290" t="s">
        <v>37</v>
      </c>
      <c r="K290" t="s">
        <v>38</v>
      </c>
      <c r="M290">
        <v>79707981</v>
      </c>
      <c r="N290">
        <v>101</v>
      </c>
      <c r="O290" t="s">
        <v>171</v>
      </c>
      <c r="Q290" t="s">
        <v>93</v>
      </c>
      <c r="R290">
        <v>168350</v>
      </c>
      <c r="T290">
        <v>1</v>
      </c>
      <c r="U290">
        <v>1</v>
      </c>
      <c r="Z290" t="s">
        <v>633</v>
      </c>
    </row>
    <row r="291" spans="1:31" x14ac:dyDescent="0.25">
      <c r="A291" t="str">
        <f t="shared" si="4"/>
        <v>500001175479707738</v>
      </c>
      <c r="B291">
        <v>5025014640</v>
      </c>
      <c r="C291" s="10" t="s">
        <v>170</v>
      </c>
      <c r="D291" s="10">
        <v>45895</v>
      </c>
      <c r="E291">
        <v>2025</v>
      </c>
      <c r="F291">
        <v>1</v>
      </c>
      <c r="G291" s="60">
        <v>1</v>
      </c>
      <c r="I291" s="26">
        <v>5000011754</v>
      </c>
      <c r="J291" t="s">
        <v>37</v>
      </c>
      <c r="K291" t="s">
        <v>38</v>
      </c>
      <c r="M291">
        <v>79707738</v>
      </c>
      <c r="N291">
        <v>101</v>
      </c>
      <c r="O291" t="s">
        <v>171</v>
      </c>
      <c r="Q291" t="s">
        <v>93</v>
      </c>
      <c r="R291">
        <v>20000</v>
      </c>
      <c r="T291">
        <v>1</v>
      </c>
      <c r="U291">
        <v>1</v>
      </c>
      <c r="Z291" t="s">
        <v>626</v>
      </c>
    </row>
    <row r="292" spans="1:31" x14ac:dyDescent="0.25">
      <c r="A292" t="str">
        <f t="shared" si="4"/>
        <v>500000892979707738</v>
      </c>
      <c r="B292">
        <v>5025014640</v>
      </c>
      <c r="C292" s="10" t="s">
        <v>170</v>
      </c>
      <c r="D292" s="10">
        <v>45895</v>
      </c>
      <c r="E292">
        <v>2025</v>
      </c>
      <c r="F292">
        <v>2</v>
      </c>
      <c r="G292" s="60">
        <v>1</v>
      </c>
      <c r="I292" s="26">
        <v>5000008929</v>
      </c>
      <c r="J292" t="s">
        <v>37</v>
      </c>
      <c r="K292" t="s">
        <v>38</v>
      </c>
      <c r="M292">
        <v>79707738</v>
      </c>
      <c r="N292">
        <v>101</v>
      </c>
      <c r="O292" t="s">
        <v>171</v>
      </c>
      <c r="Q292" t="s">
        <v>93</v>
      </c>
      <c r="R292">
        <v>150000</v>
      </c>
      <c r="T292">
        <v>1</v>
      </c>
      <c r="U292">
        <v>2</v>
      </c>
      <c r="Z292" t="s">
        <v>628</v>
      </c>
    </row>
    <row r="293" spans="1:31" x14ac:dyDescent="0.25">
      <c r="A293" t="str">
        <f t="shared" si="4"/>
        <v>500001721679707738</v>
      </c>
      <c r="B293">
        <v>5025014640</v>
      </c>
      <c r="C293" s="10" t="s">
        <v>170</v>
      </c>
      <c r="D293" s="10">
        <v>45895</v>
      </c>
      <c r="E293">
        <v>2025</v>
      </c>
      <c r="F293">
        <v>3</v>
      </c>
      <c r="G293" s="60">
        <v>5</v>
      </c>
      <c r="I293" s="26">
        <v>5000017216</v>
      </c>
      <c r="J293" t="s">
        <v>37</v>
      </c>
      <c r="K293" t="s">
        <v>38</v>
      </c>
      <c r="M293">
        <v>79707738</v>
      </c>
      <c r="N293">
        <v>101</v>
      </c>
      <c r="O293" t="s">
        <v>171</v>
      </c>
      <c r="Q293" t="s">
        <v>35</v>
      </c>
      <c r="R293">
        <v>5600000</v>
      </c>
      <c r="T293">
        <v>5</v>
      </c>
      <c r="U293">
        <v>3</v>
      </c>
      <c r="Z293" t="s">
        <v>634</v>
      </c>
    </row>
    <row r="294" spans="1:31" x14ac:dyDescent="0.25">
      <c r="A294" t="str">
        <f t="shared" si="4"/>
        <v>500000505979707738</v>
      </c>
      <c r="B294">
        <v>5025014640</v>
      </c>
      <c r="C294" s="10" t="s">
        <v>170</v>
      </c>
      <c r="D294" s="10">
        <v>45895</v>
      </c>
      <c r="E294">
        <v>2025</v>
      </c>
      <c r="F294">
        <v>4</v>
      </c>
      <c r="G294" s="60">
        <v>5</v>
      </c>
      <c r="I294" s="26">
        <v>5000005059</v>
      </c>
      <c r="J294" t="s">
        <v>37</v>
      </c>
      <c r="K294" t="s">
        <v>38</v>
      </c>
      <c r="M294">
        <v>79707738</v>
      </c>
      <c r="N294">
        <v>101</v>
      </c>
      <c r="O294" t="s">
        <v>171</v>
      </c>
      <c r="Q294" t="s">
        <v>93</v>
      </c>
      <c r="R294">
        <v>475000</v>
      </c>
      <c r="T294">
        <v>5</v>
      </c>
      <c r="U294">
        <v>4</v>
      </c>
      <c r="Z294" t="s">
        <v>634</v>
      </c>
    </row>
    <row r="295" spans="1:31" x14ac:dyDescent="0.25">
      <c r="A295" t="str">
        <f t="shared" si="4"/>
        <v>500000424879707738</v>
      </c>
      <c r="B295">
        <v>5025014640</v>
      </c>
      <c r="C295" s="10" t="s">
        <v>170</v>
      </c>
      <c r="D295" s="10">
        <v>45895</v>
      </c>
      <c r="E295">
        <v>2025</v>
      </c>
      <c r="F295">
        <v>5</v>
      </c>
      <c r="G295" s="60">
        <v>5</v>
      </c>
      <c r="I295" s="26">
        <v>5000004248</v>
      </c>
      <c r="J295" t="s">
        <v>37</v>
      </c>
      <c r="K295" t="s">
        <v>38</v>
      </c>
      <c r="M295">
        <v>79707738</v>
      </c>
      <c r="N295">
        <v>101</v>
      </c>
      <c r="O295" t="s">
        <v>171</v>
      </c>
      <c r="Q295" t="s">
        <v>93</v>
      </c>
      <c r="R295">
        <v>325000</v>
      </c>
      <c r="T295">
        <v>5</v>
      </c>
      <c r="U295">
        <v>5</v>
      </c>
      <c r="Z295" t="s">
        <v>634</v>
      </c>
    </row>
    <row r="296" spans="1:31" x14ac:dyDescent="0.25">
      <c r="A296" t="str">
        <f t="shared" si="4"/>
        <v>500001202179707738</v>
      </c>
      <c r="B296">
        <v>5025014640</v>
      </c>
      <c r="C296" s="10" t="s">
        <v>170</v>
      </c>
      <c r="D296" s="10">
        <v>45895</v>
      </c>
      <c r="E296">
        <v>2025</v>
      </c>
      <c r="F296">
        <v>6</v>
      </c>
      <c r="G296" s="60">
        <v>5</v>
      </c>
      <c r="I296" s="26">
        <v>5000012021</v>
      </c>
      <c r="J296" t="s">
        <v>37</v>
      </c>
      <c r="K296" t="s">
        <v>38</v>
      </c>
      <c r="M296">
        <v>79707738</v>
      </c>
      <c r="N296">
        <v>101</v>
      </c>
      <c r="O296" t="s">
        <v>171</v>
      </c>
      <c r="Q296" t="s">
        <v>93</v>
      </c>
      <c r="R296">
        <v>150000</v>
      </c>
      <c r="T296">
        <v>5</v>
      </c>
      <c r="U296">
        <v>6</v>
      </c>
      <c r="Z296" t="s">
        <v>634</v>
      </c>
    </row>
    <row r="297" spans="1:31" x14ac:dyDescent="0.25">
      <c r="A297" t="str">
        <f t="shared" si="4"/>
        <v>500000505979707738</v>
      </c>
      <c r="B297">
        <v>5025014640</v>
      </c>
      <c r="C297" s="10" t="s">
        <v>170</v>
      </c>
      <c r="D297" s="10">
        <v>45895</v>
      </c>
      <c r="E297">
        <v>2025</v>
      </c>
      <c r="F297">
        <v>7</v>
      </c>
      <c r="G297" s="60">
        <v>10</v>
      </c>
      <c r="I297" s="26">
        <v>5000005059</v>
      </c>
      <c r="J297" t="s">
        <v>37</v>
      </c>
      <c r="K297" t="s">
        <v>38</v>
      </c>
      <c r="M297">
        <v>79707738</v>
      </c>
      <c r="N297">
        <v>101</v>
      </c>
      <c r="O297" t="s">
        <v>171</v>
      </c>
      <c r="Q297" t="s">
        <v>93</v>
      </c>
      <c r="R297">
        <v>950000</v>
      </c>
      <c r="T297">
        <v>10</v>
      </c>
      <c r="U297">
        <v>7</v>
      </c>
      <c r="Z297" t="s">
        <v>638</v>
      </c>
    </row>
    <row r="298" spans="1:31" x14ac:dyDescent="0.25">
      <c r="A298" t="str">
        <f t="shared" si="4"/>
        <v>500000892979707922</v>
      </c>
      <c r="B298">
        <v>5025014653</v>
      </c>
      <c r="C298" s="10" t="s">
        <v>170</v>
      </c>
      <c r="D298" s="10">
        <v>45895</v>
      </c>
      <c r="E298">
        <v>2025</v>
      </c>
      <c r="F298">
        <v>1</v>
      </c>
      <c r="G298" s="60">
        <v>2</v>
      </c>
      <c r="I298" s="26">
        <v>5000008929</v>
      </c>
      <c r="J298" t="s">
        <v>37</v>
      </c>
      <c r="K298" t="s">
        <v>38</v>
      </c>
      <c r="M298">
        <v>79707922</v>
      </c>
      <c r="N298">
        <v>101</v>
      </c>
      <c r="O298" t="s">
        <v>171</v>
      </c>
      <c r="Q298" t="s">
        <v>93</v>
      </c>
      <c r="R298">
        <v>300000</v>
      </c>
      <c r="T298">
        <v>2</v>
      </c>
      <c r="U298">
        <v>1</v>
      </c>
      <c r="Z298" t="s">
        <v>644</v>
      </c>
    </row>
    <row r="299" spans="1:31" x14ac:dyDescent="0.25">
      <c r="A299" t="str">
        <f t="shared" si="4"/>
        <v>500000534079707922</v>
      </c>
      <c r="B299">
        <v>5025014653</v>
      </c>
      <c r="C299" s="10" t="s">
        <v>170</v>
      </c>
      <c r="D299" s="10">
        <v>45895</v>
      </c>
      <c r="E299">
        <v>2025</v>
      </c>
      <c r="F299">
        <v>2</v>
      </c>
      <c r="G299" s="60">
        <v>3</v>
      </c>
      <c r="I299" s="26">
        <v>5000005340</v>
      </c>
      <c r="J299" t="s">
        <v>37</v>
      </c>
      <c r="K299" t="s">
        <v>38</v>
      </c>
      <c r="M299">
        <v>79707922</v>
      </c>
      <c r="N299">
        <v>101</v>
      </c>
      <c r="O299" t="s">
        <v>171</v>
      </c>
      <c r="Q299" t="s">
        <v>35</v>
      </c>
      <c r="R299">
        <v>465000</v>
      </c>
      <c r="T299">
        <v>3</v>
      </c>
      <c r="U299">
        <v>2</v>
      </c>
      <c r="Z299" t="s">
        <v>645</v>
      </c>
    </row>
    <row r="300" spans="1:31" x14ac:dyDescent="0.25">
      <c r="A300" t="str">
        <f t="shared" si="4"/>
        <v>500001721679707822</v>
      </c>
      <c r="B300">
        <v>5025014667</v>
      </c>
      <c r="C300" s="10" t="s">
        <v>170</v>
      </c>
      <c r="D300" s="10">
        <v>45895</v>
      </c>
      <c r="E300">
        <v>2025</v>
      </c>
      <c r="F300">
        <v>1</v>
      </c>
      <c r="G300" s="60">
        <v>1</v>
      </c>
      <c r="I300" s="26">
        <v>5000017216</v>
      </c>
      <c r="J300" t="s">
        <v>37</v>
      </c>
      <c r="K300" t="s">
        <v>38</v>
      </c>
      <c r="M300">
        <v>79707822</v>
      </c>
      <c r="N300">
        <v>101</v>
      </c>
      <c r="O300" t="s">
        <v>171</v>
      </c>
      <c r="Q300" t="s">
        <v>35</v>
      </c>
      <c r="R300">
        <v>1120000</v>
      </c>
      <c r="T300">
        <v>1</v>
      </c>
      <c r="U300">
        <v>1</v>
      </c>
      <c r="Z300" t="s">
        <v>637</v>
      </c>
      <c r="AB300">
        <v>0</v>
      </c>
      <c r="AC300">
        <v>0</v>
      </c>
      <c r="AE300">
        <v>0</v>
      </c>
    </row>
    <row r="301" spans="1:31" x14ac:dyDescent="0.25">
      <c r="A301" t="str">
        <f t="shared" si="4"/>
        <v>500001721679708069</v>
      </c>
      <c r="B301">
        <v>5025015213</v>
      </c>
      <c r="C301" s="10" t="s">
        <v>170</v>
      </c>
      <c r="D301" s="10">
        <v>45902</v>
      </c>
      <c r="E301">
        <v>2025</v>
      </c>
      <c r="F301">
        <v>1</v>
      </c>
      <c r="G301" s="60">
        <v>1</v>
      </c>
      <c r="I301" s="26">
        <v>5000017216</v>
      </c>
      <c r="J301" t="s">
        <v>37</v>
      </c>
      <c r="K301" t="s">
        <v>38</v>
      </c>
      <c r="M301">
        <v>79708069</v>
      </c>
      <c r="N301">
        <v>101</v>
      </c>
      <c r="O301" t="s">
        <v>171</v>
      </c>
      <c r="Q301" t="s">
        <v>35</v>
      </c>
      <c r="R301">
        <v>1120000</v>
      </c>
      <c r="T301">
        <v>1</v>
      </c>
      <c r="U301">
        <v>1</v>
      </c>
      <c r="Z301" t="s">
        <v>647</v>
      </c>
    </row>
    <row r="302" spans="1:31" x14ac:dyDescent="0.25">
      <c r="A302" t="str">
        <f t="shared" si="4"/>
        <v>500000505979708069</v>
      </c>
      <c r="B302">
        <v>5025015213</v>
      </c>
      <c r="C302" s="10" t="s">
        <v>170</v>
      </c>
      <c r="D302" s="10">
        <v>45902</v>
      </c>
      <c r="E302">
        <v>2025</v>
      </c>
      <c r="F302">
        <v>2</v>
      </c>
      <c r="G302" s="60">
        <v>1</v>
      </c>
      <c r="I302" s="26">
        <v>5000005059</v>
      </c>
      <c r="J302" t="s">
        <v>37</v>
      </c>
      <c r="K302" t="s">
        <v>38</v>
      </c>
      <c r="M302">
        <v>79708069</v>
      </c>
      <c r="N302">
        <v>101</v>
      </c>
      <c r="O302" t="s">
        <v>171</v>
      </c>
      <c r="Q302" t="s">
        <v>93</v>
      </c>
      <c r="R302">
        <v>95000</v>
      </c>
      <c r="T302">
        <v>1</v>
      </c>
      <c r="U302">
        <v>2</v>
      </c>
      <c r="Z302" t="s">
        <v>647</v>
      </c>
    </row>
    <row r="303" spans="1:31" x14ac:dyDescent="0.25">
      <c r="A303" t="str">
        <f t="shared" si="4"/>
        <v>500000424879708069</v>
      </c>
      <c r="B303">
        <v>5025015213</v>
      </c>
      <c r="C303" s="10" t="s">
        <v>170</v>
      </c>
      <c r="D303" s="10">
        <v>45902</v>
      </c>
      <c r="E303">
        <v>2025</v>
      </c>
      <c r="F303">
        <v>3</v>
      </c>
      <c r="G303" s="60">
        <v>1</v>
      </c>
      <c r="I303" s="26">
        <v>5000004248</v>
      </c>
      <c r="J303" t="s">
        <v>37</v>
      </c>
      <c r="K303" t="s">
        <v>38</v>
      </c>
      <c r="M303">
        <v>79708069</v>
      </c>
      <c r="N303">
        <v>101</v>
      </c>
      <c r="O303" t="s">
        <v>171</v>
      </c>
      <c r="Q303" t="s">
        <v>93</v>
      </c>
      <c r="R303">
        <v>65000</v>
      </c>
      <c r="T303">
        <v>1</v>
      </c>
      <c r="U303">
        <v>3</v>
      </c>
      <c r="Z303" t="s">
        <v>647</v>
      </c>
    </row>
    <row r="304" spans="1:31" x14ac:dyDescent="0.25">
      <c r="A304" t="str">
        <f t="shared" si="4"/>
        <v>500001202179708069</v>
      </c>
      <c r="B304">
        <v>5025015213</v>
      </c>
      <c r="C304" s="10" t="s">
        <v>170</v>
      </c>
      <c r="D304" s="10">
        <v>45902</v>
      </c>
      <c r="E304">
        <v>2025</v>
      </c>
      <c r="F304">
        <v>4</v>
      </c>
      <c r="G304" s="60">
        <v>1</v>
      </c>
      <c r="I304" s="26">
        <v>5000012021</v>
      </c>
      <c r="J304" t="s">
        <v>37</v>
      </c>
      <c r="K304" t="s">
        <v>38</v>
      </c>
      <c r="M304">
        <v>79708069</v>
      </c>
      <c r="N304">
        <v>101</v>
      </c>
      <c r="O304" t="s">
        <v>171</v>
      </c>
      <c r="Q304" t="s">
        <v>93</v>
      </c>
      <c r="R304">
        <v>30000</v>
      </c>
      <c r="T304">
        <v>1</v>
      </c>
      <c r="U304">
        <v>4</v>
      </c>
      <c r="Z304" t="s">
        <v>648</v>
      </c>
    </row>
    <row r="305" spans="1:31" x14ac:dyDescent="0.25">
      <c r="A305" t="str">
        <f t="shared" si="4"/>
        <v>500001721679708292</v>
      </c>
      <c r="B305">
        <v>5025015218</v>
      </c>
      <c r="C305" s="10" t="s">
        <v>170</v>
      </c>
      <c r="D305" s="10">
        <v>45902</v>
      </c>
      <c r="E305">
        <v>2025</v>
      </c>
      <c r="F305">
        <v>1</v>
      </c>
      <c r="G305" s="60">
        <v>1</v>
      </c>
      <c r="I305" s="26">
        <v>5000017216</v>
      </c>
      <c r="J305" t="s">
        <v>37</v>
      </c>
      <c r="K305" t="s">
        <v>38</v>
      </c>
      <c r="M305">
        <v>79708292</v>
      </c>
      <c r="N305">
        <v>101</v>
      </c>
      <c r="O305" t="s">
        <v>171</v>
      </c>
      <c r="Q305" t="s">
        <v>35</v>
      </c>
      <c r="R305">
        <v>1120000</v>
      </c>
      <c r="T305">
        <v>1</v>
      </c>
      <c r="U305">
        <v>1</v>
      </c>
      <c r="Z305" t="s">
        <v>653</v>
      </c>
    </row>
    <row r="306" spans="1:31" x14ac:dyDescent="0.25">
      <c r="A306" t="str">
        <f t="shared" si="4"/>
        <v>500001200679708292</v>
      </c>
      <c r="B306">
        <v>5025015218</v>
      </c>
      <c r="C306" s="10" t="s">
        <v>170</v>
      </c>
      <c r="D306" s="10">
        <v>45902</v>
      </c>
      <c r="E306">
        <v>2025</v>
      </c>
      <c r="F306">
        <v>2</v>
      </c>
      <c r="G306" s="60">
        <v>1</v>
      </c>
      <c r="I306" s="26">
        <v>5000012006</v>
      </c>
      <c r="J306" t="s">
        <v>37</v>
      </c>
      <c r="K306" t="s">
        <v>38</v>
      </c>
      <c r="M306">
        <v>79708292</v>
      </c>
      <c r="N306">
        <v>101</v>
      </c>
      <c r="O306" t="s">
        <v>171</v>
      </c>
      <c r="Q306" t="s">
        <v>35</v>
      </c>
      <c r="R306">
        <v>1750000</v>
      </c>
      <c r="T306">
        <v>1</v>
      </c>
      <c r="U306">
        <v>2</v>
      </c>
      <c r="Z306" t="s">
        <v>654</v>
      </c>
    </row>
    <row r="307" spans="1:31" x14ac:dyDescent="0.25">
      <c r="A307" t="str">
        <f t="shared" si="4"/>
        <v>500000534079708292</v>
      </c>
      <c r="B307">
        <v>5025015218</v>
      </c>
      <c r="C307" s="10" t="s">
        <v>170</v>
      </c>
      <c r="D307" s="10">
        <v>45902</v>
      </c>
      <c r="E307">
        <v>2025</v>
      </c>
      <c r="F307">
        <v>3</v>
      </c>
      <c r="G307" s="60">
        <v>1</v>
      </c>
      <c r="I307" s="26">
        <v>5000005340</v>
      </c>
      <c r="J307" t="s">
        <v>37</v>
      </c>
      <c r="K307" t="s">
        <v>38</v>
      </c>
      <c r="M307">
        <v>79708292</v>
      </c>
      <c r="N307">
        <v>101</v>
      </c>
      <c r="O307" t="s">
        <v>171</v>
      </c>
      <c r="Q307" t="s">
        <v>35</v>
      </c>
      <c r="R307">
        <v>155000</v>
      </c>
      <c r="T307">
        <v>1</v>
      </c>
      <c r="U307">
        <v>3</v>
      </c>
      <c r="Z307" t="s">
        <v>659</v>
      </c>
    </row>
    <row r="308" spans="1:31" x14ac:dyDescent="0.25">
      <c r="A308" t="str">
        <f t="shared" si="4"/>
        <v>500001785679708290</v>
      </c>
      <c r="B308">
        <v>5025015219</v>
      </c>
      <c r="C308" s="10" t="s">
        <v>170</v>
      </c>
      <c r="D308" s="10">
        <v>45902</v>
      </c>
      <c r="E308">
        <v>2025</v>
      </c>
      <c r="F308">
        <v>1</v>
      </c>
      <c r="G308" s="60">
        <v>1</v>
      </c>
      <c r="I308" s="26">
        <v>5000017856</v>
      </c>
      <c r="J308" t="s">
        <v>37</v>
      </c>
      <c r="K308" t="s">
        <v>38</v>
      </c>
      <c r="M308">
        <v>79708290</v>
      </c>
      <c r="N308">
        <v>101</v>
      </c>
      <c r="O308" t="s">
        <v>171</v>
      </c>
      <c r="Q308" t="s">
        <v>35</v>
      </c>
      <c r="R308">
        <v>11261261.300000001</v>
      </c>
      <c r="T308">
        <v>1</v>
      </c>
      <c r="U308">
        <v>1</v>
      </c>
      <c r="Z308" t="s">
        <v>669</v>
      </c>
      <c r="AB308">
        <v>0</v>
      </c>
      <c r="AC308">
        <v>0</v>
      </c>
      <c r="AE308">
        <v>0</v>
      </c>
    </row>
    <row r="309" spans="1:31" x14ac:dyDescent="0.25">
      <c r="A309" t="str">
        <f t="shared" si="4"/>
        <v>500001196079708290</v>
      </c>
      <c r="B309">
        <v>5025015219</v>
      </c>
      <c r="C309" s="10" t="s">
        <v>170</v>
      </c>
      <c r="D309" s="10">
        <v>45902</v>
      </c>
      <c r="E309">
        <v>2025</v>
      </c>
      <c r="F309">
        <v>2</v>
      </c>
      <c r="G309" s="60">
        <v>1</v>
      </c>
      <c r="I309" s="26">
        <v>5000011960</v>
      </c>
      <c r="J309" t="s">
        <v>37</v>
      </c>
      <c r="K309" t="s">
        <v>38</v>
      </c>
      <c r="M309">
        <v>79708290</v>
      </c>
      <c r="N309">
        <v>101</v>
      </c>
      <c r="O309" t="s">
        <v>171</v>
      </c>
      <c r="Q309" t="s">
        <v>93</v>
      </c>
      <c r="R309">
        <v>1621621.7</v>
      </c>
      <c r="T309">
        <v>1</v>
      </c>
      <c r="U309">
        <v>2</v>
      </c>
      <c r="Z309" t="s">
        <v>670</v>
      </c>
      <c r="AB309">
        <v>0</v>
      </c>
      <c r="AC309">
        <v>0</v>
      </c>
      <c r="AE309">
        <v>0</v>
      </c>
    </row>
    <row r="310" spans="1:31" x14ac:dyDescent="0.25">
      <c r="A310" t="str">
        <f t="shared" si="4"/>
        <v>500000973079708199</v>
      </c>
      <c r="B310">
        <v>5025015221</v>
      </c>
      <c r="C310" s="10" t="s">
        <v>170</v>
      </c>
      <c r="D310" s="10">
        <v>45902</v>
      </c>
      <c r="E310">
        <v>2025</v>
      </c>
      <c r="F310">
        <v>1</v>
      </c>
      <c r="G310" s="60">
        <v>1</v>
      </c>
      <c r="I310" s="26">
        <v>5000009730</v>
      </c>
      <c r="J310" t="s">
        <v>37</v>
      </c>
      <c r="K310" t="s">
        <v>38</v>
      </c>
      <c r="M310">
        <v>79708199</v>
      </c>
      <c r="N310">
        <v>101</v>
      </c>
      <c r="O310" t="s">
        <v>171</v>
      </c>
      <c r="Q310" t="s">
        <v>35</v>
      </c>
      <c r="R310">
        <v>9450000</v>
      </c>
      <c r="T310">
        <v>1</v>
      </c>
      <c r="U310">
        <v>1</v>
      </c>
      <c r="Z310" t="s">
        <v>668</v>
      </c>
    </row>
    <row r="311" spans="1:31" x14ac:dyDescent="0.25">
      <c r="A311" t="str">
        <f t="shared" si="4"/>
        <v>500001672879708400</v>
      </c>
      <c r="B311">
        <v>5025015576</v>
      </c>
      <c r="C311" s="10" t="s">
        <v>170</v>
      </c>
      <c r="D311" s="10">
        <v>45909</v>
      </c>
      <c r="E311">
        <v>2025</v>
      </c>
      <c r="F311">
        <v>1</v>
      </c>
      <c r="G311" s="60">
        <v>1</v>
      </c>
      <c r="I311" s="26">
        <v>5000016728</v>
      </c>
      <c r="J311" t="s">
        <v>37</v>
      </c>
      <c r="K311" t="s">
        <v>38</v>
      </c>
      <c r="M311">
        <v>79708400</v>
      </c>
      <c r="N311">
        <v>101</v>
      </c>
      <c r="O311" t="s">
        <v>171</v>
      </c>
      <c r="Q311" t="s">
        <v>35</v>
      </c>
      <c r="R311">
        <v>346847</v>
      </c>
      <c r="T311">
        <v>1</v>
      </c>
      <c r="U311">
        <v>1</v>
      </c>
      <c r="Z311" t="s">
        <v>679</v>
      </c>
    </row>
    <row r="312" spans="1:31" x14ac:dyDescent="0.25">
      <c r="A312" t="str">
        <f t="shared" si="4"/>
        <v>500000534079708501</v>
      </c>
      <c r="B312">
        <v>5025015623</v>
      </c>
      <c r="C312" s="10" t="s">
        <v>170</v>
      </c>
      <c r="D312" s="10">
        <v>45909</v>
      </c>
      <c r="E312">
        <v>2025</v>
      </c>
      <c r="F312">
        <v>1</v>
      </c>
      <c r="G312" s="60">
        <v>2</v>
      </c>
      <c r="I312" s="26">
        <v>5000005340</v>
      </c>
      <c r="J312" t="s">
        <v>37</v>
      </c>
      <c r="K312" t="s">
        <v>38</v>
      </c>
      <c r="M312">
        <v>79708501</v>
      </c>
      <c r="N312">
        <v>101</v>
      </c>
      <c r="O312" t="s">
        <v>171</v>
      </c>
      <c r="Q312" t="s">
        <v>35</v>
      </c>
      <c r="R312">
        <v>310000</v>
      </c>
      <c r="T312">
        <v>2</v>
      </c>
      <c r="U312">
        <v>1</v>
      </c>
      <c r="Z312" t="s">
        <v>672</v>
      </c>
    </row>
    <row r="313" spans="1:31" x14ac:dyDescent="0.25">
      <c r="A313" t="str">
        <f t="shared" si="4"/>
        <v>500001721679708373</v>
      </c>
      <c r="B313">
        <v>5025015664</v>
      </c>
      <c r="C313" s="10" t="s">
        <v>170</v>
      </c>
      <c r="D313" s="10">
        <v>45910</v>
      </c>
      <c r="E313">
        <v>2025</v>
      </c>
      <c r="F313">
        <v>1</v>
      </c>
      <c r="G313" s="60">
        <v>1</v>
      </c>
      <c r="I313" s="26">
        <v>5000017216</v>
      </c>
      <c r="J313" t="s">
        <v>37</v>
      </c>
      <c r="K313" t="s">
        <v>38</v>
      </c>
      <c r="M313">
        <v>79708373</v>
      </c>
      <c r="N313">
        <v>101</v>
      </c>
      <c r="O313" t="s">
        <v>171</v>
      </c>
      <c r="Q313" t="s">
        <v>35</v>
      </c>
      <c r="R313">
        <v>1120000</v>
      </c>
      <c r="T313">
        <v>1</v>
      </c>
      <c r="U313">
        <v>1</v>
      </c>
      <c r="Z313" t="s">
        <v>664</v>
      </c>
    </row>
    <row r="314" spans="1:31" x14ac:dyDescent="0.25">
      <c r="A314" t="str">
        <f t="shared" si="4"/>
        <v>500000505979708373</v>
      </c>
      <c r="B314">
        <v>5025015664</v>
      </c>
      <c r="C314" s="10" t="s">
        <v>170</v>
      </c>
      <c r="D314" s="10">
        <v>45910</v>
      </c>
      <c r="E314">
        <v>2025</v>
      </c>
      <c r="F314">
        <v>2</v>
      </c>
      <c r="G314" s="60">
        <v>1</v>
      </c>
      <c r="I314" s="26">
        <v>5000005059</v>
      </c>
      <c r="J314" t="s">
        <v>37</v>
      </c>
      <c r="K314" t="s">
        <v>38</v>
      </c>
      <c r="M314">
        <v>79708373</v>
      </c>
      <c r="N314">
        <v>101</v>
      </c>
      <c r="O314" t="s">
        <v>171</v>
      </c>
      <c r="Q314" t="s">
        <v>93</v>
      </c>
      <c r="R314">
        <v>95000</v>
      </c>
      <c r="T314">
        <v>1</v>
      </c>
      <c r="U314">
        <v>2</v>
      </c>
      <c r="Z314" t="s">
        <v>663</v>
      </c>
    </row>
    <row r="315" spans="1:31" x14ac:dyDescent="0.25">
      <c r="A315" t="str">
        <f t="shared" si="4"/>
        <v>500000424879708373</v>
      </c>
      <c r="B315">
        <v>5025015664</v>
      </c>
      <c r="C315" s="10" t="s">
        <v>170</v>
      </c>
      <c r="D315" s="10">
        <v>45910</v>
      </c>
      <c r="E315">
        <v>2025</v>
      </c>
      <c r="F315">
        <v>3</v>
      </c>
      <c r="G315" s="60">
        <v>1</v>
      </c>
      <c r="I315" s="26">
        <v>5000004248</v>
      </c>
      <c r="J315" t="s">
        <v>37</v>
      </c>
      <c r="K315" t="s">
        <v>38</v>
      </c>
      <c r="M315">
        <v>79708373</v>
      </c>
      <c r="N315">
        <v>101</v>
      </c>
      <c r="O315" t="s">
        <v>171</v>
      </c>
      <c r="Q315" t="s">
        <v>93</v>
      </c>
      <c r="R315">
        <v>65000</v>
      </c>
      <c r="T315">
        <v>1</v>
      </c>
      <c r="U315">
        <v>3</v>
      </c>
      <c r="Z315" t="s">
        <v>660</v>
      </c>
    </row>
    <row r="316" spans="1:31" x14ac:dyDescent="0.25">
      <c r="A316" t="str">
        <f t="shared" si="4"/>
        <v>500001202179708373</v>
      </c>
      <c r="B316">
        <v>5025015664</v>
      </c>
      <c r="C316" s="10" t="s">
        <v>170</v>
      </c>
      <c r="D316" s="10">
        <v>45910</v>
      </c>
      <c r="E316">
        <v>2025</v>
      </c>
      <c r="F316">
        <v>4</v>
      </c>
      <c r="G316" s="60">
        <v>1</v>
      </c>
      <c r="I316" s="26">
        <v>5000012021</v>
      </c>
      <c r="J316" t="s">
        <v>37</v>
      </c>
      <c r="K316" t="s">
        <v>38</v>
      </c>
      <c r="M316">
        <v>79708373</v>
      </c>
      <c r="N316">
        <v>101</v>
      </c>
      <c r="O316" t="s">
        <v>171</v>
      </c>
      <c r="Q316" t="s">
        <v>93</v>
      </c>
      <c r="R316">
        <v>30000</v>
      </c>
      <c r="T316">
        <v>1</v>
      </c>
      <c r="U316">
        <v>4</v>
      </c>
      <c r="Z316" t="s">
        <v>661</v>
      </c>
    </row>
    <row r="317" spans="1:31" x14ac:dyDescent="0.25">
      <c r="A317" t="str">
        <f t="shared" si="4"/>
        <v>500001658379708339</v>
      </c>
      <c r="B317">
        <v>5025015667</v>
      </c>
      <c r="C317" s="10" t="s">
        <v>170</v>
      </c>
      <c r="D317" s="10">
        <v>45910</v>
      </c>
      <c r="E317">
        <v>2025</v>
      </c>
      <c r="F317">
        <v>1</v>
      </c>
      <c r="G317" s="60">
        <v>1</v>
      </c>
      <c r="I317" s="26">
        <v>5000016583</v>
      </c>
      <c r="J317" t="s">
        <v>37</v>
      </c>
      <c r="K317" t="s">
        <v>38</v>
      </c>
      <c r="M317">
        <v>79708339</v>
      </c>
      <c r="N317">
        <v>101</v>
      </c>
      <c r="O317" t="s">
        <v>171</v>
      </c>
      <c r="Q317" t="s">
        <v>35</v>
      </c>
      <c r="R317">
        <v>8450000</v>
      </c>
      <c r="T317">
        <v>1</v>
      </c>
      <c r="U317">
        <v>1</v>
      </c>
      <c r="Z317" t="s">
        <v>671</v>
      </c>
    </row>
    <row r="318" spans="1:31" x14ac:dyDescent="0.25">
      <c r="A318" t="str">
        <f t="shared" si="4"/>
        <v>500001625579708291</v>
      </c>
      <c r="B318">
        <v>5025015865</v>
      </c>
      <c r="C318" s="10" t="s">
        <v>170</v>
      </c>
      <c r="D318" s="10">
        <v>45911</v>
      </c>
      <c r="E318">
        <v>2025</v>
      </c>
      <c r="F318">
        <v>1</v>
      </c>
      <c r="G318" s="60">
        <v>2</v>
      </c>
      <c r="I318" s="26">
        <v>5000016255</v>
      </c>
      <c r="J318" t="s">
        <v>37</v>
      </c>
      <c r="K318" t="s">
        <v>38</v>
      </c>
      <c r="M318">
        <v>79708291</v>
      </c>
      <c r="N318">
        <v>101</v>
      </c>
      <c r="O318" t="s">
        <v>171</v>
      </c>
      <c r="Q318" t="s">
        <v>93</v>
      </c>
      <c r="R318">
        <v>686000</v>
      </c>
      <c r="T318">
        <v>2</v>
      </c>
      <c r="U318">
        <v>1</v>
      </c>
      <c r="Z318" t="s">
        <v>650</v>
      </c>
    </row>
    <row r="319" spans="1:31" x14ac:dyDescent="0.25">
      <c r="A319" t="str">
        <f t="shared" si="4"/>
        <v>500001591979708291</v>
      </c>
      <c r="B319">
        <v>5025015865</v>
      </c>
      <c r="C319" s="10" t="s">
        <v>170</v>
      </c>
      <c r="D319" s="10">
        <v>45911</v>
      </c>
      <c r="E319">
        <v>2025</v>
      </c>
      <c r="F319">
        <v>2</v>
      </c>
      <c r="G319" s="60">
        <v>1</v>
      </c>
      <c r="I319" s="26">
        <v>5000015919</v>
      </c>
      <c r="J319" t="s">
        <v>37</v>
      </c>
      <c r="K319" t="s">
        <v>38</v>
      </c>
      <c r="M319">
        <v>79708291</v>
      </c>
      <c r="N319">
        <v>101</v>
      </c>
      <c r="O319" t="s">
        <v>171</v>
      </c>
      <c r="Q319" t="s">
        <v>35</v>
      </c>
      <c r="R319">
        <v>369500</v>
      </c>
      <c r="T319">
        <v>1</v>
      </c>
      <c r="U319">
        <v>2</v>
      </c>
      <c r="Z319" t="s">
        <v>651</v>
      </c>
    </row>
    <row r="320" spans="1:31" x14ac:dyDescent="0.25">
      <c r="A320" t="str">
        <f t="shared" si="4"/>
        <v>500001597079708291</v>
      </c>
      <c r="B320">
        <v>5025015865</v>
      </c>
      <c r="C320" s="10" t="s">
        <v>170</v>
      </c>
      <c r="D320" s="10">
        <v>45911</v>
      </c>
      <c r="E320">
        <v>2025</v>
      </c>
      <c r="F320">
        <v>3</v>
      </c>
      <c r="G320" s="60">
        <v>1</v>
      </c>
      <c r="I320" s="26">
        <v>5000015970</v>
      </c>
      <c r="J320" t="s">
        <v>37</v>
      </c>
      <c r="K320" t="s">
        <v>38</v>
      </c>
      <c r="M320">
        <v>79708291</v>
      </c>
      <c r="N320">
        <v>101</v>
      </c>
      <c r="O320" t="s">
        <v>171</v>
      </c>
      <c r="Q320" t="s">
        <v>35</v>
      </c>
      <c r="R320">
        <v>180000</v>
      </c>
      <c r="T320">
        <v>1</v>
      </c>
      <c r="U320">
        <v>3</v>
      </c>
      <c r="Z320" t="s">
        <v>652</v>
      </c>
    </row>
    <row r="321" spans="1:31" x14ac:dyDescent="0.25">
      <c r="A321" t="str">
        <f t="shared" si="4"/>
        <v>500001429179708291</v>
      </c>
      <c r="B321">
        <v>5025015865</v>
      </c>
      <c r="C321" s="10" t="s">
        <v>170</v>
      </c>
      <c r="D321" s="10">
        <v>45911</v>
      </c>
      <c r="E321">
        <v>2025</v>
      </c>
      <c r="F321">
        <v>4</v>
      </c>
      <c r="G321" s="60">
        <v>1</v>
      </c>
      <c r="I321" s="26">
        <v>5000014291</v>
      </c>
      <c r="J321" t="s">
        <v>37</v>
      </c>
      <c r="K321" t="s">
        <v>38</v>
      </c>
      <c r="M321">
        <v>79708291</v>
      </c>
      <c r="N321">
        <v>101</v>
      </c>
      <c r="O321" t="s">
        <v>171</v>
      </c>
      <c r="Q321" t="s">
        <v>296</v>
      </c>
      <c r="R321">
        <v>92500</v>
      </c>
      <c r="T321">
        <v>1</v>
      </c>
      <c r="U321">
        <v>4</v>
      </c>
      <c r="Z321" t="s">
        <v>655</v>
      </c>
    </row>
    <row r="322" spans="1:31" x14ac:dyDescent="0.25">
      <c r="A322" t="str">
        <f t="shared" ref="A322:A385" si="5">I322&amp;M322</f>
        <v>500001630879708378</v>
      </c>
      <c r="B322">
        <v>5025015868</v>
      </c>
      <c r="C322" s="10" t="s">
        <v>170</v>
      </c>
      <c r="D322" s="10">
        <v>45911</v>
      </c>
      <c r="E322">
        <v>2025</v>
      </c>
      <c r="F322">
        <v>1</v>
      </c>
      <c r="G322" s="60">
        <v>1</v>
      </c>
      <c r="I322" s="26">
        <v>5000016308</v>
      </c>
      <c r="J322" t="s">
        <v>37</v>
      </c>
      <c r="K322" t="s">
        <v>38</v>
      </c>
      <c r="M322">
        <v>79708378</v>
      </c>
      <c r="N322">
        <v>101</v>
      </c>
      <c r="O322" t="s">
        <v>171</v>
      </c>
      <c r="Q322" t="s">
        <v>35</v>
      </c>
      <c r="R322">
        <v>2980000</v>
      </c>
      <c r="T322">
        <v>1</v>
      </c>
      <c r="U322">
        <v>1</v>
      </c>
      <c r="Z322" t="s">
        <v>665</v>
      </c>
      <c r="AB322">
        <v>0</v>
      </c>
      <c r="AC322">
        <v>0</v>
      </c>
      <c r="AE322">
        <v>0</v>
      </c>
    </row>
    <row r="323" spans="1:31" x14ac:dyDescent="0.25">
      <c r="A323" t="str">
        <f t="shared" si="5"/>
        <v>500001630879708378</v>
      </c>
      <c r="B323">
        <v>5025015868</v>
      </c>
      <c r="C323" s="10" t="s">
        <v>170</v>
      </c>
      <c r="D323" s="10">
        <v>45911</v>
      </c>
      <c r="E323">
        <v>2025</v>
      </c>
      <c r="F323">
        <v>2</v>
      </c>
      <c r="G323" s="60">
        <v>1</v>
      </c>
      <c r="I323" s="26">
        <v>5000016308</v>
      </c>
      <c r="J323" t="s">
        <v>37</v>
      </c>
      <c r="K323" t="s">
        <v>38</v>
      </c>
      <c r="M323">
        <v>79708378</v>
      </c>
      <c r="N323">
        <v>101</v>
      </c>
      <c r="O323" t="s">
        <v>171</v>
      </c>
      <c r="Q323" t="s">
        <v>35</v>
      </c>
      <c r="R323">
        <v>2980000</v>
      </c>
      <c r="T323">
        <v>1</v>
      </c>
      <c r="U323">
        <v>2</v>
      </c>
      <c r="Z323" t="s">
        <v>680</v>
      </c>
      <c r="AB323">
        <v>0</v>
      </c>
      <c r="AC323">
        <v>0</v>
      </c>
      <c r="AE323">
        <v>0</v>
      </c>
    </row>
    <row r="324" spans="1:31" x14ac:dyDescent="0.25">
      <c r="A324" t="str">
        <f t="shared" si="5"/>
        <v>500001792779708376</v>
      </c>
      <c r="B324">
        <v>5025015870</v>
      </c>
      <c r="C324" s="10" t="s">
        <v>170</v>
      </c>
      <c r="D324" s="10">
        <v>45911</v>
      </c>
      <c r="E324">
        <v>2025</v>
      </c>
      <c r="F324">
        <v>1</v>
      </c>
      <c r="G324" s="60">
        <v>1</v>
      </c>
      <c r="I324" s="26">
        <v>5000017927</v>
      </c>
      <c r="J324" t="s">
        <v>37</v>
      </c>
      <c r="K324" t="s">
        <v>38</v>
      </c>
      <c r="M324">
        <v>79708376</v>
      </c>
      <c r="N324">
        <v>101</v>
      </c>
      <c r="O324" t="s">
        <v>171</v>
      </c>
      <c r="Q324" t="s">
        <v>93</v>
      </c>
      <c r="R324">
        <v>264000</v>
      </c>
      <c r="T324">
        <v>1</v>
      </c>
      <c r="U324">
        <v>1</v>
      </c>
      <c r="Z324" t="s">
        <v>667</v>
      </c>
    </row>
    <row r="325" spans="1:31" x14ac:dyDescent="0.25">
      <c r="A325" t="str">
        <f t="shared" si="5"/>
        <v>500001721679708755</v>
      </c>
      <c r="B325">
        <v>5025016057</v>
      </c>
      <c r="C325" s="10" t="s">
        <v>170</v>
      </c>
      <c r="D325" s="10">
        <v>45915</v>
      </c>
      <c r="E325">
        <v>2025</v>
      </c>
      <c r="F325">
        <v>1</v>
      </c>
      <c r="G325" s="60">
        <v>1</v>
      </c>
      <c r="I325" s="26">
        <v>5000017216</v>
      </c>
      <c r="J325" t="s">
        <v>37</v>
      </c>
      <c r="K325" t="s">
        <v>38</v>
      </c>
      <c r="M325">
        <v>79708755</v>
      </c>
      <c r="N325">
        <v>101</v>
      </c>
      <c r="O325" t="s">
        <v>171</v>
      </c>
      <c r="Q325" t="s">
        <v>35</v>
      </c>
      <c r="R325">
        <v>1120000</v>
      </c>
      <c r="T325">
        <v>1</v>
      </c>
      <c r="U325">
        <v>1</v>
      </c>
      <c r="Z325" t="s">
        <v>675</v>
      </c>
    </row>
    <row r="326" spans="1:31" x14ac:dyDescent="0.25">
      <c r="A326" t="str">
        <f t="shared" si="5"/>
        <v>500000505979708755</v>
      </c>
      <c r="B326">
        <v>5025016057</v>
      </c>
      <c r="C326" s="10" t="s">
        <v>170</v>
      </c>
      <c r="D326" s="10">
        <v>45915</v>
      </c>
      <c r="E326">
        <v>2025</v>
      </c>
      <c r="F326">
        <v>2</v>
      </c>
      <c r="G326" s="60">
        <v>1</v>
      </c>
      <c r="I326" s="26">
        <v>5000005059</v>
      </c>
      <c r="J326" t="s">
        <v>37</v>
      </c>
      <c r="K326" t="s">
        <v>38</v>
      </c>
      <c r="M326">
        <v>79708755</v>
      </c>
      <c r="N326">
        <v>101</v>
      </c>
      <c r="O326" t="s">
        <v>171</v>
      </c>
      <c r="Q326" t="s">
        <v>93</v>
      </c>
      <c r="R326">
        <v>95000</v>
      </c>
      <c r="T326">
        <v>1</v>
      </c>
      <c r="U326">
        <v>2</v>
      </c>
      <c r="Z326" t="s">
        <v>676</v>
      </c>
    </row>
    <row r="327" spans="1:31" x14ac:dyDescent="0.25">
      <c r="A327" t="str">
        <f t="shared" si="5"/>
        <v>500000424879708755</v>
      </c>
      <c r="B327">
        <v>5025016057</v>
      </c>
      <c r="C327" s="10" t="s">
        <v>170</v>
      </c>
      <c r="D327" s="10">
        <v>45915</v>
      </c>
      <c r="E327">
        <v>2025</v>
      </c>
      <c r="F327">
        <v>3</v>
      </c>
      <c r="G327" s="60">
        <v>1</v>
      </c>
      <c r="I327" s="26">
        <v>5000004248</v>
      </c>
      <c r="J327" t="s">
        <v>37</v>
      </c>
      <c r="K327" t="s">
        <v>38</v>
      </c>
      <c r="M327">
        <v>79708755</v>
      </c>
      <c r="N327">
        <v>101</v>
      </c>
      <c r="O327" t="s">
        <v>171</v>
      </c>
      <c r="Q327" t="s">
        <v>93</v>
      </c>
      <c r="R327">
        <v>65000</v>
      </c>
      <c r="T327">
        <v>1</v>
      </c>
      <c r="U327">
        <v>3</v>
      </c>
      <c r="Z327" t="s">
        <v>677</v>
      </c>
    </row>
    <row r="328" spans="1:31" x14ac:dyDescent="0.25">
      <c r="A328" t="str">
        <f t="shared" si="5"/>
        <v>500001202179708755</v>
      </c>
      <c r="B328">
        <v>5025016057</v>
      </c>
      <c r="C328" s="10" t="s">
        <v>170</v>
      </c>
      <c r="D328" s="10">
        <v>45915</v>
      </c>
      <c r="E328">
        <v>2025</v>
      </c>
      <c r="F328">
        <v>4</v>
      </c>
      <c r="G328" s="60">
        <v>1</v>
      </c>
      <c r="I328" s="26">
        <v>5000012021</v>
      </c>
      <c r="J328" t="s">
        <v>37</v>
      </c>
      <c r="K328" t="s">
        <v>38</v>
      </c>
      <c r="M328">
        <v>79708755</v>
      </c>
      <c r="N328">
        <v>101</v>
      </c>
      <c r="O328" t="s">
        <v>171</v>
      </c>
      <c r="Q328" t="s">
        <v>93</v>
      </c>
      <c r="R328">
        <v>30000</v>
      </c>
      <c r="T328">
        <v>1</v>
      </c>
      <c r="U328">
        <v>4</v>
      </c>
      <c r="Z328" t="s">
        <v>678</v>
      </c>
    </row>
    <row r="329" spans="1:31" x14ac:dyDescent="0.25">
      <c r="A329" t="str">
        <f t="shared" si="5"/>
        <v>500000424879708755</v>
      </c>
      <c r="B329">
        <v>5025016057</v>
      </c>
      <c r="C329" s="10" t="s">
        <v>170</v>
      </c>
      <c r="D329" s="10">
        <v>45915</v>
      </c>
      <c r="E329">
        <v>2025</v>
      </c>
      <c r="F329">
        <v>5</v>
      </c>
      <c r="G329" s="60">
        <v>12</v>
      </c>
      <c r="I329" s="26">
        <v>5000004248</v>
      </c>
      <c r="J329" t="s">
        <v>37</v>
      </c>
      <c r="K329" t="s">
        <v>38</v>
      </c>
      <c r="M329">
        <v>79708755</v>
      </c>
      <c r="N329">
        <v>101</v>
      </c>
      <c r="O329" t="s">
        <v>171</v>
      </c>
      <c r="Q329" t="s">
        <v>93</v>
      </c>
      <c r="R329">
        <v>780000</v>
      </c>
      <c r="T329">
        <v>12</v>
      </c>
      <c r="U329">
        <v>5</v>
      </c>
      <c r="Z329" t="s">
        <v>686</v>
      </c>
    </row>
    <row r="330" spans="1:31" x14ac:dyDescent="0.25">
      <c r="A330" t="str">
        <f t="shared" si="5"/>
        <v>500000824279708755</v>
      </c>
      <c r="B330">
        <v>5025016057</v>
      </c>
      <c r="C330" s="10" t="s">
        <v>170</v>
      </c>
      <c r="D330" s="10">
        <v>45915</v>
      </c>
      <c r="E330">
        <v>2025</v>
      </c>
      <c r="F330">
        <v>6</v>
      </c>
      <c r="G330" s="60">
        <v>1</v>
      </c>
      <c r="I330" s="26">
        <v>5000008242</v>
      </c>
      <c r="J330" t="s">
        <v>37</v>
      </c>
      <c r="K330" t="s">
        <v>38</v>
      </c>
      <c r="M330">
        <v>79708755</v>
      </c>
      <c r="N330">
        <v>101</v>
      </c>
      <c r="O330" t="s">
        <v>171</v>
      </c>
      <c r="Q330" t="s">
        <v>296</v>
      </c>
      <c r="R330">
        <v>225000</v>
      </c>
      <c r="T330">
        <v>1</v>
      </c>
      <c r="U330">
        <v>6</v>
      </c>
      <c r="Z330" t="s">
        <v>594</v>
      </c>
    </row>
    <row r="331" spans="1:31" x14ac:dyDescent="0.25">
      <c r="A331" t="str">
        <f t="shared" si="5"/>
        <v>500001721679708755</v>
      </c>
      <c r="B331">
        <v>5025016057</v>
      </c>
      <c r="C331" s="10" t="s">
        <v>170</v>
      </c>
      <c r="D331" s="10">
        <v>45915</v>
      </c>
      <c r="E331">
        <v>2025</v>
      </c>
      <c r="F331">
        <v>7</v>
      </c>
      <c r="G331" s="60">
        <v>1</v>
      </c>
      <c r="I331" s="26">
        <v>5000017216</v>
      </c>
      <c r="J331" t="s">
        <v>37</v>
      </c>
      <c r="K331" t="s">
        <v>38</v>
      </c>
      <c r="M331">
        <v>79708755</v>
      </c>
      <c r="N331">
        <v>101</v>
      </c>
      <c r="O331" t="s">
        <v>171</v>
      </c>
      <c r="Q331" t="s">
        <v>35</v>
      </c>
      <c r="R331">
        <v>1120000</v>
      </c>
      <c r="T331">
        <v>1</v>
      </c>
      <c r="U331">
        <v>7</v>
      </c>
      <c r="Z331" t="s">
        <v>681</v>
      </c>
    </row>
    <row r="332" spans="1:31" x14ac:dyDescent="0.25">
      <c r="A332" t="str">
        <f t="shared" si="5"/>
        <v>500000505979708755</v>
      </c>
      <c r="B332">
        <v>5025016057</v>
      </c>
      <c r="C332" s="10" t="s">
        <v>170</v>
      </c>
      <c r="D332" s="10">
        <v>45915</v>
      </c>
      <c r="E332">
        <v>2025</v>
      </c>
      <c r="F332">
        <v>8</v>
      </c>
      <c r="G332" s="60">
        <v>1</v>
      </c>
      <c r="I332" s="26">
        <v>5000005059</v>
      </c>
      <c r="J332" t="s">
        <v>37</v>
      </c>
      <c r="K332" t="s">
        <v>38</v>
      </c>
      <c r="M332">
        <v>79708755</v>
      </c>
      <c r="N332">
        <v>101</v>
      </c>
      <c r="O332" t="s">
        <v>171</v>
      </c>
      <c r="Q332" t="s">
        <v>93</v>
      </c>
      <c r="R332">
        <v>95000</v>
      </c>
      <c r="T332">
        <v>1</v>
      </c>
      <c r="U332">
        <v>8</v>
      </c>
      <c r="Z332" t="s">
        <v>683</v>
      </c>
    </row>
    <row r="333" spans="1:31" x14ac:dyDescent="0.25">
      <c r="A333" t="str">
        <f t="shared" si="5"/>
        <v>500000424879708755</v>
      </c>
      <c r="B333">
        <v>5025016057</v>
      </c>
      <c r="C333" s="10" t="s">
        <v>170</v>
      </c>
      <c r="D333" s="10">
        <v>45915</v>
      </c>
      <c r="E333">
        <v>2025</v>
      </c>
      <c r="F333">
        <v>9</v>
      </c>
      <c r="G333" s="60">
        <v>1</v>
      </c>
      <c r="I333" s="26">
        <v>5000004248</v>
      </c>
      <c r="J333" t="s">
        <v>37</v>
      </c>
      <c r="K333" s="25" t="s">
        <v>38</v>
      </c>
      <c r="M333">
        <v>79708755</v>
      </c>
      <c r="N333">
        <v>101</v>
      </c>
      <c r="O333" t="s">
        <v>171</v>
      </c>
      <c r="Q333" t="s">
        <v>93</v>
      </c>
      <c r="R333">
        <v>65000</v>
      </c>
      <c r="T333">
        <v>1</v>
      </c>
      <c r="U333">
        <v>9</v>
      </c>
      <c r="Z333" t="s">
        <v>684</v>
      </c>
    </row>
    <row r="334" spans="1:31" x14ac:dyDescent="0.25">
      <c r="A334" t="str">
        <f t="shared" si="5"/>
        <v>500001202179708755</v>
      </c>
      <c r="B334">
        <v>5025016057</v>
      </c>
      <c r="C334" s="10" t="s">
        <v>170</v>
      </c>
      <c r="D334" s="10">
        <v>45915</v>
      </c>
      <c r="E334">
        <v>2025</v>
      </c>
      <c r="F334">
        <v>10</v>
      </c>
      <c r="G334" s="60">
        <v>1</v>
      </c>
      <c r="I334" s="26">
        <v>5000012021</v>
      </c>
      <c r="J334" t="s">
        <v>37</v>
      </c>
      <c r="K334" s="25" t="s">
        <v>38</v>
      </c>
      <c r="M334">
        <v>79708755</v>
      </c>
      <c r="N334">
        <v>101</v>
      </c>
      <c r="O334" t="s">
        <v>171</v>
      </c>
      <c r="Q334" t="s">
        <v>93</v>
      </c>
      <c r="R334">
        <v>30000</v>
      </c>
      <c r="T334">
        <v>1</v>
      </c>
      <c r="U334">
        <v>10</v>
      </c>
      <c r="Z334" t="s">
        <v>685</v>
      </c>
    </row>
    <row r="335" spans="1:31" x14ac:dyDescent="0.25">
      <c r="A335" t="str">
        <f t="shared" si="5"/>
        <v>500001630879708758</v>
      </c>
      <c r="B335">
        <v>5025016199</v>
      </c>
      <c r="C335" s="25" t="s">
        <v>170</v>
      </c>
      <c r="D335" s="25">
        <v>45917</v>
      </c>
      <c r="E335">
        <v>2025</v>
      </c>
      <c r="F335">
        <v>1</v>
      </c>
      <c r="G335" s="60">
        <v>2</v>
      </c>
      <c r="I335" s="26">
        <v>5000016308</v>
      </c>
      <c r="J335" t="s">
        <v>37</v>
      </c>
      <c r="K335" s="25" t="s">
        <v>38</v>
      </c>
      <c r="M335">
        <v>79708758</v>
      </c>
      <c r="N335">
        <v>101</v>
      </c>
      <c r="O335" t="s">
        <v>171</v>
      </c>
      <c r="Q335" t="s">
        <v>35</v>
      </c>
      <c r="R335">
        <v>5960000</v>
      </c>
      <c r="T335">
        <v>2</v>
      </c>
      <c r="U335">
        <v>1</v>
      </c>
      <c r="Z335" t="s">
        <v>689</v>
      </c>
    </row>
    <row r="336" spans="1:31" x14ac:dyDescent="0.25">
      <c r="A336" t="str">
        <f t="shared" si="5"/>
        <v>500001625579708758</v>
      </c>
      <c r="B336">
        <v>5025016199</v>
      </c>
      <c r="C336" s="25" t="s">
        <v>170</v>
      </c>
      <c r="D336" s="25">
        <v>45917</v>
      </c>
      <c r="E336">
        <v>2025</v>
      </c>
      <c r="F336">
        <v>2</v>
      </c>
      <c r="G336" s="60">
        <v>1</v>
      </c>
      <c r="I336" s="26">
        <v>5000016255</v>
      </c>
      <c r="J336" t="s">
        <v>37</v>
      </c>
      <c r="K336" s="25" t="s">
        <v>38</v>
      </c>
      <c r="M336">
        <v>79708758</v>
      </c>
      <c r="N336">
        <v>101</v>
      </c>
      <c r="O336" t="s">
        <v>171</v>
      </c>
      <c r="Q336" t="s">
        <v>93</v>
      </c>
      <c r="R336">
        <v>343000</v>
      </c>
      <c r="T336">
        <v>1</v>
      </c>
      <c r="U336">
        <v>2</v>
      </c>
      <c r="Z336" t="s">
        <v>688</v>
      </c>
    </row>
    <row r="337" spans="1:31" x14ac:dyDescent="0.25">
      <c r="A337" t="str">
        <f t="shared" si="5"/>
        <v>500001630879708758</v>
      </c>
      <c r="B337">
        <v>5025016199</v>
      </c>
      <c r="C337" s="25" t="s">
        <v>170</v>
      </c>
      <c r="D337" s="25">
        <v>45917</v>
      </c>
      <c r="E337">
        <v>2025</v>
      </c>
      <c r="F337">
        <v>3</v>
      </c>
      <c r="G337" s="60">
        <v>1</v>
      </c>
      <c r="I337" s="26">
        <v>5000016308</v>
      </c>
      <c r="J337" t="s">
        <v>37</v>
      </c>
      <c r="K337" t="s">
        <v>38</v>
      </c>
      <c r="M337">
        <v>79708758</v>
      </c>
      <c r="N337">
        <v>101</v>
      </c>
      <c r="O337" t="s">
        <v>171</v>
      </c>
      <c r="Q337" t="s">
        <v>35</v>
      </c>
      <c r="R337">
        <v>2980000</v>
      </c>
      <c r="T337">
        <v>1</v>
      </c>
      <c r="U337">
        <v>3</v>
      </c>
      <c r="Z337" t="s">
        <v>682</v>
      </c>
    </row>
    <row r="338" spans="1:31" x14ac:dyDescent="0.25">
      <c r="A338" t="str">
        <f t="shared" si="5"/>
        <v>500001308079708847</v>
      </c>
      <c r="B338">
        <v>5025016206</v>
      </c>
      <c r="C338" s="25" t="s">
        <v>170</v>
      </c>
      <c r="D338" s="25">
        <v>45917</v>
      </c>
      <c r="E338">
        <v>2025</v>
      </c>
      <c r="F338">
        <v>1</v>
      </c>
      <c r="G338" s="60">
        <v>1</v>
      </c>
      <c r="I338" s="26">
        <v>5000013080</v>
      </c>
      <c r="J338" t="s">
        <v>37</v>
      </c>
      <c r="K338" t="s">
        <v>38</v>
      </c>
      <c r="M338">
        <v>79708847</v>
      </c>
      <c r="N338">
        <v>101</v>
      </c>
      <c r="O338" t="s">
        <v>171</v>
      </c>
      <c r="Q338" t="s">
        <v>35</v>
      </c>
      <c r="R338">
        <v>125000</v>
      </c>
      <c r="T338">
        <v>1</v>
      </c>
      <c r="U338">
        <v>1</v>
      </c>
      <c r="Z338" t="s">
        <v>687</v>
      </c>
    </row>
    <row r="339" spans="1:31" x14ac:dyDescent="0.25">
      <c r="A339" t="str">
        <f t="shared" si="5"/>
        <v>500000073979709234</v>
      </c>
      <c r="B339">
        <v>5025016955</v>
      </c>
      <c r="C339" s="25" t="s">
        <v>170</v>
      </c>
      <c r="D339" s="25">
        <v>45927</v>
      </c>
      <c r="E339">
        <v>2025</v>
      </c>
      <c r="F339">
        <v>1</v>
      </c>
      <c r="G339" s="60">
        <v>2</v>
      </c>
      <c r="I339" s="26">
        <v>5000000739</v>
      </c>
      <c r="J339" t="s">
        <v>37</v>
      </c>
      <c r="K339" t="s">
        <v>38</v>
      </c>
      <c r="M339">
        <v>79709234</v>
      </c>
      <c r="N339">
        <v>101</v>
      </c>
      <c r="O339" t="s">
        <v>171</v>
      </c>
      <c r="Q339" t="s">
        <v>262</v>
      </c>
      <c r="R339">
        <v>4144144.2</v>
      </c>
      <c r="T339">
        <v>2</v>
      </c>
      <c r="U339">
        <v>1</v>
      </c>
      <c r="Z339" t="s">
        <v>722</v>
      </c>
      <c r="AB339">
        <v>0</v>
      </c>
      <c r="AC339">
        <v>0</v>
      </c>
      <c r="AE339">
        <v>0</v>
      </c>
    </row>
    <row r="340" spans="1:31" x14ac:dyDescent="0.25">
      <c r="A340" t="str">
        <f t="shared" si="5"/>
        <v>500001642879709490</v>
      </c>
      <c r="B340">
        <v>5025017308</v>
      </c>
      <c r="C340" s="25" t="s">
        <v>170</v>
      </c>
      <c r="D340" s="25">
        <v>45932</v>
      </c>
      <c r="E340">
        <v>2025</v>
      </c>
      <c r="F340">
        <v>1</v>
      </c>
      <c r="G340" s="60">
        <v>1</v>
      </c>
      <c r="I340" s="26">
        <v>5000016428</v>
      </c>
      <c r="J340" t="s">
        <v>37</v>
      </c>
      <c r="K340" t="s">
        <v>38</v>
      </c>
      <c r="M340">
        <v>79709490</v>
      </c>
      <c r="N340">
        <v>101</v>
      </c>
      <c r="O340" t="s">
        <v>171</v>
      </c>
      <c r="Q340" t="s">
        <v>35</v>
      </c>
      <c r="R340">
        <v>1486486.5</v>
      </c>
      <c r="T340">
        <v>1</v>
      </c>
      <c r="U340">
        <v>1</v>
      </c>
      <c r="Z340" t="s">
        <v>743</v>
      </c>
      <c r="AB340">
        <v>0</v>
      </c>
      <c r="AC340">
        <v>0</v>
      </c>
      <c r="AE340">
        <v>0</v>
      </c>
    </row>
    <row r="341" spans="1:31" x14ac:dyDescent="0.25">
      <c r="A341" t="str">
        <f t="shared" si="5"/>
        <v>500001785779709468</v>
      </c>
      <c r="B341">
        <v>5025017309</v>
      </c>
      <c r="C341" s="25" t="s">
        <v>170</v>
      </c>
      <c r="D341" s="25">
        <v>45932</v>
      </c>
      <c r="E341">
        <v>2025</v>
      </c>
      <c r="F341">
        <v>1</v>
      </c>
      <c r="G341" s="60">
        <v>1</v>
      </c>
      <c r="I341" s="26">
        <v>5000017857</v>
      </c>
      <c r="J341" t="s">
        <v>37</v>
      </c>
      <c r="K341" t="s">
        <v>38</v>
      </c>
      <c r="M341">
        <v>79709468</v>
      </c>
      <c r="N341">
        <v>101</v>
      </c>
      <c r="O341" t="s">
        <v>171</v>
      </c>
      <c r="Q341" t="s">
        <v>35</v>
      </c>
      <c r="R341">
        <v>20720721</v>
      </c>
      <c r="T341">
        <v>1</v>
      </c>
      <c r="U341">
        <v>1</v>
      </c>
      <c r="Z341" t="s">
        <v>740</v>
      </c>
      <c r="AB341">
        <v>0</v>
      </c>
      <c r="AC341">
        <v>0</v>
      </c>
      <c r="AE341">
        <v>0</v>
      </c>
    </row>
    <row r="342" spans="1:31" x14ac:dyDescent="0.25">
      <c r="A342" t="str">
        <f t="shared" si="5"/>
        <v>500001196079709468</v>
      </c>
      <c r="B342">
        <v>5025017309</v>
      </c>
      <c r="C342" s="25" t="s">
        <v>170</v>
      </c>
      <c r="D342" s="25">
        <v>45932</v>
      </c>
      <c r="E342">
        <v>2025</v>
      </c>
      <c r="F342">
        <v>2</v>
      </c>
      <c r="G342" s="60">
        <v>1</v>
      </c>
      <c r="I342" s="26">
        <v>5000011960</v>
      </c>
      <c r="J342" t="s">
        <v>37</v>
      </c>
      <c r="K342" t="s">
        <v>38</v>
      </c>
      <c r="M342">
        <v>79709468</v>
      </c>
      <c r="N342">
        <v>101</v>
      </c>
      <c r="O342" t="s">
        <v>171</v>
      </c>
      <c r="Q342" t="s">
        <v>93</v>
      </c>
      <c r="R342">
        <v>2117117.2000000002</v>
      </c>
      <c r="T342">
        <v>1</v>
      </c>
      <c r="U342">
        <v>2</v>
      </c>
      <c r="Z342" t="s">
        <v>741</v>
      </c>
      <c r="AB342">
        <v>0</v>
      </c>
      <c r="AC342">
        <v>0</v>
      </c>
      <c r="AE342">
        <v>0</v>
      </c>
    </row>
    <row r="343" spans="1:31" x14ac:dyDescent="0.25">
      <c r="A343" t="str">
        <f t="shared" si="5"/>
        <v>500001721679709304</v>
      </c>
      <c r="B343">
        <v>5025017319</v>
      </c>
      <c r="C343" s="25" t="s">
        <v>170</v>
      </c>
      <c r="D343" s="25">
        <v>45932</v>
      </c>
      <c r="E343">
        <v>2025</v>
      </c>
      <c r="F343">
        <v>1</v>
      </c>
      <c r="G343" s="60">
        <v>2</v>
      </c>
      <c r="I343" s="26">
        <v>5000017216</v>
      </c>
      <c r="J343" t="s">
        <v>37</v>
      </c>
      <c r="K343" t="s">
        <v>38</v>
      </c>
      <c r="M343">
        <v>79709304</v>
      </c>
      <c r="N343">
        <v>101</v>
      </c>
      <c r="O343" t="s">
        <v>171</v>
      </c>
      <c r="Q343" t="s">
        <v>35</v>
      </c>
      <c r="R343">
        <v>2240000</v>
      </c>
      <c r="T343">
        <v>2</v>
      </c>
      <c r="U343">
        <v>1</v>
      </c>
      <c r="Z343" t="s">
        <v>704</v>
      </c>
    </row>
    <row r="344" spans="1:31" x14ac:dyDescent="0.25">
      <c r="A344" t="str">
        <f t="shared" si="5"/>
        <v>500000505979709304</v>
      </c>
      <c r="B344">
        <v>5025017319</v>
      </c>
      <c r="C344" s="25" t="s">
        <v>170</v>
      </c>
      <c r="D344" s="25">
        <v>45932</v>
      </c>
      <c r="E344">
        <v>2025</v>
      </c>
      <c r="F344">
        <v>2</v>
      </c>
      <c r="G344" s="60">
        <v>4</v>
      </c>
      <c r="I344" s="26">
        <v>5000005059</v>
      </c>
      <c r="J344" t="s">
        <v>37</v>
      </c>
      <c r="K344" t="s">
        <v>38</v>
      </c>
      <c r="M344">
        <v>79709304</v>
      </c>
      <c r="N344">
        <v>101</v>
      </c>
      <c r="O344" t="s">
        <v>171</v>
      </c>
      <c r="Q344" t="s">
        <v>93</v>
      </c>
      <c r="R344">
        <v>380000</v>
      </c>
      <c r="T344">
        <v>4</v>
      </c>
      <c r="U344">
        <v>2</v>
      </c>
      <c r="Z344" t="s">
        <v>706</v>
      </c>
    </row>
    <row r="345" spans="1:31" x14ac:dyDescent="0.25">
      <c r="A345" t="str">
        <f t="shared" si="5"/>
        <v>500000424879709304</v>
      </c>
      <c r="B345">
        <v>5025017319</v>
      </c>
      <c r="C345" s="25" t="s">
        <v>170</v>
      </c>
      <c r="D345" s="25">
        <v>45932</v>
      </c>
      <c r="E345">
        <v>2025</v>
      </c>
      <c r="F345">
        <v>3</v>
      </c>
      <c r="G345" s="60">
        <v>4</v>
      </c>
      <c r="I345" s="26">
        <v>5000004248</v>
      </c>
      <c r="J345" t="s">
        <v>37</v>
      </c>
      <c r="K345" t="s">
        <v>38</v>
      </c>
      <c r="M345">
        <v>79709304</v>
      </c>
      <c r="N345">
        <v>101</v>
      </c>
      <c r="O345" t="s">
        <v>171</v>
      </c>
      <c r="Q345" t="s">
        <v>93</v>
      </c>
      <c r="R345">
        <v>260000</v>
      </c>
      <c r="T345">
        <v>4</v>
      </c>
      <c r="U345">
        <v>3</v>
      </c>
      <c r="Z345" t="s">
        <v>707</v>
      </c>
    </row>
    <row r="346" spans="1:31" x14ac:dyDescent="0.25">
      <c r="A346" t="str">
        <f t="shared" si="5"/>
        <v>500001202179709304</v>
      </c>
      <c r="B346">
        <v>5025017319</v>
      </c>
      <c r="C346" s="25" t="s">
        <v>170</v>
      </c>
      <c r="D346" s="25">
        <v>45932</v>
      </c>
      <c r="E346">
        <v>2025</v>
      </c>
      <c r="F346">
        <v>4</v>
      </c>
      <c r="G346" s="60">
        <v>1</v>
      </c>
      <c r="I346" s="26">
        <v>5000012021</v>
      </c>
      <c r="J346" t="s">
        <v>37</v>
      </c>
      <c r="K346" t="s">
        <v>38</v>
      </c>
      <c r="M346">
        <v>79709304</v>
      </c>
      <c r="N346">
        <v>101</v>
      </c>
      <c r="O346" t="s">
        <v>171</v>
      </c>
      <c r="Q346" t="s">
        <v>93</v>
      </c>
      <c r="R346">
        <v>30000</v>
      </c>
      <c r="T346">
        <v>1</v>
      </c>
      <c r="U346">
        <v>4</v>
      </c>
      <c r="Z346" t="s">
        <v>708</v>
      </c>
    </row>
    <row r="347" spans="1:31" x14ac:dyDescent="0.25">
      <c r="A347" t="str">
        <f t="shared" si="5"/>
        <v>500000551279709304</v>
      </c>
      <c r="B347">
        <v>5025017319</v>
      </c>
      <c r="C347" s="25" t="s">
        <v>170</v>
      </c>
      <c r="D347" s="25">
        <v>45932</v>
      </c>
      <c r="E347">
        <v>2025</v>
      </c>
      <c r="F347">
        <v>5</v>
      </c>
      <c r="G347" s="60">
        <v>5</v>
      </c>
      <c r="I347" s="26">
        <v>5000005512</v>
      </c>
      <c r="J347" t="s">
        <v>37</v>
      </c>
      <c r="K347" t="s">
        <v>38</v>
      </c>
      <c r="M347">
        <v>79709304</v>
      </c>
      <c r="N347">
        <v>101</v>
      </c>
      <c r="O347" t="s">
        <v>171</v>
      </c>
      <c r="Q347" t="s">
        <v>35</v>
      </c>
      <c r="R347">
        <v>100000</v>
      </c>
      <c r="T347">
        <v>5</v>
      </c>
      <c r="U347">
        <v>5</v>
      </c>
      <c r="Z347" t="s">
        <v>710</v>
      </c>
    </row>
    <row r="348" spans="1:31" x14ac:dyDescent="0.25">
      <c r="A348" t="str">
        <f t="shared" si="5"/>
        <v>500001721679709254</v>
      </c>
      <c r="B348">
        <v>5025017324</v>
      </c>
      <c r="C348" s="25" t="s">
        <v>170</v>
      </c>
      <c r="D348" s="25">
        <v>45932</v>
      </c>
      <c r="E348">
        <v>2025</v>
      </c>
      <c r="F348">
        <v>1</v>
      </c>
      <c r="G348" s="60">
        <v>2</v>
      </c>
      <c r="I348" s="26">
        <v>5000017216</v>
      </c>
      <c r="J348" t="s">
        <v>37</v>
      </c>
      <c r="K348" t="s">
        <v>38</v>
      </c>
      <c r="M348">
        <v>79709254</v>
      </c>
      <c r="N348">
        <v>101</v>
      </c>
      <c r="O348" t="s">
        <v>171</v>
      </c>
      <c r="Q348" t="s">
        <v>35</v>
      </c>
      <c r="R348">
        <v>2240000</v>
      </c>
      <c r="T348">
        <v>2</v>
      </c>
      <c r="U348">
        <v>1</v>
      </c>
      <c r="Z348" t="s">
        <v>696</v>
      </c>
    </row>
    <row r="349" spans="1:31" x14ac:dyDescent="0.25">
      <c r="A349" t="str">
        <f t="shared" si="5"/>
        <v>500000505979709254</v>
      </c>
      <c r="B349">
        <v>5025017324</v>
      </c>
      <c r="C349" s="25" t="s">
        <v>170</v>
      </c>
      <c r="D349" s="25">
        <v>45932</v>
      </c>
      <c r="E349">
        <v>2025</v>
      </c>
      <c r="F349">
        <v>2</v>
      </c>
      <c r="G349" s="60">
        <v>2</v>
      </c>
      <c r="I349" s="26">
        <v>5000005059</v>
      </c>
      <c r="J349" t="s">
        <v>37</v>
      </c>
      <c r="K349" t="s">
        <v>38</v>
      </c>
      <c r="M349">
        <v>79709254</v>
      </c>
      <c r="N349">
        <v>101</v>
      </c>
      <c r="O349" t="s">
        <v>171</v>
      </c>
      <c r="Q349" t="s">
        <v>93</v>
      </c>
      <c r="R349">
        <v>190000</v>
      </c>
      <c r="T349">
        <v>2</v>
      </c>
      <c r="U349">
        <v>2</v>
      </c>
      <c r="Z349" t="s">
        <v>698</v>
      </c>
    </row>
    <row r="350" spans="1:31" x14ac:dyDescent="0.25">
      <c r="A350" t="str">
        <f t="shared" si="5"/>
        <v>500000424879709254</v>
      </c>
      <c r="B350">
        <v>5025017324</v>
      </c>
      <c r="C350" s="25" t="s">
        <v>170</v>
      </c>
      <c r="D350" s="25">
        <v>45932</v>
      </c>
      <c r="E350">
        <v>2025</v>
      </c>
      <c r="F350">
        <v>3</v>
      </c>
      <c r="G350" s="60">
        <v>2</v>
      </c>
      <c r="I350" s="26">
        <v>5000004248</v>
      </c>
      <c r="J350" t="s">
        <v>37</v>
      </c>
      <c r="K350" t="s">
        <v>38</v>
      </c>
      <c r="M350">
        <v>79709254</v>
      </c>
      <c r="N350">
        <v>101</v>
      </c>
      <c r="O350" t="s">
        <v>171</v>
      </c>
      <c r="Q350" t="s">
        <v>93</v>
      </c>
      <c r="R350">
        <v>130000</v>
      </c>
      <c r="T350">
        <v>2</v>
      </c>
      <c r="U350">
        <v>3</v>
      </c>
      <c r="Z350" t="s">
        <v>699</v>
      </c>
    </row>
    <row r="351" spans="1:31" x14ac:dyDescent="0.25">
      <c r="A351" t="str">
        <f t="shared" si="5"/>
        <v>500001202179709254</v>
      </c>
      <c r="B351">
        <v>5025017324</v>
      </c>
      <c r="C351" s="25" t="s">
        <v>170</v>
      </c>
      <c r="D351" s="25">
        <v>45932</v>
      </c>
      <c r="E351">
        <v>2025</v>
      </c>
      <c r="F351">
        <v>4</v>
      </c>
      <c r="G351" s="60">
        <v>2</v>
      </c>
      <c r="I351" s="26">
        <v>5000012021</v>
      </c>
      <c r="J351" t="s">
        <v>37</v>
      </c>
      <c r="K351" t="s">
        <v>38</v>
      </c>
      <c r="M351">
        <v>79709254</v>
      </c>
      <c r="N351">
        <v>101</v>
      </c>
      <c r="O351" t="s">
        <v>171</v>
      </c>
      <c r="Q351" t="s">
        <v>93</v>
      </c>
      <c r="R351">
        <v>60000</v>
      </c>
      <c r="T351">
        <v>2</v>
      </c>
      <c r="U351">
        <v>4</v>
      </c>
      <c r="Z351" t="s">
        <v>700</v>
      </c>
    </row>
    <row r="352" spans="1:31" x14ac:dyDescent="0.25">
      <c r="A352" t="str">
        <f t="shared" si="5"/>
        <v>500001630879709305</v>
      </c>
      <c r="B352">
        <v>5025017325</v>
      </c>
      <c r="C352" s="25" t="s">
        <v>170</v>
      </c>
      <c r="D352" s="25">
        <v>45932</v>
      </c>
      <c r="E352">
        <v>2025</v>
      </c>
      <c r="F352">
        <v>1</v>
      </c>
      <c r="G352" s="60">
        <v>1</v>
      </c>
      <c r="I352" s="26">
        <v>5000016308</v>
      </c>
      <c r="J352" t="s">
        <v>37</v>
      </c>
      <c r="K352" t="s">
        <v>38</v>
      </c>
      <c r="M352">
        <v>79709305</v>
      </c>
      <c r="N352">
        <v>101</v>
      </c>
      <c r="O352" t="s">
        <v>171</v>
      </c>
      <c r="Q352" t="s">
        <v>35</v>
      </c>
      <c r="R352">
        <v>2980000</v>
      </c>
      <c r="T352">
        <v>1</v>
      </c>
      <c r="U352">
        <v>1</v>
      </c>
      <c r="Z352" t="s">
        <v>724</v>
      </c>
    </row>
    <row r="353" spans="1:26" x14ac:dyDescent="0.25">
      <c r="A353" t="str">
        <f t="shared" si="5"/>
        <v>500001693179709237</v>
      </c>
      <c r="B353">
        <v>5025017327</v>
      </c>
      <c r="C353" s="25" t="s">
        <v>170</v>
      </c>
      <c r="D353" s="25">
        <v>45932</v>
      </c>
      <c r="E353">
        <v>2025</v>
      </c>
      <c r="F353">
        <v>1</v>
      </c>
      <c r="G353" s="60">
        <v>1</v>
      </c>
      <c r="I353" s="26">
        <v>5000016931</v>
      </c>
      <c r="J353" t="s">
        <v>37</v>
      </c>
      <c r="K353" t="s">
        <v>38</v>
      </c>
      <c r="M353">
        <v>79709237</v>
      </c>
      <c r="N353">
        <v>101</v>
      </c>
      <c r="O353" t="s">
        <v>171</v>
      </c>
      <c r="Q353" t="s">
        <v>93</v>
      </c>
      <c r="R353">
        <v>150000</v>
      </c>
      <c r="T353">
        <v>1</v>
      </c>
      <c r="U353">
        <v>1</v>
      </c>
      <c r="Z353" t="s">
        <v>694</v>
      </c>
    </row>
    <row r="354" spans="1:26" x14ac:dyDescent="0.25">
      <c r="A354" t="str">
        <f t="shared" si="5"/>
        <v>500001630879709237</v>
      </c>
      <c r="B354">
        <v>5025017327</v>
      </c>
      <c r="C354" s="25" t="s">
        <v>170</v>
      </c>
      <c r="D354" s="25">
        <v>45932</v>
      </c>
      <c r="E354">
        <v>2025</v>
      </c>
      <c r="F354">
        <v>2</v>
      </c>
      <c r="G354" s="60">
        <v>2</v>
      </c>
      <c r="I354" s="26">
        <v>5000016308</v>
      </c>
      <c r="J354" t="s">
        <v>37</v>
      </c>
      <c r="K354" t="s">
        <v>38</v>
      </c>
      <c r="M354">
        <v>79709237</v>
      </c>
      <c r="N354">
        <v>101</v>
      </c>
      <c r="O354" t="s">
        <v>171</v>
      </c>
      <c r="Q354" t="s">
        <v>35</v>
      </c>
      <c r="R354">
        <v>5960000</v>
      </c>
      <c r="T354">
        <v>2</v>
      </c>
      <c r="U354">
        <v>2</v>
      </c>
      <c r="Z354" t="s">
        <v>723</v>
      </c>
    </row>
    <row r="355" spans="1:26" x14ac:dyDescent="0.25">
      <c r="A355" t="str">
        <f t="shared" si="5"/>
        <v>500001586179709233</v>
      </c>
      <c r="B355">
        <v>5025017328</v>
      </c>
      <c r="C355" s="25" t="s">
        <v>170</v>
      </c>
      <c r="D355" s="25">
        <v>45932</v>
      </c>
      <c r="E355">
        <v>2025</v>
      </c>
      <c r="F355">
        <v>1</v>
      </c>
      <c r="G355" s="60">
        <v>2</v>
      </c>
      <c r="I355" s="26">
        <v>5000015861</v>
      </c>
      <c r="J355" t="s">
        <v>37</v>
      </c>
      <c r="K355" t="s">
        <v>38</v>
      </c>
      <c r="M355">
        <v>79709233</v>
      </c>
      <c r="N355">
        <v>101</v>
      </c>
      <c r="O355" t="s">
        <v>171</v>
      </c>
      <c r="Q355" t="s">
        <v>35</v>
      </c>
      <c r="R355">
        <v>2000000</v>
      </c>
      <c r="T355">
        <v>2</v>
      </c>
      <c r="U355">
        <v>1</v>
      </c>
      <c r="Z355" t="s">
        <v>701</v>
      </c>
    </row>
    <row r="356" spans="1:26" x14ac:dyDescent="0.25">
      <c r="A356" t="str">
        <f t="shared" si="5"/>
        <v>500001500079709233</v>
      </c>
      <c r="B356">
        <v>5025017328</v>
      </c>
      <c r="C356" s="25" t="s">
        <v>170</v>
      </c>
      <c r="D356" s="25">
        <v>45932</v>
      </c>
      <c r="E356">
        <v>2025</v>
      </c>
      <c r="F356">
        <v>2</v>
      </c>
      <c r="G356" s="60">
        <v>2</v>
      </c>
      <c r="I356" s="26">
        <v>5000015000</v>
      </c>
      <c r="J356" t="s">
        <v>37</v>
      </c>
      <c r="K356" t="s">
        <v>38</v>
      </c>
      <c r="M356">
        <v>79709233</v>
      </c>
      <c r="N356">
        <v>101</v>
      </c>
      <c r="O356" t="s">
        <v>171</v>
      </c>
      <c r="Q356" t="s">
        <v>35</v>
      </c>
      <c r="R356">
        <v>700000</v>
      </c>
      <c r="T356">
        <v>2</v>
      </c>
      <c r="U356">
        <v>2</v>
      </c>
      <c r="Z356" t="s">
        <v>702</v>
      </c>
    </row>
    <row r="357" spans="1:26" x14ac:dyDescent="0.25">
      <c r="A357" t="str">
        <f t="shared" si="5"/>
        <v>500001202179709541</v>
      </c>
      <c r="B357">
        <v>5025017654</v>
      </c>
      <c r="C357" s="25" t="s">
        <v>170</v>
      </c>
      <c r="D357" s="25">
        <v>45937</v>
      </c>
      <c r="E357">
        <v>2025</v>
      </c>
      <c r="F357">
        <v>1</v>
      </c>
      <c r="G357" s="60">
        <v>1</v>
      </c>
      <c r="I357" s="26">
        <v>5000012021</v>
      </c>
      <c r="J357" t="s">
        <v>37</v>
      </c>
      <c r="K357" t="s">
        <v>38</v>
      </c>
      <c r="M357">
        <v>79709541</v>
      </c>
      <c r="N357">
        <v>101</v>
      </c>
      <c r="O357" t="s">
        <v>171</v>
      </c>
      <c r="Q357" t="s">
        <v>93</v>
      </c>
      <c r="R357">
        <v>85000</v>
      </c>
      <c r="T357">
        <v>1</v>
      </c>
      <c r="U357">
        <v>1</v>
      </c>
      <c r="Z357" t="s">
        <v>658</v>
      </c>
    </row>
    <row r="358" spans="1:26" x14ac:dyDescent="0.25">
      <c r="A358" t="str">
        <f t="shared" si="5"/>
        <v>500001667179709647</v>
      </c>
      <c r="B358">
        <v>5025017655</v>
      </c>
      <c r="C358" s="25" t="s">
        <v>170</v>
      </c>
      <c r="D358" s="25">
        <v>45937</v>
      </c>
      <c r="E358">
        <v>2025</v>
      </c>
      <c r="F358">
        <v>1</v>
      </c>
      <c r="G358" s="60">
        <v>1</v>
      </c>
      <c r="I358" s="26">
        <v>5000016671</v>
      </c>
      <c r="J358" t="s">
        <v>37</v>
      </c>
      <c r="K358" t="s">
        <v>38</v>
      </c>
      <c r="M358">
        <v>79709647</v>
      </c>
      <c r="N358">
        <v>101</v>
      </c>
      <c r="O358" t="s">
        <v>171</v>
      </c>
      <c r="Q358" t="s">
        <v>93</v>
      </c>
      <c r="R358">
        <v>90000</v>
      </c>
      <c r="T358">
        <v>1</v>
      </c>
      <c r="U358">
        <v>1</v>
      </c>
      <c r="Z358" t="s">
        <v>725</v>
      </c>
    </row>
    <row r="359" spans="1:26" x14ac:dyDescent="0.25">
      <c r="A359" t="str">
        <f t="shared" si="5"/>
        <v>500000424879709647</v>
      </c>
      <c r="B359">
        <v>5025017655</v>
      </c>
      <c r="C359" s="25" t="s">
        <v>170</v>
      </c>
      <c r="D359" s="25">
        <v>45937</v>
      </c>
      <c r="E359">
        <v>2025</v>
      </c>
      <c r="F359">
        <v>2</v>
      </c>
      <c r="G359" s="60">
        <v>12</v>
      </c>
      <c r="I359" s="26">
        <v>5000004248</v>
      </c>
      <c r="J359" t="s">
        <v>37</v>
      </c>
      <c r="K359" s="25" t="s">
        <v>38</v>
      </c>
      <c r="M359">
        <v>79709647</v>
      </c>
      <c r="N359">
        <v>101</v>
      </c>
      <c r="O359" t="s">
        <v>171</v>
      </c>
      <c r="Q359" t="s">
        <v>93</v>
      </c>
      <c r="R359">
        <v>780000</v>
      </c>
      <c r="T359">
        <v>12</v>
      </c>
      <c r="U359">
        <v>2</v>
      </c>
      <c r="Z359" t="s">
        <v>729</v>
      </c>
    </row>
    <row r="360" spans="1:26" x14ac:dyDescent="0.25">
      <c r="A360" t="str">
        <f t="shared" si="5"/>
        <v>500001721679709517</v>
      </c>
      <c r="B360">
        <v>5025017656</v>
      </c>
      <c r="C360" s="25" t="s">
        <v>170</v>
      </c>
      <c r="D360" s="25">
        <v>45937</v>
      </c>
      <c r="E360">
        <v>2025</v>
      </c>
      <c r="F360">
        <v>1</v>
      </c>
      <c r="G360" s="60">
        <v>1</v>
      </c>
      <c r="I360" s="26">
        <v>5000017216</v>
      </c>
      <c r="J360" t="s">
        <v>37</v>
      </c>
      <c r="K360" s="25" t="s">
        <v>38</v>
      </c>
      <c r="M360">
        <v>79709517</v>
      </c>
      <c r="N360">
        <v>101</v>
      </c>
      <c r="O360" t="s">
        <v>171</v>
      </c>
      <c r="Q360" t="s">
        <v>35</v>
      </c>
      <c r="R360">
        <v>1120000</v>
      </c>
      <c r="T360">
        <v>1</v>
      </c>
      <c r="U360">
        <v>2</v>
      </c>
      <c r="Z360" t="s">
        <v>716</v>
      </c>
    </row>
    <row r="361" spans="1:26" x14ac:dyDescent="0.25">
      <c r="A361" t="str">
        <f t="shared" si="5"/>
        <v>500000505979709517</v>
      </c>
      <c r="B361">
        <v>5025017656</v>
      </c>
      <c r="C361" s="25" t="s">
        <v>170</v>
      </c>
      <c r="D361" s="25">
        <v>45937</v>
      </c>
      <c r="E361">
        <v>2025</v>
      </c>
      <c r="F361">
        <v>2</v>
      </c>
      <c r="G361" s="60">
        <v>1</v>
      </c>
      <c r="I361" s="26">
        <v>5000005059</v>
      </c>
      <c r="J361" t="s">
        <v>37</v>
      </c>
      <c r="K361" t="s">
        <v>38</v>
      </c>
      <c r="M361">
        <v>79709517</v>
      </c>
      <c r="N361">
        <v>101</v>
      </c>
      <c r="O361" t="s">
        <v>171</v>
      </c>
      <c r="Q361" t="s">
        <v>93</v>
      </c>
      <c r="R361">
        <v>95000</v>
      </c>
      <c r="T361">
        <v>1</v>
      </c>
      <c r="U361">
        <v>3</v>
      </c>
      <c r="Z361" t="s">
        <v>718</v>
      </c>
    </row>
    <row r="362" spans="1:26" x14ac:dyDescent="0.25">
      <c r="A362" t="str">
        <f t="shared" si="5"/>
        <v>500000424879709517</v>
      </c>
      <c r="B362">
        <v>5025017656</v>
      </c>
      <c r="C362" s="25" t="s">
        <v>170</v>
      </c>
      <c r="D362" s="25">
        <v>45937</v>
      </c>
      <c r="E362">
        <v>2025</v>
      </c>
      <c r="F362">
        <v>3</v>
      </c>
      <c r="G362" s="60">
        <v>1</v>
      </c>
      <c r="I362" s="26">
        <v>5000004248</v>
      </c>
      <c r="J362" t="s">
        <v>37</v>
      </c>
      <c r="K362" s="25" t="s">
        <v>38</v>
      </c>
      <c r="M362">
        <v>79709517</v>
      </c>
      <c r="N362">
        <v>101</v>
      </c>
      <c r="O362" t="s">
        <v>171</v>
      </c>
      <c r="Q362" t="s">
        <v>93</v>
      </c>
      <c r="R362">
        <v>65000</v>
      </c>
      <c r="T362">
        <v>1</v>
      </c>
      <c r="U362">
        <v>4</v>
      </c>
      <c r="Z362" t="s">
        <v>719</v>
      </c>
    </row>
    <row r="363" spans="1:26" x14ac:dyDescent="0.25">
      <c r="A363" t="str">
        <f t="shared" si="5"/>
        <v>500001202179709517</v>
      </c>
      <c r="B363">
        <v>5025017656</v>
      </c>
      <c r="C363" s="25" t="s">
        <v>170</v>
      </c>
      <c r="D363" s="25">
        <v>45937</v>
      </c>
      <c r="E363">
        <v>2025</v>
      </c>
      <c r="F363">
        <v>4</v>
      </c>
      <c r="G363" s="60">
        <v>1</v>
      </c>
      <c r="I363" s="26">
        <v>5000012021</v>
      </c>
      <c r="J363" t="s">
        <v>37</v>
      </c>
      <c r="K363" s="25" t="s">
        <v>38</v>
      </c>
      <c r="M363">
        <v>79709517</v>
      </c>
      <c r="N363">
        <v>101</v>
      </c>
      <c r="O363" t="s">
        <v>171</v>
      </c>
      <c r="Q363" t="s">
        <v>93</v>
      </c>
      <c r="R363">
        <v>30000</v>
      </c>
      <c r="T363">
        <v>1</v>
      </c>
      <c r="U363">
        <v>5</v>
      </c>
      <c r="Z363" t="s">
        <v>720</v>
      </c>
    </row>
    <row r="364" spans="1:26" x14ac:dyDescent="0.25">
      <c r="A364" t="str">
        <f t="shared" si="5"/>
        <v>500001586179709467</v>
      </c>
      <c r="B364">
        <v>5025017743</v>
      </c>
      <c r="C364" s="25" t="s">
        <v>170</v>
      </c>
      <c r="D364" s="25">
        <v>45938</v>
      </c>
      <c r="E364">
        <v>2025</v>
      </c>
      <c r="F364">
        <v>1</v>
      </c>
      <c r="G364" s="60">
        <v>1</v>
      </c>
      <c r="I364" s="26">
        <v>5000015861</v>
      </c>
      <c r="J364" t="s">
        <v>37</v>
      </c>
      <c r="K364" t="s">
        <v>38</v>
      </c>
      <c r="M364">
        <v>79709467</v>
      </c>
      <c r="N364">
        <v>101</v>
      </c>
      <c r="O364" t="s">
        <v>171</v>
      </c>
      <c r="Q364" t="s">
        <v>35</v>
      </c>
      <c r="R364">
        <v>1000000</v>
      </c>
      <c r="T364">
        <v>1</v>
      </c>
      <c r="U364">
        <v>1</v>
      </c>
      <c r="Z364" t="s">
        <v>714</v>
      </c>
    </row>
    <row r="365" spans="1:26" x14ac:dyDescent="0.25">
      <c r="A365" t="str">
        <f t="shared" si="5"/>
        <v>500001500079709467</v>
      </c>
      <c r="B365">
        <v>5025017743</v>
      </c>
      <c r="C365" s="25" t="s">
        <v>170</v>
      </c>
      <c r="D365" s="25">
        <v>45938</v>
      </c>
      <c r="E365">
        <v>2025</v>
      </c>
      <c r="F365">
        <v>2</v>
      </c>
      <c r="G365" s="60">
        <v>1</v>
      </c>
      <c r="I365" s="26">
        <v>5000015000</v>
      </c>
      <c r="J365" t="s">
        <v>37</v>
      </c>
      <c r="K365" t="s">
        <v>38</v>
      </c>
      <c r="M365">
        <v>79709467</v>
      </c>
      <c r="N365">
        <v>101</v>
      </c>
      <c r="O365" t="s">
        <v>171</v>
      </c>
      <c r="Q365" t="s">
        <v>35</v>
      </c>
      <c r="R365">
        <v>350000</v>
      </c>
      <c r="T365">
        <v>1</v>
      </c>
      <c r="U365">
        <v>2</v>
      </c>
      <c r="Z365" t="s">
        <v>715</v>
      </c>
    </row>
    <row r="366" spans="1:26" x14ac:dyDescent="0.25">
      <c r="A366" t="str">
        <f t="shared" si="5"/>
        <v>500001308079709638</v>
      </c>
      <c r="B366">
        <v>5025017744</v>
      </c>
      <c r="C366" s="25" t="s">
        <v>170</v>
      </c>
      <c r="D366" s="25">
        <v>45938</v>
      </c>
      <c r="E366">
        <v>2025</v>
      </c>
      <c r="F366">
        <v>1</v>
      </c>
      <c r="G366" s="60">
        <v>1</v>
      </c>
      <c r="I366" s="26">
        <v>5000013080</v>
      </c>
      <c r="J366" t="s">
        <v>37</v>
      </c>
      <c r="K366" s="25" t="s">
        <v>38</v>
      </c>
      <c r="M366">
        <v>79709638</v>
      </c>
      <c r="N366">
        <v>101</v>
      </c>
      <c r="O366" t="s">
        <v>171</v>
      </c>
      <c r="Q366" t="s">
        <v>35</v>
      </c>
      <c r="R366">
        <v>125000</v>
      </c>
      <c r="T366">
        <v>1</v>
      </c>
      <c r="U366">
        <v>1</v>
      </c>
      <c r="Z366" t="s">
        <v>726</v>
      </c>
    </row>
    <row r="367" spans="1:26" x14ac:dyDescent="0.25">
      <c r="A367" t="str">
        <f t="shared" si="5"/>
        <v>500001693079709886</v>
      </c>
      <c r="B367">
        <v>5025018144</v>
      </c>
      <c r="C367" s="25" t="s">
        <v>170</v>
      </c>
      <c r="D367" s="25">
        <v>45944</v>
      </c>
      <c r="E367">
        <v>2025</v>
      </c>
      <c r="F367">
        <v>1</v>
      </c>
      <c r="G367" s="60">
        <v>1</v>
      </c>
      <c r="I367" s="26">
        <v>5000016930</v>
      </c>
      <c r="J367" t="s">
        <v>37</v>
      </c>
      <c r="K367" t="s">
        <v>38</v>
      </c>
      <c r="M367">
        <v>79709886</v>
      </c>
      <c r="N367">
        <v>101</v>
      </c>
      <c r="O367" t="s">
        <v>171</v>
      </c>
      <c r="Q367" t="s">
        <v>93</v>
      </c>
      <c r="R367">
        <v>169000</v>
      </c>
      <c r="T367">
        <v>1</v>
      </c>
      <c r="U367">
        <v>1</v>
      </c>
      <c r="Z367" t="s">
        <v>646</v>
      </c>
    </row>
    <row r="368" spans="1:26" x14ac:dyDescent="0.25">
      <c r="A368" t="str">
        <f t="shared" si="5"/>
        <v>500001693079709887</v>
      </c>
      <c r="B368">
        <v>5025018145</v>
      </c>
      <c r="C368" s="25" t="s">
        <v>170</v>
      </c>
      <c r="D368" s="25">
        <v>45944</v>
      </c>
      <c r="E368">
        <v>2025</v>
      </c>
      <c r="F368">
        <v>1</v>
      </c>
      <c r="G368" s="60">
        <v>1</v>
      </c>
      <c r="I368" s="26">
        <v>5000016930</v>
      </c>
      <c r="J368" t="s">
        <v>37</v>
      </c>
      <c r="K368" s="25" t="s">
        <v>38</v>
      </c>
      <c r="M368">
        <v>79709887</v>
      </c>
      <c r="N368">
        <v>101</v>
      </c>
      <c r="O368" t="s">
        <v>171</v>
      </c>
      <c r="Q368" t="s">
        <v>93</v>
      </c>
      <c r="R368">
        <v>169000</v>
      </c>
      <c r="T368">
        <v>1</v>
      </c>
      <c r="U368">
        <v>1</v>
      </c>
      <c r="Z368" t="s">
        <v>727</v>
      </c>
    </row>
    <row r="369" spans="1:31" x14ac:dyDescent="0.25">
      <c r="A369" t="str">
        <f t="shared" si="5"/>
        <v>500000534079709896</v>
      </c>
      <c r="B369">
        <v>5025018148</v>
      </c>
      <c r="C369" s="25" t="s">
        <v>170</v>
      </c>
      <c r="D369" s="25">
        <v>45944</v>
      </c>
      <c r="E369">
        <v>2025</v>
      </c>
      <c r="F369">
        <v>1</v>
      </c>
      <c r="G369" s="60">
        <v>1</v>
      </c>
      <c r="I369" s="26">
        <v>5000005340</v>
      </c>
      <c r="J369" t="s">
        <v>37</v>
      </c>
      <c r="K369" s="25" t="s">
        <v>38</v>
      </c>
      <c r="M369">
        <v>79709896</v>
      </c>
      <c r="N369">
        <v>101</v>
      </c>
      <c r="O369" t="s">
        <v>171</v>
      </c>
      <c r="Q369" t="s">
        <v>35</v>
      </c>
      <c r="R369">
        <v>155000</v>
      </c>
      <c r="T369">
        <v>1</v>
      </c>
      <c r="U369">
        <v>1</v>
      </c>
      <c r="Z369" t="s">
        <v>737</v>
      </c>
    </row>
    <row r="370" spans="1:31" x14ac:dyDescent="0.25">
      <c r="A370" t="str">
        <f t="shared" si="5"/>
        <v>500001721679709896</v>
      </c>
      <c r="B370">
        <v>5025018148</v>
      </c>
      <c r="C370" s="25" t="s">
        <v>170</v>
      </c>
      <c r="D370" s="25">
        <v>45944</v>
      </c>
      <c r="E370">
        <v>2025</v>
      </c>
      <c r="F370">
        <v>2</v>
      </c>
      <c r="G370" s="60">
        <v>1</v>
      </c>
      <c r="I370" s="26">
        <v>5000017216</v>
      </c>
      <c r="J370" t="s">
        <v>37</v>
      </c>
      <c r="K370" t="s">
        <v>38</v>
      </c>
      <c r="M370">
        <v>79709896</v>
      </c>
      <c r="N370">
        <v>101</v>
      </c>
      <c r="O370" t="s">
        <v>171</v>
      </c>
      <c r="Q370" t="s">
        <v>35</v>
      </c>
      <c r="R370">
        <v>1120000</v>
      </c>
      <c r="T370">
        <v>1</v>
      </c>
      <c r="U370">
        <v>2</v>
      </c>
      <c r="Z370" t="s">
        <v>690</v>
      </c>
    </row>
    <row r="371" spans="1:31" x14ac:dyDescent="0.25">
      <c r="A371" t="str">
        <f t="shared" si="5"/>
        <v>500001308079709890</v>
      </c>
      <c r="B371">
        <v>5025018163</v>
      </c>
      <c r="C371" s="25" t="s">
        <v>170</v>
      </c>
      <c r="D371" s="25">
        <v>45944</v>
      </c>
      <c r="E371">
        <v>2025</v>
      </c>
      <c r="F371">
        <v>1</v>
      </c>
      <c r="G371" s="60">
        <v>3</v>
      </c>
      <c r="I371" s="26">
        <v>5000013080</v>
      </c>
      <c r="J371" t="s">
        <v>37</v>
      </c>
      <c r="K371" t="s">
        <v>38</v>
      </c>
      <c r="M371">
        <v>79709890</v>
      </c>
      <c r="N371">
        <v>101</v>
      </c>
      <c r="O371" t="s">
        <v>171</v>
      </c>
      <c r="Q371" t="s">
        <v>35</v>
      </c>
      <c r="R371">
        <v>375000</v>
      </c>
      <c r="T371">
        <v>3</v>
      </c>
      <c r="U371">
        <v>1</v>
      </c>
      <c r="Z371" t="s">
        <v>692</v>
      </c>
    </row>
    <row r="372" spans="1:31" x14ac:dyDescent="0.25">
      <c r="A372" t="str">
        <f t="shared" si="5"/>
        <v>500001630879709470</v>
      </c>
      <c r="B372">
        <v>5025018224</v>
      </c>
      <c r="C372" s="25" t="s">
        <v>170</v>
      </c>
      <c r="D372" s="25">
        <v>45945</v>
      </c>
      <c r="E372">
        <v>2025</v>
      </c>
      <c r="F372">
        <v>1</v>
      </c>
      <c r="G372" s="60">
        <v>1</v>
      </c>
      <c r="I372" s="26">
        <v>5000016308</v>
      </c>
      <c r="J372" t="s">
        <v>37</v>
      </c>
      <c r="K372" t="s">
        <v>38</v>
      </c>
      <c r="M372">
        <v>79709470</v>
      </c>
      <c r="N372">
        <v>101</v>
      </c>
      <c r="O372" t="s">
        <v>171</v>
      </c>
      <c r="Q372" t="s">
        <v>35</v>
      </c>
      <c r="R372">
        <v>2980000</v>
      </c>
      <c r="T372">
        <v>1</v>
      </c>
      <c r="U372">
        <v>1</v>
      </c>
      <c r="Z372" t="s">
        <v>742</v>
      </c>
    </row>
    <row r="373" spans="1:31" x14ac:dyDescent="0.25">
      <c r="A373" t="str">
        <f t="shared" si="5"/>
        <v>500001429179709469</v>
      </c>
      <c r="B373">
        <v>5025018226</v>
      </c>
      <c r="C373" s="25" t="s">
        <v>170</v>
      </c>
      <c r="D373" s="25">
        <v>45945</v>
      </c>
      <c r="E373">
        <v>2025</v>
      </c>
      <c r="F373">
        <v>1</v>
      </c>
      <c r="G373" s="60">
        <v>1</v>
      </c>
      <c r="I373" s="26">
        <v>5000014291</v>
      </c>
      <c r="J373" t="s">
        <v>37</v>
      </c>
      <c r="K373" t="s">
        <v>38</v>
      </c>
      <c r="M373">
        <v>79709469</v>
      </c>
      <c r="N373">
        <v>101</v>
      </c>
      <c r="O373" t="s">
        <v>171</v>
      </c>
      <c r="Q373" t="s">
        <v>296</v>
      </c>
      <c r="R373">
        <v>340000</v>
      </c>
      <c r="T373">
        <v>1</v>
      </c>
      <c r="U373">
        <v>1</v>
      </c>
      <c r="Z373" t="s">
        <v>713</v>
      </c>
    </row>
    <row r="374" spans="1:31" x14ac:dyDescent="0.25">
      <c r="A374" t="str">
        <f t="shared" si="5"/>
        <v>500001625579709897</v>
      </c>
      <c r="B374">
        <v>5025018264</v>
      </c>
      <c r="C374" s="25" t="s">
        <v>170</v>
      </c>
      <c r="D374" s="25">
        <v>45946</v>
      </c>
      <c r="E374">
        <v>2025</v>
      </c>
      <c r="F374">
        <v>1</v>
      </c>
      <c r="G374" s="60">
        <v>1</v>
      </c>
      <c r="I374" s="26">
        <v>5000016255</v>
      </c>
      <c r="J374" t="s">
        <v>37</v>
      </c>
      <c r="K374" t="s">
        <v>38</v>
      </c>
      <c r="M374">
        <v>79709897</v>
      </c>
      <c r="N374">
        <v>101</v>
      </c>
      <c r="O374" t="s">
        <v>171</v>
      </c>
      <c r="Q374" t="s">
        <v>93</v>
      </c>
      <c r="R374">
        <v>343000</v>
      </c>
      <c r="T374">
        <v>1</v>
      </c>
      <c r="U374">
        <v>1</v>
      </c>
      <c r="Z374" t="s">
        <v>730</v>
      </c>
    </row>
    <row r="375" spans="1:31" x14ac:dyDescent="0.25">
      <c r="A375" t="str">
        <f t="shared" si="5"/>
        <v>500001597079709897</v>
      </c>
      <c r="B375">
        <v>5025018264</v>
      </c>
      <c r="C375" s="25" t="s">
        <v>170</v>
      </c>
      <c r="D375" s="25">
        <v>45946</v>
      </c>
      <c r="E375">
        <v>2025</v>
      </c>
      <c r="F375">
        <v>3</v>
      </c>
      <c r="G375" s="60">
        <v>1</v>
      </c>
      <c r="I375" s="26">
        <v>5000015970</v>
      </c>
      <c r="J375" t="s">
        <v>37</v>
      </c>
      <c r="K375" t="s">
        <v>38</v>
      </c>
      <c r="M375">
        <v>79709897</v>
      </c>
      <c r="N375">
        <v>101</v>
      </c>
      <c r="O375" t="s">
        <v>171</v>
      </c>
      <c r="Q375" t="s">
        <v>35</v>
      </c>
      <c r="R375">
        <v>48000</v>
      </c>
      <c r="T375">
        <v>1</v>
      </c>
      <c r="U375">
        <v>3</v>
      </c>
      <c r="Z375" t="s">
        <v>732</v>
      </c>
    </row>
    <row r="376" spans="1:31" x14ac:dyDescent="0.25">
      <c r="A376" t="str">
        <f t="shared" si="5"/>
        <v>500001618579709897</v>
      </c>
      <c r="B376">
        <v>5025018264</v>
      </c>
      <c r="C376" s="25" t="s">
        <v>170</v>
      </c>
      <c r="D376" s="25">
        <v>45946</v>
      </c>
      <c r="E376">
        <v>2025</v>
      </c>
      <c r="F376">
        <v>4</v>
      </c>
      <c r="G376" s="60">
        <v>1</v>
      </c>
      <c r="I376" s="26">
        <v>5000016185</v>
      </c>
      <c r="J376" t="s">
        <v>37</v>
      </c>
      <c r="K376" t="s">
        <v>38</v>
      </c>
      <c r="M376">
        <v>79709897</v>
      </c>
      <c r="N376">
        <v>101</v>
      </c>
      <c r="O376" t="s">
        <v>171</v>
      </c>
      <c r="Q376" t="s">
        <v>93</v>
      </c>
      <c r="R376">
        <v>1625000</v>
      </c>
      <c r="T376">
        <v>1</v>
      </c>
      <c r="U376">
        <v>4</v>
      </c>
      <c r="Z376" t="s">
        <v>733</v>
      </c>
    </row>
    <row r="377" spans="1:31" x14ac:dyDescent="0.25">
      <c r="A377" t="str">
        <f t="shared" si="5"/>
        <v>500001349979709897</v>
      </c>
      <c r="B377">
        <v>5025018264</v>
      </c>
      <c r="C377" s="25" t="s">
        <v>170</v>
      </c>
      <c r="D377" s="25">
        <v>45946</v>
      </c>
      <c r="E377">
        <v>2025</v>
      </c>
      <c r="F377">
        <v>5</v>
      </c>
      <c r="G377" s="60">
        <v>1</v>
      </c>
      <c r="I377" s="26">
        <v>5000013499</v>
      </c>
      <c r="J377" t="s">
        <v>37</v>
      </c>
      <c r="K377" t="s">
        <v>38</v>
      </c>
      <c r="M377">
        <v>79709897</v>
      </c>
      <c r="N377">
        <v>101</v>
      </c>
      <c r="O377" t="s">
        <v>171</v>
      </c>
      <c r="Q377" t="s">
        <v>35</v>
      </c>
      <c r="R377">
        <v>290000</v>
      </c>
      <c r="T377">
        <v>1</v>
      </c>
      <c r="U377">
        <v>5</v>
      </c>
      <c r="Z377" t="s">
        <v>734</v>
      </c>
    </row>
    <row r="378" spans="1:31" x14ac:dyDescent="0.25">
      <c r="A378" t="str">
        <f t="shared" si="5"/>
        <v>500001796779709897</v>
      </c>
      <c r="B378">
        <v>5025018264</v>
      </c>
      <c r="C378" s="25" t="s">
        <v>170</v>
      </c>
      <c r="D378" s="25">
        <v>45946</v>
      </c>
      <c r="E378">
        <v>2025</v>
      </c>
      <c r="F378">
        <v>6</v>
      </c>
      <c r="G378" s="60">
        <v>1</v>
      </c>
      <c r="I378" s="26">
        <v>5000017967</v>
      </c>
      <c r="J378" t="s">
        <v>37</v>
      </c>
      <c r="K378" t="s">
        <v>38</v>
      </c>
      <c r="M378">
        <v>79709897</v>
      </c>
      <c r="N378">
        <v>101</v>
      </c>
      <c r="O378" t="s">
        <v>171</v>
      </c>
      <c r="Q378" t="s">
        <v>93</v>
      </c>
      <c r="R378">
        <v>250000</v>
      </c>
      <c r="T378">
        <v>1</v>
      </c>
      <c r="U378">
        <v>6</v>
      </c>
      <c r="Z378" t="s">
        <v>736</v>
      </c>
    </row>
    <row r="379" spans="1:31" x14ac:dyDescent="0.25">
      <c r="A379" t="str">
        <f t="shared" si="5"/>
        <v>500001429179709897</v>
      </c>
      <c r="B379">
        <v>5025018264</v>
      </c>
      <c r="C379" s="25" t="s">
        <v>170</v>
      </c>
      <c r="D379" s="25">
        <v>45946</v>
      </c>
      <c r="E379">
        <v>2025</v>
      </c>
      <c r="F379">
        <v>7</v>
      </c>
      <c r="G379" s="60">
        <v>1</v>
      </c>
      <c r="I379" s="26">
        <v>5000014291</v>
      </c>
      <c r="J379" t="s">
        <v>37</v>
      </c>
      <c r="K379" t="s">
        <v>38</v>
      </c>
      <c r="M379">
        <v>79709897</v>
      </c>
      <c r="N379">
        <v>101</v>
      </c>
      <c r="O379" t="s">
        <v>171</v>
      </c>
      <c r="Q379" t="s">
        <v>296</v>
      </c>
      <c r="R379">
        <v>141000</v>
      </c>
      <c r="T379">
        <v>1</v>
      </c>
      <c r="U379">
        <v>7</v>
      </c>
      <c r="Z379" t="s">
        <v>752</v>
      </c>
    </row>
    <row r="380" spans="1:31" x14ac:dyDescent="0.25">
      <c r="A380" t="str">
        <f t="shared" si="5"/>
        <v>500001349979709642</v>
      </c>
      <c r="B380">
        <v>5025018330</v>
      </c>
      <c r="C380" s="25" t="s">
        <v>170</v>
      </c>
      <c r="D380" s="25">
        <v>45946</v>
      </c>
      <c r="E380">
        <v>2025</v>
      </c>
      <c r="F380">
        <v>1</v>
      </c>
      <c r="G380" s="60">
        <v>1</v>
      </c>
      <c r="I380" s="26">
        <v>5000013499</v>
      </c>
      <c r="J380" t="s">
        <v>37</v>
      </c>
      <c r="K380" t="s">
        <v>38</v>
      </c>
      <c r="M380">
        <v>79709642</v>
      </c>
      <c r="N380">
        <v>101</v>
      </c>
      <c r="O380" t="s">
        <v>171</v>
      </c>
      <c r="Q380" t="s">
        <v>35</v>
      </c>
      <c r="R380">
        <v>290000</v>
      </c>
      <c r="T380">
        <v>1</v>
      </c>
      <c r="U380">
        <v>1</v>
      </c>
      <c r="Z380" t="s">
        <v>728</v>
      </c>
    </row>
    <row r="381" spans="1:31" x14ac:dyDescent="0.25">
      <c r="A381" t="str">
        <f t="shared" si="5"/>
        <v>500001591979709897</v>
      </c>
      <c r="B381">
        <v>5025018434</v>
      </c>
      <c r="C381" s="25" t="s">
        <v>170</v>
      </c>
      <c r="D381" s="25">
        <v>45948</v>
      </c>
      <c r="E381">
        <v>2025</v>
      </c>
      <c r="F381">
        <v>1</v>
      </c>
      <c r="G381" s="60">
        <v>1</v>
      </c>
      <c r="I381" s="26">
        <v>5000015919</v>
      </c>
      <c r="J381" t="s">
        <v>37</v>
      </c>
      <c r="K381" t="s">
        <v>38</v>
      </c>
      <c r="M381">
        <v>79709897</v>
      </c>
      <c r="N381">
        <v>101</v>
      </c>
      <c r="O381" t="s">
        <v>171</v>
      </c>
      <c r="Q381" t="s">
        <v>35</v>
      </c>
      <c r="R381">
        <v>369500</v>
      </c>
      <c r="T381">
        <v>1</v>
      </c>
      <c r="U381">
        <v>2</v>
      </c>
      <c r="Z381" t="s">
        <v>731</v>
      </c>
    </row>
    <row r="382" spans="1:31" x14ac:dyDescent="0.25">
      <c r="A382" t="str">
        <f t="shared" si="5"/>
        <v>500001762479710053</v>
      </c>
      <c r="B382">
        <v>5025018581</v>
      </c>
      <c r="C382" s="25" t="s">
        <v>170</v>
      </c>
      <c r="D382" s="25">
        <v>45951</v>
      </c>
      <c r="E382">
        <v>2025</v>
      </c>
      <c r="F382">
        <v>1</v>
      </c>
      <c r="G382" s="60">
        <v>1</v>
      </c>
      <c r="I382" s="26">
        <v>5000017624</v>
      </c>
      <c r="J382" t="s">
        <v>37</v>
      </c>
      <c r="K382" t="s">
        <v>38</v>
      </c>
      <c r="M382">
        <v>79710053</v>
      </c>
      <c r="N382">
        <v>101</v>
      </c>
      <c r="O382" t="s">
        <v>171</v>
      </c>
      <c r="Q382" t="s">
        <v>35</v>
      </c>
      <c r="R382">
        <v>2072072.1</v>
      </c>
      <c r="T382">
        <v>1</v>
      </c>
      <c r="U382">
        <v>1</v>
      </c>
      <c r="Z382" t="s">
        <v>762</v>
      </c>
      <c r="AB382">
        <v>0</v>
      </c>
      <c r="AC382">
        <v>0</v>
      </c>
      <c r="AE382">
        <v>0</v>
      </c>
    </row>
    <row r="383" spans="1:31" x14ac:dyDescent="0.25">
      <c r="A383" t="str">
        <f t="shared" si="5"/>
        <v>500000217179710054</v>
      </c>
      <c r="B383">
        <v>5025018643</v>
      </c>
      <c r="C383" s="25" t="s">
        <v>170</v>
      </c>
      <c r="D383" s="25">
        <v>45952</v>
      </c>
      <c r="E383">
        <v>2025</v>
      </c>
      <c r="F383">
        <v>1</v>
      </c>
      <c r="G383" s="60">
        <v>6</v>
      </c>
      <c r="I383" s="26">
        <v>5000002171</v>
      </c>
      <c r="J383" t="s">
        <v>37</v>
      </c>
      <c r="K383" t="s">
        <v>38</v>
      </c>
      <c r="M383">
        <v>79710054</v>
      </c>
      <c r="N383">
        <v>101</v>
      </c>
      <c r="O383" t="s">
        <v>171</v>
      </c>
      <c r="Q383" t="s">
        <v>93</v>
      </c>
      <c r="R383">
        <v>312000</v>
      </c>
      <c r="T383">
        <v>6</v>
      </c>
      <c r="U383">
        <v>1</v>
      </c>
      <c r="Z383" t="s">
        <v>763</v>
      </c>
    </row>
    <row r="384" spans="1:31" x14ac:dyDescent="0.25">
      <c r="A384" t="str">
        <f t="shared" si="5"/>
        <v>500000653279710054</v>
      </c>
      <c r="B384">
        <v>5025018643</v>
      </c>
      <c r="C384" s="25" t="s">
        <v>170</v>
      </c>
      <c r="D384" s="25">
        <v>45952</v>
      </c>
      <c r="E384">
        <v>2025</v>
      </c>
      <c r="F384">
        <v>2</v>
      </c>
      <c r="G384" s="60">
        <v>2</v>
      </c>
      <c r="I384" s="26">
        <v>5000006532</v>
      </c>
      <c r="J384" t="s">
        <v>37</v>
      </c>
      <c r="K384" t="s">
        <v>38</v>
      </c>
      <c r="M384">
        <v>79710054</v>
      </c>
      <c r="N384">
        <v>101</v>
      </c>
      <c r="O384" t="s">
        <v>171</v>
      </c>
      <c r="Q384" t="s">
        <v>93</v>
      </c>
      <c r="R384">
        <v>150000</v>
      </c>
      <c r="T384">
        <v>2</v>
      </c>
      <c r="U384">
        <v>2</v>
      </c>
      <c r="Z384" t="s">
        <v>764</v>
      </c>
    </row>
    <row r="385" spans="1:31" x14ac:dyDescent="0.25">
      <c r="A385" t="str">
        <f t="shared" si="5"/>
        <v>500001466779710054</v>
      </c>
      <c r="B385">
        <v>5025018643</v>
      </c>
      <c r="C385" s="25" t="s">
        <v>170</v>
      </c>
      <c r="D385" s="25">
        <v>45952</v>
      </c>
      <c r="E385">
        <v>2025</v>
      </c>
      <c r="F385">
        <v>3</v>
      </c>
      <c r="G385" s="60">
        <v>1</v>
      </c>
      <c r="I385" s="26">
        <v>5000014667</v>
      </c>
      <c r="J385" t="s">
        <v>37</v>
      </c>
      <c r="K385" t="s">
        <v>38</v>
      </c>
      <c r="M385">
        <v>79710054</v>
      </c>
      <c r="N385">
        <v>101</v>
      </c>
      <c r="O385" t="s">
        <v>171</v>
      </c>
      <c r="Q385" t="s">
        <v>35</v>
      </c>
      <c r="R385">
        <v>70000</v>
      </c>
      <c r="T385">
        <v>1</v>
      </c>
      <c r="U385">
        <v>3</v>
      </c>
      <c r="Z385" t="s">
        <v>750</v>
      </c>
    </row>
    <row r="386" spans="1:31" x14ac:dyDescent="0.25">
      <c r="A386" t="str">
        <f t="shared" ref="A386:A446" si="6">I386&amp;M386</f>
        <v>500001630879710055</v>
      </c>
      <c r="B386">
        <v>5025018645</v>
      </c>
      <c r="C386" s="25" t="s">
        <v>170</v>
      </c>
      <c r="D386" s="25">
        <v>45952</v>
      </c>
      <c r="E386">
        <v>2025</v>
      </c>
      <c r="F386">
        <v>1</v>
      </c>
      <c r="G386" s="60">
        <v>1</v>
      </c>
      <c r="I386" s="26">
        <v>5000016308</v>
      </c>
      <c r="J386" t="s">
        <v>37</v>
      </c>
      <c r="K386" t="s">
        <v>38</v>
      </c>
      <c r="M386">
        <v>79710055</v>
      </c>
      <c r="N386">
        <v>101</v>
      </c>
      <c r="O386" t="s">
        <v>171</v>
      </c>
      <c r="Q386" t="s">
        <v>35</v>
      </c>
      <c r="R386">
        <v>2980000</v>
      </c>
      <c r="T386">
        <v>1</v>
      </c>
      <c r="U386">
        <v>1</v>
      </c>
      <c r="Z386" t="s">
        <v>745</v>
      </c>
      <c r="AB386">
        <v>0</v>
      </c>
      <c r="AC386">
        <v>0</v>
      </c>
      <c r="AE386">
        <v>0</v>
      </c>
    </row>
    <row r="387" spans="1:31" x14ac:dyDescent="0.25">
      <c r="A387" t="str">
        <f t="shared" si="6"/>
        <v>500001630879710055</v>
      </c>
      <c r="B387">
        <v>5025018645</v>
      </c>
      <c r="C387" s="25" t="s">
        <v>170</v>
      </c>
      <c r="D387" s="25">
        <v>45952</v>
      </c>
      <c r="E387">
        <v>2025</v>
      </c>
      <c r="F387">
        <v>2</v>
      </c>
      <c r="G387" s="60">
        <v>1</v>
      </c>
      <c r="I387" s="26">
        <v>5000016308</v>
      </c>
      <c r="J387" t="s">
        <v>37</v>
      </c>
      <c r="K387" t="s">
        <v>38</v>
      </c>
      <c r="M387">
        <v>79710055</v>
      </c>
      <c r="N387">
        <v>101</v>
      </c>
      <c r="O387" t="s">
        <v>171</v>
      </c>
      <c r="Q387" t="s">
        <v>35</v>
      </c>
      <c r="R387">
        <v>2980000</v>
      </c>
      <c r="T387">
        <v>1</v>
      </c>
      <c r="U387">
        <v>2</v>
      </c>
      <c r="Z387" t="s">
        <v>754</v>
      </c>
      <c r="AB387">
        <v>0</v>
      </c>
      <c r="AC387">
        <v>0</v>
      </c>
      <c r="AE387">
        <v>0</v>
      </c>
    </row>
    <row r="388" spans="1:31" x14ac:dyDescent="0.25">
      <c r="A388" t="str">
        <f t="shared" si="6"/>
        <v>500001642879710188</v>
      </c>
      <c r="B388">
        <v>5025018766</v>
      </c>
      <c r="C388" s="25" t="s">
        <v>170</v>
      </c>
      <c r="D388" s="25">
        <v>45953</v>
      </c>
      <c r="E388">
        <v>2025</v>
      </c>
      <c r="F388">
        <v>1</v>
      </c>
      <c r="G388" s="60">
        <v>1</v>
      </c>
      <c r="I388" s="26">
        <v>5000016428</v>
      </c>
      <c r="J388" t="s">
        <v>37</v>
      </c>
      <c r="K388" t="s">
        <v>38</v>
      </c>
      <c r="M388">
        <v>79710188</v>
      </c>
      <c r="N388">
        <v>101</v>
      </c>
      <c r="O388" t="s">
        <v>171</v>
      </c>
      <c r="Q388" t="s">
        <v>35</v>
      </c>
      <c r="R388">
        <v>1486486.5</v>
      </c>
      <c r="T388">
        <v>1</v>
      </c>
      <c r="U388">
        <v>1</v>
      </c>
      <c r="Z388" t="s">
        <v>780</v>
      </c>
      <c r="AB388">
        <v>0</v>
      </c>
      <c r="AC388">
        <v>0</v>
      </c>
      <c r="AE388">
        <v>0</v>
      </c>
    </row>
    <row r="389" spans="1:31" x14ac:dyDescent="0.25">
      <c r="A389" t="str">
        <f t="shared" si="6"/>
        <v>500000534079710203</v>
      </c>
      <c r="B389">
        <v>5025018767</v>
      </c>
      <c r="C389" s="25" t="s">
        <v>170</v>
      </c>
      <c r="D389" s="25">
        <v>45953</v>
      </c>
      <c r="E389">
        <v>2025</v>
      </c>
      <c r="F389">
        <v>1</v>
      </c>
      <c r="G389" s="60">
        <v>1</v>
      </c>
      <c r="I389" s="26">
        <v>5000005340</v>
      </c>
      <c r="J389" t="s">
        <v>37</v>
      </c>
      <c r="K389" t="s">
        <v>38</v>
      </c>
      <c r="M389">
        <v>79710203</v>
      </c>
      <c r="N389">
        <v>101</v>
      </c>
      <c r="O389" t="s">
        <v>171</v>
      </c>
      <c r="Q389" t="s">
        <v>35</v>
      </c>
      <c r="R389">
        <v>155000</v>
      </c>
      <c r="T389">
        <v>1</v>
      </c>
      <c r="U389">
        <v>1</v>
      </c>
      <c r="Z389" t="s">
        <v>751</v>
      </c>
    </row>
    <row r="390" spans="1:31" x14ac:dyDescent="0.25">
      <c r="A390" t="str">
        <f t="shared" si="6"/>
        <v>500001721679710203</v>
      </c>
      <c r="B390">
        <v>5025018767</v>
      </c>
      <c r="C390" s="25" t="s">
        <v>170</v>
      </c>
      <c r="D390" s="25">
        <v>45953</v>
      </c>
      <c r="E390">
        <v>2025</v>
      </c>
      <c r="F390">
        <v>2</v>
      </c>
      <c r="G390" s="60">
        <v>3</v>
      </c>
      <c r="I390" s="26">
        <v>5000017216</v>
      </c>
      <c r="J390" t="s">
        <v>37</v>
      </c>
      <c r="K390" t="s">
        <v>38</v>
      </c>
      <c r="M390">
        <v>79710203</v>
      </c>
      <c r="N390">
        <v>101</v>
      </c>
      <c r="O390" t="s">
        <v>171</v>
      </c>
      <c r="Q390" t="s">
        <v>35</v>
      </c>
      <c r="R390">
        <v>3360000</v>
      </c>
      <c r="T390">
        <v>3</v>
      </c>
      <c r="U390">
        <v>2</v>
      </c>
      <c r="Z390" t="s">
        <v>757</v>
      </c>
    </row>
    <row r="391" spans="1:31" x14ac:dyDescent="0.25">
      <c r="A391" t="str">
        <f t="shared" si="6"/>
        <v>500000424879710203</v>
      </c>
      <c r="B391">
        <v>5025018767</v>
      </c>
      <c r="C391" s="25" t="s">
        <v>170</v>
      </c>
      <c r="D391" s="25">
        <v>45953</v>
      </c>
      <c r="E391">
        <v>2025</v>
      </c>
      <c r="F391">
        <v>3</v>
      </c>
      <c r="G391" s="60">
        <v>3</v>
      </c>
      <c r="I391" s="26">
        <v>5000004248</v>
      </c>
      <c r="J391" t="s">
        <v>37</v>
      </c>
      <c r="K391" t="s">
        <v>38</v>
      </c>
      <c r="M391">
        <v>79710203</v>
      </c>
      <c r="N391">
        <v>101</v>
      </c>
      <c r="O391" t="s">
        <v>171</v>
      </c>
      <c r="Q391" t="s">
        <v>93</v>
      </c>
      <c r="R391">
        <v>195000</v>
      </c>
      <c r="T391">
        <v>3</v>
      </c>
      <c r="U391">
        <v>3</v>
      </c>
      <c r="Z391" t="s">
        <v>759</v>
      </c>
    </row>
    <row r="392" spans="1:31" x14ac:dyDescent="0.25">
      <c r="A392" t="str">
        <f t="shared" si="6"/>
        <v>500000505979710203</v>
      </c>
      <c r="B392">
        <v>5025018767</v>
      </c>
      <c r="C392" s="25" t="s">
        <v>170</v>
      </c>
      <c r="D392" s="25">
        <v>45953</v>
      </c>
      <c r="E392">
        <v>2025</v>
      </c>
      <c r="F392">
        <v>4</v>
      </c>
      <c r="G392" s="60">
        <v>3</v>
      </c>
      <c r="I392" s="26">
        <v>5000005059</v>
      </c>
      <c r="J392" t="s">
        <v>37</v>
      </c>
      <c r="K392" t="s">
        <v>38</v>
      </c>
      <c r="M392">
        <v>79710203</v>
      </c>
      <c r="N392">
        <v>101</v>
      </c>
      <c r="O392" t="s">
        <v>171</v>
      </c>
      <c r="Q392" t="s">
        <v>93</v>
      </c>
      <c r="R392">
        <v>285000</v>
      </c>
      <c r="T392">
        <v>3</v>
      </c>
      <c r="U392">
        <v>4</v>
      </c>
      <c r="Z392" t="s">
        <v>760</v>
      </c>
    </row>
    <row r="393" spans="1:31" x14ac:dyDescent="0.25">
      <c r="A393" t="str">
        <f t="shared" si="6"/>
        <v>500001202179710203</v>
      </c>
      <c r="B393">
        <v>5025018767</v>
      </c>
      <c r="C393" s="25" t="s">
        <v>170</v>
      </c>
      <c r="D393" s="25">
        <v>45953</v>
      </c>
      <c r="E393">
        <v>2025</v>
      </c>
      <c r="F393">
        <v>5</v>
      </c>
      <c r="G393" s="60">
        <v>3</v>
      </c>
      <c r="I393" s="26">
        <v>5000012021</v>
      </c>
      <c r="J393" t="s">
        <v>37</v>
      </c>
      <c r="K393" t="s">
        <v>38</v>
      </c>
      <c r="M393">
        <v>79710203</v>
      </c>
      <c r="N393">
        <v>101</v>
      </c>
      <c r="O393" t="s">
        <v>171</v>
      </c>
      <c r="Q393" t="s">
        <v>93</v>
      </c>
      <c r="R393">
        <v>90000</v>
      </c>
      <c r="T393">
        <v>3</v>
      </c>
      <c r="U393">
        <v>5</v>
      </c>
      <c r="Z393" t="s">
        <v>761</v>
      </c>
    </row>
    <row r="394" spans="1:31" x14ac:dyDescent="0.25">
      <c r="A394" t="str">
        <f t="shared" si="6"/>
        <v>500000073979710187</v>
      </c>
      <c r="B394">
        <v>5025018894</v>
      </c>
      <c r="C394" s="25" t="s">
        <v>170</v>
      </c>
      <c r="D394" s="25">
        <v>45955</v>
      </c>
      <c r="E394">
        <v>2025</v>
      </c>
      <c r="F394">
        <v>1</v>
      </c>
      <c r="G394" s="60">
        <v>1</v>
      </c>
      <c r="I394" s="26">
        <v>5000000739</v>
      </c>
      <c r="J394" t="s">
        <v>37</v>
      </c>
      <c r="K394" t="s">
        <v>38</v>
      </c>
      <c r="M394">
        <v>79710187</v>
      </c>
      <c r="N394">
        <v>101</v>
      </c>
      <c r="O394" t="s">
        <v>171</v>
      </c>
      <c r="Q394" t="s">
        <v>262</v>
      </c>
      <c r="R394">
        <v>2072072.1</v>
      </c>
      <c r="T394">
        <v>1</v>
      </c>
      <c r="U394">
        <v>1</v>
      </c>
      <c r="Z394" t="s">
        <v>778</v>
      </c>
      <c r="AB394">
        <v>0</v>
      </c>
      <c r="AC394">
        <v>0</v>
      </c>
      <c r="AE394">
        <v>0</v>
      </c>
    </row>
    <row r="395" spans="1:31" x14ac:dyDescent="0.25">
      <c r="A395" t="str">
        <f t="shared" si="6"/>
        <v>500001672879710187</v>
      </c>
      <c r="B395">
        <v>5025018894</v>
      </c>
      <c r="C395" s="25" t="s">
        <v>170</v>
      </c>
      <c r="D395" s="25">
        <v>45955</v>
      </c>
      <c r="E395">
        <v>2025</v>
      </c>
      <c r="F395">
        <v>2</v>
      </c>
      <c r="G395" s="60">
        <v>1</v>
      </c>
      <c r="I395" s="26">
        <v>5000016728</v>
      </c>
      <c r="J395" t="s">
        <v>37</v>
      </c>
      <c r="K395" t="s">
        <v>38</v>
      </c>
      <c r="M395">
        <v>79710187</v>
      </c>
      <c r="N395">
        <v>101</v>
      </c>
      <c r="O395" t="s">
        <v>171</v>
      </c>
      <c r="Q395" t="s">
        <v>35</v>
      </c>
      <c r="R395">
        <v>346847</v>
      </c>
      <c r="T395">
        <v>1</v>
      </c>
      <c r="U395">
        <v>2</v>
      </c>
      <c r="Z395" t="s">
        <v>779</v>
      </c>
      <c r="AB395">
        <v>0</v>
      </c>
      <c r="AC395">
        <v>0</v>
      </c>
      <c r="AE395">
        <v>0</v>
      </c>
    </row>
    <row r="396" spans="1:31" x14ac:dyDescent="0.25">
      <c r="A396" t="str">
        <f t="shared" si="6"/>
        <v>500001797879710376</v>
      </c>
      <c r="B396">
        <v>5025018895</v>
      </c>
      <c r="C396" s="25" t="s">
        <v>170</v>
      </c>
      <c r="D396" s="25">
        <v>45955</v>
      </c>
      <c r="E396">
        <v>2025</v>
      </c>
      <c r="F396">
        <v>1</v>
      </c>
      <c r="G396" s="60">
        <v>1</v>
      </c>
      <c r="I396" s="26">
        <v>5000017978</v>
      </c>
      <c r="J396" t="s">
        <v>37</v>
      </c>
      <c r="K396" t="s">
        <v>38</v>
      </c>
      <c r="M396">
        <v>79710376</v>
      </c>
      <c r="N396">
        <v>101</v>
      </c>
      <c r="O396" t="s">
        <v>171</v>
      </c>
      <c r="Q396" t="s">
        <v>93</v>
      </c>
      <c r="R396">
        <v>4200000</v>
      </c>
      <c r="T396">
        <v>1</v>
      </c>
      <c r="U396">
        <v>1</v>
      </c>
      <c r="Z396" t="s">
        <v>781</v>
      </c>
    </row>
    <row r="397" spans="1:31" x14ac:dyDescent="0.25">
      <c r="A397" t="str">
        <f t="shared" si="6"/>
        <v>500001797179710079</v>
      </c>
      <c r="B397">
        <v>5025019073</v>
      </c>
      <c r="C397" s="25" t="s">
        <v>170</v>
      </c>
      <c r="D397" s="25">
        <v>45958</v>
      </c>
      <c r="E397">
        <v>2025</v>
      </c>
      <c r="F397">
        <v>1</v>
      </c>
      <c r="G397" s="60">
        <v>1</v>
      </c>
      <c r="I397" s="26">
        <v>5000017971</v>
      </c>
      <c r="J397" t="s">
        <v>37</v>
      </c>
      <c r="K397" t="s">
        <v>38</v>
      </c>
      <c r="M397">
        <v>79710079</v>
      </c>
      <c r="N397">
        <v>101</v>
      </c>
      <c r="O397" t="s">
        <v>171</v>
      </c>
      <c r="Q397" t="s">
        <v>93</v>
      </c>
      <c r="R397">
        <v>1400000</v>
      </c>
      <c r="T397">
        <v>1</v>
      </c>
      <c r="U397">
        <v>1</v>
      </c>
      <c r="Z397" t="s">
        <v>777</v>
      </c>
      <c r="AB397">
        <v>0</v>
      </c>
      <c r="AC397">
        <v>0</v>
      </c>
      <c r="AE397">
        <v>0</v>
      </c>
    </row>
    <row r="398" spans="1:31" x14ac:dyDescent="0.25">
      <c r="A398" t="str">
        <f t="shared" si="6"/>
        <v>500001364079710378</v>
      </c>
      <c r="B398">
        <v>5025019324</v>
      </c>
      <c r="C398" s="25" t="s">
        <v>170</v>
      </c>
      <c r="D398" s="25">
        <v>45961</v>
      </c>
      <c r="E398">
        <v>2025</v>
      </c>
      <c r="F398">
        <v>1</v>
      </c>
      <c r="G398" s="60">
        <v>19</v>
      </c>
      <c r="I398" s="26">
        <v>5000013640</v>
      </c>
      <c r="J398" t="s">
        <v>37</v>
      </c>
      <c r="K398" t="s">
        <v>38</v>
      </c>
      <c r="M398">
        <v>79710378</v>
      </c>
      <c r="N398">
        <v>101</v>
      </c>
      <c r="O398" t="s">
        <v>171</v>
      </c>
      <c r="Q398" t="s">
        <v>93</v>
      </c>
      <c r="R398">
        <v>285000</v>
      </c>
      <c r="T398">
        <v>19</v>
      </c>
      <c r="U398">
        <v>1</v>
      </c>
      <c r="Z398" t="s">
        <v>774</v>
      </c>
    </row>
    <row r="399" spans="1:31" x14ac:dyDescent="0.25">
      <c r="A399" t="str">
        <f t="shared" si="6"/>
        <v>500001632279710378</v>
      </c>
      <c r="B399">
        <v>5025019324</v>
      </c>
      <c r="C399" s="25" t="s">
        <v>170</v>
      </c>
      <c r="D399" s="25">
        <v>45961</v>
      </c>
      <c r="E399">
        <v>2025</v>
      </c>
      <c r="F399">
        <v>2</v>
      </c>
      <c r="G399" s="60">
        <v>19</v>
      </c>
      <c r="I399" s="26">
        <v>5000016322</v>
      </c>
      <c r="J399" t="s">
        <v>37</v>
      </c>
      <c r="K399" t="s">
        <v>38</v>
      </c>
      <c r="M399">
        <v>79710378</v>
      </c>
      <c r="N399">
        <v>101</v>
      </c>
      <c r="O399" t="s">
        <v>171</v>
      </c>
      <c r="Q399" t="s">
        <v>93</v>
      </c>
      <c r="R399">
        <v>285000</v>
      </c>
      <c r="T399">
        <v>19</v>
      </c>
      <c r="U399">
        <v>2</v>
      </c>
      <c r="Z399" t="s">
        <v>775</v>
      </c>
    </row>
    <row r="400" spans="1:31" x14ac:dyDescent="0.25">
      <c r="A400" t="str">
        <f t="shared" si="6"/>
        <v>500001721679710514</v>
      </c>
      <c r="B400">
        <v>5025019325</v>
      </c>
      <c r="C400" s="25" t="s">
        <v>170</v>
      </c>
      <c r="D400" s="25">
        <v>45961</v>
      </c>
      <c r="E400">
        <v>2025</v>
      </c>
      <c r="F400">
        <v>1</v>
      </c>
      <c r="G400" s="60">
        <v>1</v>
      </c>
      <c r="I400" s="26">
        <v>5000017216</v>
      </c>
      <c r="J400" t="s">
        <v>37</v>
      </c>
      <c r="K400" t="s">
        <v>38</v>
      </c>
      <c r="M400">
        <v>79710514</v>
      </c>
      <c r="N400">
        <v>101</v>
      </c>
      <c r="O400" t="s">
        <v>171</v>
      </c>
      <c r="Q400" t="s">
        <v>35</v>
      </c>
      <c r="R400">
        <v>1120000</v>
      </c>
      <c r="T400">
        <v>1</v>
      </c>
      <c r="U400">
        <v>1</v>
      </c>
      <c r="Z400" t="s">
        <v>783</v>
      </c>
    </row>
    <row r="401" spans="1:31" x14ac:dyDescent="0.25">
      <c r="A401" t="str">
        <f t="shared" si="6"/>
        <v>500001721679710058</v>
      </c>
      <c r="B401">
        <v>5025019326</v>
      </c>
      <c r="C401" s="25" t="s">
        <v>170</v>
      </c>
      <c r="D401" s="25">
        <v>45961</v>
      </c>
      <c r="E401">
        <v>2025</v>
      </c>
      <c r="F401">
        <v>1</v>
      </c>
      <c r="G401" s="60">
        <v>1</v>
      </c>
      <c r="I401" s="26">
        <v>5000017216</v>
      </c>
      <c r="J401" t="s">
        <v>37</v>
      </c>
      <c r="K401" t="s">
        <v>38</v>
      </c>
      <c r="M401">
        <v>79710058</v>
      </c>
      <c r="N401">
        <v>101</v>
      </c>
      <c r="O401" t="s">
        <v>171</v>
      </c>
      <c r="Q401" t="s">
        <v>35</v>
      </c>
      <c r="R401">
        <v>1120000</v>
      </c>
      <c r="T401">
        <v>1</v>
      </c>
      <c r="U401">
        <v>1</v>
      </c>
      <c r="Z401" t="s">
        <v>744</v>
      </c>
    </row>
    <row r="402" spans="1:31" x14ac:dyDescent="0.25">
      <c r="A402" t="str">
        <f t="shared" si="6"/>
        <v>500000424879710058</v>
      </c>
      <c r="B402">
        <v>5025019326</v>
      </c>
      <c r="C402" s="25" t="s">
        <v>170</v>
      </c>
      <c r="D402" s="25">
        <v>45961</v>
      </c>
      <c r="E402">
        <v>2025</v>
      </c>
      <c r="F402">
        <v>2</v>
      </c>
      <c r="G402" s="60">
        <v>1</v>
      </c>
      <c r="I402" s="26">
        <v>5000004248</v>
      </c>
      <c r="J402" t="s">
        <v>37</v>
      </c>
      <c r="K402" t="s">
        <v>38</v>
      </c>
      <c r="M402">
        <v>79710058</v>
      </c>
      <c r="N402">
        <v>101</v>
      </c>
      <c r="O402" t="s">
        <v>171</v>
      </c>
      <c r="Q402" t="s">
        <v>93</v>
      </c>
      <c r="R402">
        <v>65000</v>
      </c>
      <c r="T402">
        <v>1</v>
      </c>
      <c r="U402">
        <v>2</v>
      </c>
      <c r="Z402" t="s">
        <v>746</v>
      </c>
    </row>
    <row r="403" spans="1:31" x14ac:dyDescent="0.25">
      <c r="A403" t="str">
        <f t="shared" si="6"/>
        <v>500000505979710058</v>
      </c>
      <c r="B403">
        <v>5025019326</v>
      </c>
      <c r="C403" s="25" t="s">
        <v>170</v>
      </c>
      <c r="D403" s="25">
        <v>45961</v>
      </c>
      <c r="E403">
        <v>2025</v>
      </c>
      <c r="F403">
        <v>3</v>
      </c>
      <c r="G403" s="60">
        <v>1</v>
      </c>
      <c r="I403" s="26">
        <v>5000005059</v>
      </c>
      <c r="J403" t="s">
        <v>37</v>
      </c>
      <c r="K403" t="s">
        <v>38</v>
      </c>
      <c r="M403">
        <v>79710058</v>
      </c>
      <c r="N403">
        <v>101</v>
      </c>
      <c r="O403" t="s">
        <v>171</v>
      </c>
      <c r="Q403" t="s">
        <v>93</v>
      </c>
      <c r="R403">
        <v>95000</v>
      </c>
      <c r="T403">
        <v>1</v>
      </c>
      <c r="U403">
        <v>3</v>
      </c>
      <c r="Z403" t="s">
        <v>747</v>
      </c>
    </row>
    <row r="404" spans="1:31" x14ac:dyDescent="0.25">
      <c r="A404" t="str">
        <f t="shared" si="6"/>
        <v>500001202179710058</v>
      </c>
      <c r="B404">
        <v>5025019326</v>
      </c>
      <c r="C404" s="25" t="s">
        <v>170</v>
      </c>
      <c r="D404" s="25">
        <v>45961</v>
      </c>
      <c r="E404">
        <v>2025</v>
      </c>
      <c r="F404">
        <v>4</v>
      </c>
      <c r="G404" s="60">
        <v>1</v>
      </c>
      <c r="I404" s="26">
        <v>5000012021</v>
      </c>
      <c r="J404" t="s">
        <v>37</v>
      </c>
      <c r="K404" t="s">
        <v>38</v>
      </c>
      <c r="M404">
        <v>79710058</v>
      </c>
      <c r="N404">
        <v>101</v>
      </c>
      <c r="O404" t="s">
        <v>171</v>
      </c>
      <c r="Q404" t="s">
        <v>93</v>
      </c>
      <c r="R404">
        <v>30000</v>
      </c>
      <c r="T404">
        <v>1</v>
      </c>
      <c r="U404">
        <v>4</v>
      </c>
      <c r="Z404" t="s">
        <v>748</v>
      </c>
    </row>
    <row r="405" spans="1:31" x14ac:dyDescent="0.25">
      <c r="A405" t="str">
        <f t="shared" si="6"/>
        <v>500001175479710058</v>
      </c>
      <c r="B405">
        <v>5025019326</v>
      </c>
      <c r="C405" s="25" t="s">
        <v>170</v>
      </c>
      <c r="D405" s="25">
        <v>45961</v>
      </c>
      <c r="E405">
        <v>2025</v>
      </c>
      <c r="F405">
        <v>5</v>
      </c>
      <c r="G405" s="60">
        <v>1</v>
      </c>
      <c r="I405" s="26">
        <v>5000011754</v>
      </c>
      <c r="J405" t="s">
        <v>37</v>
      </c>
      <c r="K405" t="s">
        <v>38</v>
      </c>
      <c r="M405">
        <v>79710058</v>
      </c>
      <c r="N405">
        <v>101</v>
      </c>
      <c r="O405" t="s">
        <v>171</v>
      </c>
      <c r="Q405" t="s">
        <v>93</v>
      </c>
      <c r="R405">
        <v>20000</v>
      </c>
      <c r="T405">
        <v>1</v>
      </c>
      <c r="U405">
        <v>5</v>
      </c>
      <c r="Z405" t="s">
        <v>749</v>
      </c>
    </row>
    <row r="406" spans="1:31" x14ac:dyDescent="0.25">
      <c r="A406" t="str">
        <f t="shared" si="6"/>
        <v>500001175479710515</v>
      </c>
      <c r="B406">
        <v>5025019328</v>
      </c>
      <c r="C406" s="25" t="s">
        <v>170</v>
      </c>
      <c r="D406" s="25">
        <v>45961</v>
      </c>
      <c r="E406">
        <v>2025</v>
      </c>
      <c r="F406">
        <v>1</v>
      </c>
      <c r="G406" s="60">
        <v>5</v>
      </c>
      <c r="I406" s="26">
        <v>5000011754</v>
      </c>
      <c r="J406" t="s">
        <v>37</v>
      </c>
      <c r="K406" t="s">
        <v>38</v>
      </c>
      <c r="M406">
        <v>79710515</v>
      </c>
      <c r="N406">
        <v>101</v>
      </c>
      <c r="O406" t="s">
        <v>171</v>
      </c>
      <c r="Q406" t="s">
        <v>93</v>
      </c>
      <c r="R406">
        <v>100000</v>
      </c>
      <c r="T406">
        <v>5</v>
      </c>
      <c r="U406">
        <v>1</v>
      </c>
      <c r="Z406" t="s">
        <v>784</v>
      </c>
    </row>
    <row r="407" spans="1:31" x14ac:dyDescent="0.25">
      <c r="A407" t="str">
        <f t="shared" si="6"/>
        <v>500000505979710617</v>
      </c>
      <c r="B407">
        <v>5025019553</v>
      </c>
      <c r="C407" s="25" t="s">
        <v>170</v>
      </c>
      <c r="D407" s="25">
        <v>45965</v>
      </c>
      <c r="E407">
        <v>2025</v>
      </c>
      <c r="F407">
        <v>1</v>
      </c>
      <c r="G407" s="60">
        <v>1</v>
      </c>
      <c r="I407" s="26">
        <v>5000005059</v>
      </c>
      <c r="J407" t="s">
        <v>37</v>
      </c>
      <c r="K407" t="s">
        <v>38</v>
      </c>
      <c r="M407">
        <v>79710617</v>
      </c>
      <c r="N407">
        <v>101</v>
      </c>
      <c r="O407" t="s">
        <v>171</v>
      </c>
      <c r="Q407" t="s">
        <v>93</v>
      </c>
      <c r="R407">
        <v>135135.20000000001</v>
      </c>
      <c r="T407">
        <v>1</v>
      </c>
      <c r="U407">
        <v>1</v>
      </c>
      <c r="Z407" t="s">
        <v>802</v>
      </c>
      <c r="AB407">
        <v>0</v>
      </c>
      <c r="AC407">
        <v>0</v>
      </c>
      <c r="AE407">
        <v>0</v>
      </c>
    </row>
    <row r="408" spans="1:31" x14ac:dyDescent="0.25">
      <c r="A408" t="str">
        <f t="shared" si="6"/>
        <v>500001642879710617</v>
      </c>
      <c r="B408">
        <v>5025019553</v>
      </c>
      <c r="C408" s="25" t="s">
        <v>170</v>
      </c>
      <c r="D408" s="25">
        <v>45965</v>
      </c>
      <c r="E408">
        <v>2025</v>
      </c>
      <c r="F408">
        <v>2</v>
      </c>
      <c r="G408" s="60">
        <v>1</v>
      </c>
      <c r="I408" s="26">
        <v>5000016428</v>
      </c>
      <c r="J408" t="s">
        <v>37</v>
      </c>
      <c r="K408" t="s">
        <v>38</v>
      </c>
      <c r="M408">
        <v>79710617</v>
      </c>
      <c r="N408">
        <v>101</v>
      </c>
      <c r="O408" t="s">
        <v>171</v>
      </c>
      <c r="Q408" t="s">
        <v>35</v>
      </c>
      <c r="R408">
        <v>1486486.5</v>
      </c>
      <c r="T408">
        <v>1</v>
      </c>
      <c r="U408">
        <v>2</v>
      </c>
      <c r="Z408" t="s">
        <v>803</v>
      </c>
      <c r="AB408">
        <v>0</v>
      </c>
      <c r="AC408">
        <v>0</v>
      </c>
      <c r="AE408">
        <v>0</v>
      </c>
    </row>
    <row r="409" spans="1:31" x14ac:dyDescent="0.25">
      <c r="A409" t="str">
        <f t="shared" si="6"/>
        <v>500001630879710194</v>
      </c>
      <c r="B409">
        <v>5025019554</v>
      </c>
      <c r="C409" s="25" t="s">
        <v>170</v>
      </c>
      <c r="D409" s="25">
        <v>45965</v>
      </c>
      <c r="E409">
        <v>2025</v>
      </c>
      <c r="F409">
        <v>1</v>
      </c>
      <c r="G409" s="60">
        <v>4</v>
      </c>
      <c r="I409" s="26">
        <v>5000016308</v>
      </c>
      <c r="J409" t="s">
        <v>37</v>
      </c>
      <c r="K409" t="s">
        <v>38</v>
      </c>
      <c r="M409">
        <v>79710194</v>
      </c>
      <c r="N409">
        <v>101</v>
      </c>
      <c r="O409" t="s">
        <v>171</v>
      </c>
      <c r="Q409" t="s">
        <v>35</v>
      </c>
      <c r="R409">
        <v>11920000</v>
      </c>
      <c r="T409">
        <v>4</v>
      </c>
      <c r="U409">
        <v>1</v>
      </c>
      <c r="Z409" t="s">
        <v>758</v>
      </c>
      <c r="AB409">
        <v>0</v>
      </c>
      <c r="AC409">
        <v>0</v>
      </c>
      <c r="AE409">
        <v>0</v>
      </c>
    </row>
    <row r="410" spans="1:31" x14ac:dyDescent="0.25">
      <c r="A410" t="str">
        <f t="shared" si="6"/>
        <v>500001742579710512</v>
      </c>
      <c r="B410">
        <v>5025019556</v>
      </c>
      <c r="C410" s="25" t="s">
        <v>170</v>
      </c>
      <c r="D410" s="25">
        <v>45965</v>
      </c>
      <c r="E410">
        <v>2025</v>
      </c>
      <c r="F410">
        <v>1</v>
      </c>
      <c r="G410" s="60">
        <v>1</v>
      </c>
      <c r="I410" s="26">
        <v>5000017425</v>
      </c>
      <c r="J410" t="s">
        <v>37</v>
      </c>
      <c r="K410" t="s">
        <v>38</v>
      </c>
      <c r="M410">
        <v>79710512</v>
      </c>
      <c r="N410">
        <v>101</v>
      </c>
      <c r="O410" t="s">
        <v>171</v>
      </c>
      <c r="Q410" t="s">
        <v>93</v>
      </c>
      <c r="R410">
        <v>310000</v>
      </c>
      <c r="T410">
        <v>1</v>
      </c>
      <c r="U410">
        <v>1</v>
      </c>
      <c r="Z410" t="s">
        <v>788</v>
      </c>
    </row>
    <row r="411" spans="1:31" x14ac:dyDescent="0.25">
      <c r="A411" t="str">
        <f t="shared" si="6"/>
        <v>500001630879710195</v>
      </c>
      <c r="B411">
        <v>5025019559</v>
      </c>
      <c r="C411" s="25" t="s">
        <v>170</v>
      </c>
      <c r="D411" s="25">
        <v>45965</v>
      </c>
      <c r="E411">
        <v>2025</v>
      </c>
      <c r="F411">
        <v>1</v>
      </c>
      <c r="G411" s="60">
        <v>1</v>
      </c>
      <c r="I411" s="26">
        <v>5000016308</v>
      </c>
      <c r="J411" t="s">
        <v>37</v>
      </c>
      <c r="K411" t="s">
        <v>38</v>
      </c>
      <c r="M411">
        <v>79710195</v>
      </c>
      <c r="N411">
        <v>101</v>
      </c>
      <c r="O411" t="s">
        <v>171</v>
      </c>
      <c r="Q411" t="s">
        <v>35</v>
      </c>
      <c r="R411">
        <v>2980000</v>
      </c>
      <c r="T411">
        <v>1</v>
      </c>
      <c r="U411">
        <v>1</v>
      </c>
      <c r="Z411" t="s">
        <v>769</v>
      </c>
      <c r="AB411">
        <v>0</v>
      </c>
      <c r="AC411">
        <v>0</v>
      </c>
      <c r="AE411">
        <v>0</v>
      </c>
    </row>
    <row r="412" spans="1:31" x14ac:dyDescent="0.25">
      <c r="A412" t="str">
        <f t="shared" si="6"/>
        <v>500001721679710623</v>
      </c>
      <c r="B412">
        <v>5025019676</v>
      </c>
      <c r="C412" s="25" t="s">
        <v>170</v>
      </c>
      <c r="D412" s="25">
        <v>45966</v>
      </c>
      <c r="E412">
        <v>2025</v>
      </c>
      <c r="F412">
        <v>1</v>
      </c>
      <c r="G412" s="60">
        <v>1</v>
      </c>
      <c r="I412" s="26">
        <v>5000017216</v>
      </c>
      <c r="J412" t="s">
        <v>37</v>
      </c>
      <c r="K412" t="s">
        <v>38</v>
      </c>
      <c r="M412">
        <v>79710623</v>
      </c>
      <c r="N412">
        <v>101</v>
      </c>
      <c r="O412" t="s">
        <v>171</v>
      </c>
      <c r="Q412" t="s">
        <v>35</v>
      </c>
      <c r="R412">
        <v>1120000</v>
      </c>
      <c r="T412">
        <v>1</v>
      </c>
      <c r="U412">
        <v>1</v>
      </c>
      <c r="Z412" t="s">
        <v>791</v>
      </c>
    </row>
    <row r="413" spans="1:31" x14ac:dyDescent="0.25">
      <c r="A413" t="str">
        <f t="shared" si="6"/>
        <v>500000505979710623</v>
      </c>
      <c r="B413">
        <v>5025019676</v>
      </c>
      <c r="C413" s="25" t="s">
        <v>170</v>
      </c>
      <c r="D413" s="25">
        <v>45966</v>
      </c>
      <c r="E413">
        <v>2025</v>
      </c>
      <c r="F413">
        <v>2</v>
      </c>
      <c r="G413" s="60">
        <v>1</v>
      </c>
      <c r="I413" s="26">
        <v>5000005059</v>
      </c>
      <c r="J413" t="s">
        <v>37</v>
      </c>
      <c r="K413" t="s">
        <v>38</v>
      </c>
      <c r="M413">
        <v>79710623</v>
      </c>
      <c r="N413">
        <v>101</v>
      </c>
      <c r="O413" t="s">
        <v>171</v>
      </c>
      <c r="Q413" t="s">
        <v>93</v>
      </c>
      <c r="R413">
        <v>95000</v>
      </c>
      <c r="T413">
        <v>1</v>
      </c>
      <c r="U413">
        <v>2</v>
      </c>
      <c r="Z413" t="s">
        <v>792</v>
      </c>
    </row>
    <row r="414" spans="1:31" x14ac:dyDescent="0.25">
      <c r="A414" t="str">
        <f t="shared" si="6"/>
        <v>500000424879710623</v>
      </c>
      <c r="B414">
        <v>5025019676</v>
      </c>
      <c r="C414" s="25" t="s">
        <v>170</v>
      </c>
      <c r="D414" s="25">
        <v>45966</v>
      </c>
      <c r="E414">
        <v>2025</v>
      </c>
      <c r="F414">
        <v>3</v>
      </c>
      <c r="G414" s="60">
        <v>1</v>
      </c>
      <c r="I414" s="26">
        <v>5000004248</v>
      </c>
      <c r="J414" t="s">
        <v>37</v>
      </c>
      <c r="K414" t="s">
        <v>38</v>
      </c>
      <c r="M414">
        <v>79710623</v>
      </c>
      <c r="N414">
        <v>101</v>
      </c>
      <c r="O414" t="s">
        <v>171</v>
      </c>
      <c r="Q414" t="s">
        <v>93</v>
      </c>
      <c r="R414">
        <v>65000</v>
      </c>
      <c r="T414">
        <v>1</v>
      </c>
      <c r="U414">
        <v>3</v>
      </c>
      <c r="Z414" t="s">
        <v>794</v>
      </c>
    </row>
    <row r="415" spans="1:31" x14ac:dyDescent="0.25">
      <c r="A415" t="str">
        <f t="shared" si="6"/>
        <v>500001202179710623</v>
      </c>
      <c r="B415">
        <v>5025019676</v>
      </c>
      <c r="C415" s="25" t="s">
        <v>170</v>
      </c>
      <c r="D415" s="25">
        <v>45966</v>
      </c>
      <c r="E415">
        <v>2025</v>
      </c>
      <c r="F415">
        <v>4</v>
      </c>
      <c r="G415" s="60">
        <v>1</v>
      </c>
      <c r="I415" s="26">
        <v>5000012021</v>
      </c>
      <c r="J415" t="s">
        <v>37</v>
      </c>
      <c r="K415" t="s">
        <v>38</v>
      </c>
      <c r="M415">
        <v>79710623</v>
      </c>
      <c r="N415">
        <v>101</v>
      </c>
      <c r="O415" t="s">
        <v>171</v>
      </c>
      <c r="Q415" t="s">
        <v>93</v>
      </c>
      <c r="R415">
        <v>30000</v>
      </c>
      <c r="T415">
        <v>1</v>
      </c>
      <c r="U415">
        <v>4</v>
      </c>
      <c r="Z415" t="s">
        <v>795</v>
      </c>
    </row>
    <row r="416" spans="1:31" x14ac:dyDescent="0.25">
      <c r="A416" t="str">
        <f t="shared" si="6"/>
        <v>500001175479710623</v>
      </c>
      <c r="B416">
        <v>5025019676</v>
      </c>
      <c r="C416" s="25" t="s">
        <v>170</v>
      </c>
      <c r="D416" s="25">
        <v>45966</v>
      </c>
      <c r="E416">
        <v>2025</v>
      </c>
      <c r="F416">
        <v>5</v>
      </c>
      <c r="G416" s="60">
        <v>1</v>
      </c>
      <c r="I416" s="26">
        <v>5000011754</v>
      </c>
      <c r="J416" t="s">
        <v>37</v>
      </c>
      <c r="K416" t="s">
        <v>38</v>
      </c>
      <c r="M416">
        <v>79710623</v>
      </c>
      <c r="N416">
        <v>101</v>
      </c>
      <c r="O416" t="s">
        <v>171</v>
      </c>
      <c r="Q416" t="s">
        <v>93</v>
      </c>
      <c r="R416">
        <v>20000</v>
      </c>
      <c r="T416">
        <v>1</v>
      </c>
      <c r="U416">
        <v>5</v>
      </c>
      <c r="Z416" t="s">
        <v>794</v>
      </c>
    </row>
    <row r="417" spans="1:31" x14ac:dyDescent="0.25">
      <c r="A417" t="str">
        <f t="shared" si="6"/>
        <v>500000534079710623</v>
      </c>
      <c r="B417">
        <v>5025019676</v>
      </c>
      <c r="C417" s="25" t="s">
        <v>170</v>
      </c>
      <c r="D417" s="25">
        <v>45966</v>
      </c>
      <c r="E417">
        <v>2025</v>
      </c>
      <c r="F417">
        <v>6</v>
      </c>
      <c r="G417" s="60">
        <v>1</v>
      </c>
      <c r="I417" s="26">
        <v>5000005340</v>
      </c>
      <c r="J417" t="s">
        <v>37</v>
      </c>
      <c r="K417" t="s">
        <v>38</v>
      </c>
      <c r="M417">
        <v>79710623</v>
      </c>
      <c r="N417">
        <v>101</v>
      </c>
      <c r="O417" t="s">
        <v>171</v>
      </c>
      <c r="Q417" t="s">
        <v>35</v>
      </c>
      <c r="R417">
        <v>155000</v>
      </c>
      <c r="T417">
        <v>1</v>
      </c>
      <c r="U417">
        <v>6</v>
      </c>
      <c r="Z417" t="s">
        <v>797</v>
      </c>
    </row>
    <row r="418" spans="1:31" x14ac:dyDescent="0.25">
      <c r="A418" t="str">
        <f t="shared" si="6"/>
        <v>500001785679710864</v>
      </c>
      <c r="B418">
        <v>5025019989</v>
      </c>
      <c r="C418" s="25" t="s">
        <v>170</v>
      </c>
      <c r="D418" s="25">
        <v>45971</v>
      </c>
      <c r="E418">
        <v>2025</v>
      </c>
      <c r="F418">
        <v>1</v>
      </c>
      <c r="G418" s="60">
        <v>1</v>
      </c>
      <c r="I418" s="26">
        <v>5000017856</v>
      </c>
      <c r="J418" t="s">
        <v>37</v>
      </c>
      <c r="K418" t="s">
        <v>38</v>
      </c>
      <c r="M418">
        <v>79710864</v>
      </c>
      <c r="N418">
        <v>101</v>
      </c>
      <c r="O418" t="s">
        <v>171</v>
      </c>
      <c r="Q418" t="s">
        <v>35</v>
      </c>
      <c r="R418">
        <v>11351351.4</v>
      </c>
      <c r="T418">
        <v>1</v>
      </c>
      <c r="U418">
        <v>1</v>
      </c>
      <c r="Z418" t="s">
        <v>810</v>
      </c>
    </row>
    <row r="419" spans="1:31" x14ac:dyDescent="0.25">
      <c r="A419" t="str">
        <f t="shared" si="6"/>
        <v>500001196079710864</v>
      </c>
      <c r="B419">
        <v>5025019989</v>
      </c>
      <c r="C419" s="25" t="s">
        <v>170</v>
      </c>
      <c r="D419" s="25">
        <v>45971</v>
      </c>
      <c r="E419">
        <v>2025</v>
      </c>
      <c r="F419">
        <v>2</v>
      </c>
      <c r="G419" s="60">
        <v>1</v>
      </c>
      <c r="I419" s="26">
        <v>5000011960</v>
      </c>
      <c r="J419" t="s">
        <v>37</v>
      </c>
      <c r="K419" t="s">
        <v>38</v>
      </c>
      <c r="M419">
        <v>79710864</v>
      </c>
      <c r="N419">
        <v>101</v>
      </c>
      <c r="O419" t="s">
        <v>171</v>
      </c>
      <c r="Q419" t="s">
        <v>93</v>
      </c>
      <c r="R419">
        <v>1621621.7</v>
      </c>
      <c r="T419">
        <v>1</v>
      </c>
      <c r="U419">
        <v>2</v>
      </c>
      <c r="Z419" t="s">
        <v>811</v>
      </c>
    </row>
    <row r="420" spans="1:31" x14ac:dyDescent="0.25">
      <c r="A420" t="str">
        <f t="shared" si="6"/>
        <v>500001625579710621</v>
      </c>
      <c r="B420">
        <v>5025019990</v>
      </c>
      <c r="C420" s="25" t="s">
        <v>170</v>
      </c>
      <c r="D420" s="25">
        <v>45971</v>
      </c>
      <c r="E420">
        <v>2025</v>
      </c>
      <c r="F420">
        <v>1</v>
      </c>
      <c r="G420" s="60">
        <v>1</v>
      </c>
      <c r="I420" s="26">
        <v>5000016255</v>
      </c>
      <c r="J420" t="s">
        <v>37</v>
      </c>
      <c r="K420" t="s">
        <v>38</v>
      </c>
      <c r="M420">
        <v>79710621</v>
      </c>
      <c r="N420">
        <v>101</v>
      </c>
      <c r="O420" t="s">
        <v>171</v>
      </c>
      <c r="Q420" t="s">
        <v>93</v>
      </c>
      <c r="R420">
        <v>343000</v>
      </c>
      <c r="T420">
        <v>1</v>
      </c>
      <c r="U420">
        <v>1</v>
      </c>
      <c r="Z420" t="s">
        <v>786</v>
      </c>
    </row>
    <row r="421" spans="1:31" x14ac:dyDescent="0.25">
      <c r="A421" t="str">
        <f t="shared" si="6"/>
        <v>500001423779710621</v>
      </c>
      <c r="B421">
        <v>5025019990</v>
      </c>
      <c r="C421" s="25" t="s">
        <v>170</v>
      </c>
      <c r="D421" s="25">
        <v>45971</v>
      </c>
      <c r="E421">
        <v>2025</v>
      </c>
      <c r="F421">
        <v>2</v>
      </c>
      <c r="G421" s="60">
        <v>1</v>
      </c>
      <c r="I421" s="26">
        <v>5000014237</v>
      </c>
      <c r="J421" t="s">
        <v>37</v>
      </c>
      <c r="K421" t="s">
        <v>38</v>
      </c>
      <c r="M421">
        <v>79710621</v>
      </c>
      <c r="N421">
        <v>101</v>
      </c>
      <c r="O421" t="s">
        <v>171</v>
      </c>
      <c r="Q421" t="s">
        <v>296</v>
      </c>
      <c r="R421">
        <v>180000</v>
      </c>
      <c r="T421">
        <v>1</v>
      </c>
      <c r="U421">
        <v>2</v>
      </c>
      <c r="Z421" t="s">
        <v>787</v>
      </c>
    </row>
    <row r="422" spans="1:31" x14ac:dyDescent="0.25">
      <c r="A422" t="str">
        <f t="shared" si="6"/>
        <v>500001630879710621</v>
      </c>
      <c r="B422">
        <v>5025019990</v>
      </c>
      <c r="C422" s="25" t="s">
        <v>170</v>
      </c>
      <c r="D422" s="25">
        <v>45971</v>
      </c>
      <c r="E422">
        <v>2025</v>
      </c>
      <c r="F422">
        <v>3</v>
      </c>
      <c r="G422" s="60">
        <v>1</v>
      </c>
      <c r="I422" s="26">
        <v>5000016308</v>
      </c>
      <c r="J422" t="s">
        <v>37</v>
      </c>
      <c r="K422" t="s">
        <v>38</v>
      </c>
      <c r="M422">
        <v>79710621</v>
      </c>
      <c r="N422">
        <v>101</v>
      </c>
      <c r="O422" t="s">
        <v>171</v>
      </c>
      <c r="Q422" t="s">
        <v>35</v>
      </c>
      <c r="R422">
        <v>2980000</v>
      </c>
      <c r="T422">
        <v>1</v>
      </c>
      <c r="U422">
        <v>3</v>
      </c>
      <c r="Z422" t="s">
        <v>793</v>
      </c>
    </row>
    <row r="423" spans="1:31" x14ac:dyDescent="0.25">
      <c r="A423" t="str">
        <f t="shared" si="6"/>
        <v>500001667179710832</v>
      </c>
      <c r="B423">
        <v>5025020012</v>
      </c>
      <c r="C423" s="25" t="s">
        <v>170</v>
      </c>
      <c r="D423" s="25">
        <v>45972</v>
      </c>
      <c r="E423">
        <v>2025</v>
      </c>
      <c r="F423">
        <v>1</v>
      </c>
      <c r="G423" s="60">
        <v>1</v>
      </c>
      <c r="I423" s="26">
        <v>5000016671</v>
      </c>
      <c r="J423" t="s">
        <v>37</v>
      </c>
      <c r="K423" t="s">
        <v>38</v>
      </c>
      <c r="M423">
        <v>79710832</v>
      </c>
      <c r="N423">
        <v>101</v>
      </c>
      <c r="O423" t="s">
        <v>171</v>
      </c>
      <c r="Q423" t="s">
        <v>93</v>
      </c>
      <c r="R423">
        <v>90000</v>
      </c>
      <c r="T423">
        <v>1</v>
      </c>
      <c r="U423">
        <v>1</v>
      </c>
      <c r="Z423" t="s">
        <v>801</v>
      </c>
    </row>
    <row r="424" spans="1:31" x14ac:dyDescent="0.25">
      <c r="A424" t="str">
        <f t="shared" si="6"/>
        <v>500001490479710832</v>
      </c>
      <c r="B424">
        <v>5025020012</v>
      </c>
      <c r="C424" s="25" t="s">
        <v>170</v>
      </c>
      <c r="D424" s="25">
        <v>45972</v>
      </c>
      <c r="E424">
        <v>2025</v>
      </c>
      <c r="F424">
        <v>2</v>
      </c>
      <c r="G424" s="60">
        <v>1</v>
      </c>
      <c r="I424" s="26">
        <v>5000014904</v>
      </c>
      <c r="J424" t="s">
        <v>37</v>
      </c>
      <c r="K424" t="s">
        <v>38</v>
      </c>
      <c r="M424">
        <v>79710832</v>
      </c>
      <c r="N424">
        <v>101</v>
      </c>
      <c r="O424" t="s">
        <v>171</v>
      </c>
      <c r="Q424" t="s">
        <v>35</v>
      </c>
      <c r="R424">
        <v>1600000</v>
      </c>
      <c r="T424">
        <v>1</v>
      </c>
      <c r="U424">
        <v>2</v>
      </c>
      <c r="Z424" t="s">
        <v>808</v>
      </c>
    </row>
    <row r="425" spans="1:31" x14ac:dyDescent="0.25">
      <c r="A425" t="str">
        <f t="shared" si="6"/>
        <v>500001654179710832</v>
      </c>
      <c r="B425">
        <v>5025020012</v>
      </c>
      <c r="C425" s="25" t="s">
        <v>170</v>
      </c>
      <c r="D425" s="25">
        <v>45972</v>
      </c>
      <c r="E425">
        <v>2025</v>
      </c>
      <c r="F425">
        <v>3</v>
      </c>
      <c r="G425" s="60">
        <v>1</v>
      </c>
      <c r="I425" s="26">
        <v>5000016541</v>
      </c>
      <c r="J425" t="s">
        <v>37</v>
      </c>
      <c r="K425" t="s">
        <v>38</v>
      </c>
      <c r="M425">
        <v>79710832</v>
      </c>
      <c r="N425">
        <v>101</v>
      </c>
      <c r="O425" t="s">
        <v>171</v>
      </c>
      <c r="Q425" t="s">
        <v>93</v>
      </c>
      <c r="R425">
        <v>60000</v>
      </c>
      <c r="T425">
        <v>1</v>
      </c>
      <c r="U425">
        <v>3</v>
      </c>
      <c r="Z425" t="s">
        <v>372</v>
      </c>
    </row>
    <row r="426" spans="1:31" x14ac:dyDescent="0.25">
      <c r="A426" t="str">
        <f t="shared" si="6"/>
        <v>500001800279710981</v>
      </c>
      <c r="B426">
        <v>5025020059</v>
      </c>
      <c r="C426" s="25" t="s">
        <v>170</v>
      </c>
      <c r="D426" s="25">
        <v>45972</v>
      </c>
      <c r="E426">
        <v>2025</v>
      </c>
      <c r="F426">
        <v>1</v>
      </c>
      <c r="G426" s="60">
        <v>5</v>
      </c>
      <c r="I426" s="26">
        <v>5000018002</v>
      </c>
      <c r="J426" t="s">
        <v>37</v>
      </c>
      <c r="K426" t="s">
        <v>38</v>
      </c>
      <c r="M426">
        <v>79710981</v>
      </c>
      <c r="N426">
        <v>101</v>
      </c>
      <c r="O426" t="s">
        <v>171</v>
      </c>
      <c r="Q426" t="s">
        <v>93</v>
      </c>
      <c r="R426">
        <v>19369370</v>
      </c>
      <c r="T426">
        <v>5</v>
      </c>
      <c r="U426">
        <v>1</v>
      </c>
      <c r="Z426" t="s">
        <v>818</v>
      </c>
      <c r="AB426">
        <v>0</v>
      </c>
      <c r="AC426">
        <v>0</v>
      </c>
      <c r="AE426">
        <v>0</v>
      </c>
    </row>
    <row r="427" spans="1:31" x14ac:dyDescent="0.25">
      <c r="A427" t="str">
        <f t="shared" si="6"/>
        <v>500001797979710377</v>
      </c>
      <c r="B427">
        <v>5025020115</v>
      </c>
      <c r="C427" s="25" t="s">
        <v>170</v>
      </c>
      <c r="D427" s="25">
        <v>45973</v>
      </c>
      <c r="E427">
        <v>2025</v>
      </c>
      <c r="F427">
        <v>1</v>
      </c>
      <c r="G427" s="60">
        <v>2</v>
      </c>
      <c r="I427" s="26">
        <v>5000017979</v>
      </c>
      <c r="J427" t="s">
        <v>37</v>
      </c>
      <c r="K427" t="s">
        <v>38</v>
      </c>
      <c r="M427">
        <v>79710377</v>
      </c>
      <c r="N427">
        <v>101</v>
      </c>
      <c r="O427" t="s">
        <v>171</v>
      </c>
      <c r="Q427" t="s">
        <v>93</v>
      </c>
      <c r="R427">
        <v>370000</v>
      </c>
      <c r="T427">
        <v>2</v>
      </c>
      <c r="U427">
        <v>1</v>
      </c>
      <c r="Z427" t="s">
        <v>782</v>
      </c>
    </row>
    <row r="428" spans="1:31" x14ac:dyDescent="0.25">
      <c r="A428" t="str">
        <f t="shared" si="6"/>
        <v>500001632379710377</v>
      </c>
      <c r="B428">
        <v>5025020115</v>
      </c>
      <c r="C428" s="25" t="s">
        <v>170</v>
      </c>
      <c r="D428" s="25">
        <v>45973</v>
      </c>
      <c r="E428">
        <v>2025</v>
      </c>
      <c r="F428">
        <v>2</v>
      </c>
      <c r="G428" s="60">
        <v>10</v>
      </c>
      <c r="I428" s="26">
        <v>5000016323</v>
      </c>
      <c r="J428" t="s">
        <v>37</v>
      </c>
      <c r="K428" t="s">
        <v>38</v>
      </c>
      <c r="M428">
        <v>79710377</v>
      </c>
      <c r="N428">
        <v>101</v>
      </c>
      <c r="O428" t="s">
        <v>171</v>
      </c>
      <c r="Q428" t="s">
        <v>93</v>
      </c>
      <c r="R428">
        <v>120000</v>
      </c>
      <c r="T428">
        <v>10</v>
      </c>
      <c r="U428">
        <v>2</v>
      </c>
      <c r="Z428" t="s">
        <v>776</v>
      </c>
    </row>
    <row r="429" spans="1:31" x14ac:dyDescent="0.25">
      <c r="A429" t="str">
        <f t="shared" si="6"/>
        <v>500001429179710833</v>
      </c>
      <c r="B429">
        <v>5025020194</v>
      </c>
      <c r="C429" s="25" t="s">
        <v>170</v>
      </c>
      <c r="D429" s="25">
        <v>45974</v>
      </c>
      <c r="E429">
        <v>2025</v>
      </c>
      <c r="F429">
        <v>1</v>
      </c>
      <c r="G429" s="60">
        <v>1</v>
      </c>
      <c r="I429" s="26">
        <v>5000014291</v>
      </c>
      <c r="J429" t="s">
        <v>37</v>
      </c>
      <c r="K429" t="s">
        <v>38</v>
      </c>
      <c r="M429">
        <v>79710833</v>
      </c>
      <c r="N429">
        <v>101</v>
      </c>
      <c r="O429" t="s">
        <v>171</v>
      </c>
      <c r="Q429" t="s">
        <v>296</v>
      </c>
      <c r="R429">
        <v>340000</v>
      </c>
      <c r="T429">
        <v>1</v>
      </c>
      <c r="U429">
        <v>1</v>
      </c>
      <c r="Z429" t="s">
        <v>800</v>
      </c>
    </row>
    <row r="430" spans="1:31" x14ac:dyDescent="0.25">
      <c r="A430" t="str">
        <f t="shared" si="6"/>
        <v>500001556079710833</v>
      </c>
      <c r="B430">
        <v>5025020194</v>
      </c>
      <c r="C430" s="25" t="s">
        <v>170</v>
      </c>
      <c r="D430" s="25">
        <v>45974</v>
      </c>
      <c r="E430">
        <v>2025</v>
      </c>
      <c r="F430">
        <v>2</v>
      </c>
      <c r="G430" s="60">
        <v>1</v>
      </c>
      <c r="I430" s="26">
        <v>5000015560</v>
      </c>
      <c r="J430" t="s">
        <v>37</v>
      </c>
      <c r="K430" t="s">
        <v>38</v>
      </c>
      <c r="M430">
        <v>79710833</v>
      </c>
      <c r="N430">
        <v>101</v>
      </c>
      <c r="O430" t="s">
        <v>171</v>
      </c>
      <c r="Q430" t="s">
        <v>93</v>
      </c>
      <c r="R430">
        <v>160000</v>
      </c>
      <c r="T430">
        <v>1</v>
      </c>
      <c r="U430">
        <v>2</v>
      </c>
      <c r="Z430" t="s">
        <v>807</v>
      </c>
    </row>
    <row r="431" spans="1:31" x14ac:dyDescent="0.25">
      <c r="A431" t="str">
        <f t="shared" si="6"/>
        <v>500001693079710978</v>
      </c>
      <c r="B431">
        <v>5025020198</v>
      </c>
      <c r="C431" s="25" t="s">
        <v>170</v>
      </c>
      <c r="D431" s="25">
        <v>45974</v>
      </c>
      <c r="E431">
        <v>2025</v>
      </c>
      <c r="F431">
        <v>1</v>
      </c>
      <c r="G431" s="60">
        <v>1</v>
      </c>
      <c r="I431" s="26">
        <v>5000016930</v>
      </c>
      <c r="J431" t="s">
        <v>37</v>
      </c>
      <c r="K431" t="s">
        <v>38</v>
      </c>
      <c r="M431">
        <v>79710978</v>
      </c>
      <c r="N431">
        <v>101</v>
      </c>
      <c r="O431" t="s">
        <v>171</v>
      </c>
      <c r="Q431" t="s">
        <v>93</v>
      </c>
      <c r="R431">
        <v>169083.34</v>
      </c>
      <c r="T431">
        <v>1</v>
      </c>
      <c r="U431">
        <v>1</v>
      </c>
      <c r="Z431" t="s">
        <v>772</v>
      </c>
    </row>
    <row r="432" spans="1:31" x14ac:dyDescent="0.25">
      <c r="A432" t="str">
        <f t="shared" si="6"/>
        <v>500001693079710978</v>
      </c>
      <c r="B432">
        <v>5025020198</v>
      </c>
      <c r="C432" s="25" t="s">
        <v>170</v>
      </c>
      <c r="D432" s="25">
        <v>45974</v>
      </c>
      <c r="E432">
        <v>2025</v>
      </c>
      <c r="F432">
        <v>2</v>
      </c>
      <c r="G432" s="60">
        <v>1</v>
      </c>
      <c r="I432" s="26">
        <v>5000016930</v>
      </c>
      <c r="J432" t="s">
        <v>37</v>
      </c>
      <c r="K432" t="s">
        <v>38</v>
      </c>
      <c r="M432">
        <v>79710978</v>
      </c>
      <c r="N432">
        <v>101</v>
      </c>
      <c r="O432" t="s">
        <v>171</v>
      </c>
      <c r="Q432" t="s">
        <v>93</v>
      </c>
      <c r="R432">
        <v>169083.34</v>
      </c>
      <c r="T432">
        <v>1</v>
      </c>
      <c r="U432">
        <v>2</v>
      </c>
      <c r="Z432" t="s">
        <v>790</v>
      </c>
    </row>
    <row r="433" spans="1:31" x14ac:dyDescent="0.25">
      <c r="A433" t="str">
        <f t="shared" si="6"/>
        <v>500001693079710978</v>
      </c>
      <c r="B433">
        <v>5025020198</v>
      </c>
      <c r="C433" s="25" t="s">
        <v>170</v>
      </c>
      <c r="D433" s="25">
        <v>45974</v>
      </c>
      <c r="E433">
        <v>2025</v>
      </c>
      <c r="F433">
        <v>3</v>
      </c>
      <c r="G433" s="60">
        <v>1</v>
      </c>
      <c r="I433" s="26">
        <v>5000016930</v>
      </c>
      <c r="J433" t="s">
        <v>37</v>
      </c>
      <c r="K433" t="s">
        <v>38</v>
      </c>
      <c r="M433">
        <v>79710978</v>
      </c>
      <c r="N433">
        <v>101</v>
      </c>
      <c r="O433" t="s">
        <v>171</v>
      </c>
      <c r="Q433" t="s">
        <v>93</v>
      </c>
      <c r="R433">
        <v>169083.34</v>
      </c>
      <c r="T433">
        <v>1</v>
      </c>
      <c r="U433">
        <v>3</v>
      </c>
      <c r="Z433" t="s">
        <v>809</v>
      </c>
    </row>
    <row r="434" spans="1:31" x14ac:dyDescent="0.25">
      <c r="A434" t="str">
        <f t="shared" si="6"/>
        <v>500001500079710850</v>
      </c>
      <c r="B434">
        <v>5025020208</v>
      </c>
      <c r="C434" s="25" t="s">
        <v>170</v>
      </c>
      <c r="D434" s="25">
        <v>45974</v>
      </c>
      <c r="E434">
        <v>2025</v>
      </c>
      <c r="F434">
        <v>1</v>
      </c>
      <c r="G434" s="60">
        <v>2</v>
      </c>
      <c r="I434" s="26">
        <v>5000015000</v>
      </c>
      <c r="J434" t="s">
        <v>37</v>
      </c>
      <c r="K434" t="s">
        <v>38</v>
      </c>
      <c r="M434">
        <v>79710850</v>
      </c>
      <c r="N434">
        <v>101</v>
      </c>
      <c r="O434" t="s">
        <v>171</v>
      </c>
      <c r="Q434" t="s">
        <v>35</v>
      </c>
      <c r="R434">
        <v>750000</v>
      </c>
      <c r="T434">
        <v>2</v>
      </c>
      <c r="U434">
        <v>1</v>
      </c>
      <c r="Z434" t="s">
        <v>796</v>
      </c>
    </row>
    <row r="435" spans="1:31" x14ac:dyDescent="0.25">
      <c r="A435" t="str">
        <f t="shared" si="6"/>
        <v>500001672879711073</v>
      </c>
      <c r="B435">
        <v>5025020504</v>
      </c>
      <c r="C435" s="25" t="s">
        <v>170</v>
      </c>
      <c r="D435" s="25">
        <v>45979</v>
      </c>
      <c r="E435">
        <v>2025</v>
      </c>
      <c r="F435">
        <v>1</v>
      </c>
      <c r="G435" s="60">
        <v>2</v>
      </c>
      <c r="I435" s="26">
        <v>5000016728</v>
      </c>
      <c r="J435" t="s">
        <v>37</v>
      </c>
      <c r="K435" t="s">
        <v>38</v>
      </c>
      <c r="M435">
        <v>79711073</v>
      </c>
      <c r="N435">
        <v>101</v>
      </c>
      <c r="O435" t="s">
        <v>171</v>
      </c>
      <c r="Q435" t="s">
        <v>35</v>
      </c>
      <c r="R435">
        <v>693694</v>
      </c>
      <c r="T435">
        <v>2</v>
      </c>
      <c r="U435">
        <v>1</v>
      </c>
      <c r="Z435" t="s">
        <v>821</v>
      </c>
    </row>
    <row r="436" spans="1:31" x14ac:dyDescent="0.25">
      <c r="A436" t="str">
        <f t="shared" si="6"/>
        <v>500001677979711073</v>
      </c>
      <c r="B436">
        <v>5025020504</v>
      </c>
      <c r="C436" s="25" t="s">
        <v>170</v>
      </c>
      <c r="D436" s="25">
        <v>45979</v>
      </c>
      <c r="E436">
        <v>2025</v>
      </c>
      <c r="F436">
        <v>2</v>
      </c>
      <c r="G436" s="60">
        <v>1</v>
      </c>
      <c r="I436" s="26">
        <v>5000016779</v>
      </c>
      <c r="J436" t="s">
        <v>37</v>
      </c>
      <c r="K436" t="s">
        <v>38</v>
      </c>
      <c r="M436">
        <v>79711073</v>
      </c>
      <c r="N436">
        <v>101</v>
      </c>
      <c r="O436" t="s">
        <v>171</v>
      </c>
      <c r="Q436" t="s">
        <v>35</v>
      </c>
      <c r="R436">
        <v>743243.3</v>
      </c>
      <c r="T436">
        <v>1</v>
      </c>
      <c r="U436">
        <v>2</v>
      </c>
      <c r="Z436" t="s">
        <v>821</v>
      </c>
    </row>
    <row r="437" spans="1:31" x14ac:dyDescent="0.25">
      <c r="A437" t="str">
        <f t="shared" si="6"/>
        <v>500001586179711068</v>
      </c>
      <c r="B437">
        <v>5025020514</v>
      </c>
      <c r="C437" s="25" t="s">
        <v>170</v>
      </c>
      <c r="D437" s="25">
        <v>45979</v>
      </c>
      <c r="E437">
        <v>2025</v>
      </c>
      <c r="F437">
        <v>1</v>
      </c>
      <c r="G437" s="60">
        <v>1</v>
      </c>
      <c r="I437" s="26">
        <v>5000015861</v>
      </c>
      <c r="J437" t="s">
        <v>37</v>
      </c>
      <c r="K437" s="25" t="s">
        <v>38</v>
      </c>
      <c r="M437">
        <v>79711068</v>
      </c>
      <c r="N437">
        <v>101</v>
      </c>
      <c r="O437" t="s">
        <v>171</v>
      </c>
      <c r="Q437" t="s">
        <v>35</v>
      </c>
      <c r="R437">
        <v>1000000</v>
      </c>
      <c r="T437">
        <v>1</v>
      </c>
      <c r="U437">
        <v>1</v>
      </c>
      <c r="Z437" t="s">
        <v>819</v>
      </c>
    </row>
    <row r="438" spans="1:31" x14ac:dyDescent="0.25">
      <c r="A438" t="str">
        <f t="shared" si="6"/>
        <v>500001500079711068</v>
      </c>
      <c r="B438">
        <v>5025020514</v>
      </c>
      <c r="C438" s="25" t="s">
        <v>170</v>
      </c>
      <c r="D438" s="25">
        <v>45979</v>
      </c>
      <c r="E438">
        <v>2025</v>
      </c>
      <c r="F438">
        <v>2</v>
      </c>
      <c r="G438" s="60">
        <v>1</v>
      </c>
      <c r="I438" s="26">
        <v>5000015000</v>
      </c>
      <c r="J438" t="s">
        <v>37</v>
      </c>
      <c r="K438" t="s">
        <v>38</v>
      </c>
      <c r="M438">
        <v>79711068</v>
      </c>
      <c r="N438">
        <v>101</v>
      </c>
      <c r="O438" t="s">
        <v>171</v>
      </c>
      <c r="Q438" t="s">
        <v>35</v>
      </c>
      <c r="R438">
        <v>375000</v>
      </c>
      <c r="T438">
        <v>1</v>
      </c>
      <c r="U438">
        <v>2</v>
      </c>
      <c r="Z438" t="s">
        <v>820</v>
      </c>
    </row>
    <row r="439" spans="1:31" x14ac:dyDescent="0.25">
      <c r="A439" t="str">
        <f t="shared" si="6"/>
        <v>500000505979711069</v>
      </c>
      <c r="B439">
        <v>5025020542</v>
      </c>
      <c r="C439" s="25" t="s">
        <v>170</v>
      </c>
      <c r="D439" s="25">
        <v>45980</v>
      </c>
      <c r="E439">
        <v>2025</v>
      </c>
      <c r="F439">
        <v>1</v>
      </c>
      <c r="G439" s="60">
        <v>10</v>
      </c>
      <c r="I439" s="26">
        <v>5000005059</v>
      </c>
      <c r="J439" t="s">
        <v>37</v>
      </c>
      <c r="K439" t="s">
        <v>38</v>
      </c>
      <c r="M439">
        <v>79711069</v>
      </c>
      <c r="N439">
        <v>101</v>
      </c>
      <c r="O439" t="s">
        <v>171</v>
      </c>
      <c r="Q439" t="s">
        <v>93</v>
      </c>
      <c r="R439">
        <v>950000</v>
      </c>
      <c r="T439">
        <v>10</v>
      </c>
      <c r="U439">
        <v>1</v>
      </c>
      <c r="Z439" t="s">
        <v>813</v>
      </c>
    </row>
    <row r="440" spans="1:31" x14ac:dyDescent="0.25">
      <c r="A440" t="str">
        <f t="shared" si="6"/>
        <v>500001602879711399</v>
      </c>
      <c r="B440">
        <v>5025020680</v>
      </c>
      <c r="C440" s="25" t="s">
        <v>170</v>
      </c>
      <c r="D440" s="25">
        <v>45981</v>
      </c>
      <c r="E440">
        <v>2025</v>
      </c>
      <c r="F440">
        <v>1</v>
      </c>
      <c r="G440" s="60">
        <v>1</v>
      </c>
      <c r="I440" s="26">
        <v>5000016028</v>
      </c>
      <c r="J440" t="s">
        <v>37</v>
      </c>
      <c r="K440" t="s">
        <v>38</v>
      </c>
      <c r="M440">
        <v>79711399</v>
      </c>
      <c r="N440">
        <v>101</v>
      </c>
      <c r="O440" t="s">
        <v>171</v>
      </c>
      <c r="Q440" t="s">
        <v>35</v>
      </c>
      <c r="R440">
        <v>1756756.76</v>
      </c>
      <c r="T440">
        <v>1</v>
      </c>
      <c r="U440">
        <v>1</v>
      </c>
      <c r="Z440" t="s">
        <v>831</v>
      </c>
      <c r="AB440">
        <v>0</v>
      </c>
      <c r="AC440">
        <v>0</v>
      </c>
      <c r="AE440">
        <v>0</v>
      </c>
    </row>
    <row r="441" spans="1:31" x14ac:dyDescent="0.25">
      <c r="A441" t="str">
        <f t="shared" si="6"/>
        <v>500001762479711508</v>
      </c>
      <c r="B441">
        <v>5025020767</v>
      </c>
      <c r="C441" s="25" t="s">
        <v>170</v>
      </c>
      <c r="D441" s="25">
        <v>45982</v>
      </c>
      <c r="E441">
        <v>2025</v>
      </c>
      <c r="F441">
        <v>1</v>
      </c>
      <c r="G441" s="60">
        <v>1</v>
      </c>
      <c r="I441" s="26">
        <v>5000017624</v>
      </c>
      <c r="J441" t="s">
        <v>37</v>
      </c>
      <c r="K441" t="s">
        <v>38</v>
      </c>
      <c r="M441">
        <v>79711508</v>
      </c>
      <c r="N441">
        <v>101</v>
      </c>
      <c r="O441" t="s">
        <v>171</v>
      </c>
      <c r="Q441" t="s">
        <v>35</v>
      </c>
      <c r="R441">
        <v>2162162.2000000002</v>
      </c>
      <c r="T441">
        <v>1</v>
      </c>
      <c r="U441">
        <v>1</v>
      </c>
      <c r="Z441" t="s">
        <v>837</v>
      </c>
      <c r="AB441">
        <v>0</v>
      </c>
      <c r="AC441">
        <v>0</v>
      </c>
      <c r="AE441">
        <v>0</v>
      </c>
    </row>
    <row r="442" spans="1:31" x14ac:dyDescent="0.25">
      <c r="A442" t="str">
        <f t="shared" si="6"/>
        <v>500000280379711408</v>
      </c>
      <c r="B442">
        <v>5025021027</v>
      </c>
      <c r="C442" s="25" t="s">
        <v>170</v>
      </c>
      <c r="D442" s="25">
        <v>45986</v>
      </c>
      <c r="E442">
        <v>2025</v>
      </c>
      <c r="F442">
        <v>1</v>
      </c>
      <c r="G442" s="60">
        <v>1</v>
      </c>
      <c r="I442" s="26">
        <v>5000002803</v>
      </c>
      <c r="J442" t="s">
        <v>37</v>
      </c>
      <c r="K442" t="s">
        <v>38</v>
      </c>
      <c r="M442">
        <v>79711408</v>
      </c>
      <c r="N442">
        <v>101</v>
      </c>
      <c r="O442" t="s">
        <v>171</v>
      </c>
      <c r="Q442" t="s">
        <v>300</v>
      </c>
      <c r="R442">
        <v>75000</v>
      </c>
      <c r="T442">
        <v>1</v>
      </c>
      <c r="U442">
        <v>1</v>
      </c>
      <c r="Z442" t="s">
        <v>825</v>
      </c>
    </row>
    <row r="443" spans="1:31" x14ac:dyDescent="0.25">
      <c r="A443" t="str">
        <f t="shared" si="6"/>
        <v>500001642879711408</v>
      </c>
      <c r="B443">
        <v>5025021027</v>
      </c>
      <c r="C443" s="25" t="s">
        <v>170</v>
      </c>
      <c r="D443" s="25">
        <v>45986</v>
      </c>
      <c r="E443">
        <v>2025</v>
      </c>
      <c r="F443">
        <v>2</v>
      </c>
      <c r="G443" s="60">
        <v>1</v>
      </c>
      <c r="I443" s="26">
        <v>5000016428</v>
      </c>
      <c r="J443" t="s">
        <v>37</v>
      </c>
      <c r="K443" t="s">
        <v>38</v>
      </c>
      <c r="M443">
        <v>79711408</v>
      </c>
      <c r="N443">
        <v>101</v>
      </c>
      <c r="O443" t="s">
        <v>171</v>
      </c>
      <c r="Q443" t="s">
        <v>35</v>
      </c>
      <c r="R443">
        <v>1550000</v>
      </c>
      <c r="T443">
        <v>1</v>
      </c>
      <c r="U443">
        <v>2</v>
      </c>
      <c r="Z443" t="s">
        <v>826</v>
      </c>
    </row>
    <row r="444" spans="1:31" x14ac:dyDescent="0.25">
      <c r="A444" t="str">
        <f t="shared" si="6"/>
        <v>500000424879711526</v>
      </c>
      <c r="B444">
        <v>5025021061</v>
      </c>
      <c r="C444" s="25" t="s">
        <v>170</v>
      </c>
      <c r="D444" s="25">
        <v>45987</v>
      </c>
      <c r="E444">
        <v>2025</v>
      </c>
      <c r="F444">
        <v>1</v>
      </c>
      <c r="G444" s="60">
        <v>12</v>
      </c>
      <c r="I444" s="26">
        <v>5000004248</v>
      </c>
      <c r="J444" t="s">
        <v>37</v>
      </c>
      <c r="K444" t="s">
        <v>38</v>
      </c>
      <c r="M444">
        <v>79711526</v>
      </c>
      <c r="N444">
        <v>101</v>
      </c>
      <c r="O444" t="s">
        <v>171</v>
      </c>
      <c r="Q444" t="s">
        <v>93</v>
      </c>
      <c r="R444">
        <v>780000</v>
      </c>
      <c r="T444">
        <v>12</v>
      </c>
      <c r="U444">
        <v>1</v>
      </c>
      <c r="Z444" t="s">
        <v>829</v>
      </c>
    </row>
    <row r="445" spans="1:31" x14ac:dyDescent="0.25">
      <c r="A445" t="str">
        <f t="shared" si="6"/>
        <v>500001144879711526</v>
      </c>
      <c r="B445">
        <v>5025021061</v>
      </c>
      <c r="C445" s="25" t="s">
        <v>170</v>
      </c>
      <c r="D445" s="25">
        <v>45987</v>
      </c>
      <c r="E445">
        <v>2025</v>
      </c>
      <c r="F445">
        <v>2</v>
      </c>
      <c r="G445" s="60">
        <v>1</v>
      </c>
      <c r="I445" s="26">
        <v>5000011448</v>
      </c>
      <c r="J445" t="s">
        <v>37</v>
      </c>
      <c r="K445" t="s">
        <v>38</v>
      </c>
      <c r="M445">
        <v>79711526</v>
      </c>
      <c r="N445">
        <v>101</v>
      </c>
      <c r="O445" t="s">
        <v>171</v>
      </c>
      <c r="Q445" t="s">
        <v>35</v>
      </c>
      <c r="R445">
        <v>50000</v>
      </c>
      <c r="T445">
        <v>1</v>
      </c>
      <c r="U445">
        <v>2</v>
      </c>
      <c r="Z445" t="s">
        <v>830</v>
      </c>
    </row>
    <row r="446" spans="1:31" x14ac:dyDescent="0.25">
      <c r="A446" t="str">
        <f t="shared" si="6"/>
        <v>500000505979711526</v>
      </c>
      <c r="B446">
        <v>5025021061</v>
      </c>
      <c r="C446" s="25" t="s">
        <v>170</v>
      </c>
      <c r="D446" s="25">
        <v>45987</v>
      </c>
      <c r="E446">
        <v>2025</v>
      </c>
      <c r="F446">
        <v>3</v>
      </c>
      <c r="G446" s="60">
        <v>2</v>
      </c>
      <c r="I446" s="26">
        <v>5000005059</v>
      </c>
      <c r="J446" t="s">
        <v>37</v>
      </c>
      <c r="K446" t="s">
        <v>38</v>
      </c>
      <c r="M446">
        <v>79711526</v>
      </c>
      <c r="N446">
        <v>101</v>
      </c>
      <c r="O446" t="s">
        <v>171</v>
      </c>
      <c r="Q446" t="s">
        <v>93</v>
      </c>
      <c r="R446">
        <v>190000</v>
      </c>
      <c r="T446">
        <v>2</v>
      </c>
      <c r="U446">
        <v>3</v>
      </c>
      <c r="Z446" t="s">
        <v>832</v>
      </c>
    </row>
    <row r="447" spans="1:31" x14ac:dyDescent="0.25">
      <c r="A447" t="str">
        <f t="shared" ref="A447:A510" si="7">I447&amp;M447</f>
        <v>500000424879711526</v>
      </c>
      <c r="B447">
        <v>5025021061</v>
      </c>
      <c r="C447" s="25" t="s">
        <v>170</v>
      </c>
      <c r="D447" s="25">
        <v>45987</v>
      </c>
      <c r="E447">
        <v>2025</v>
      </c>
      <c r="F447">
        <v>4</v>
      </c>
      <c r="G447" s="60">
        <v>2</v>
      </c>
      <c r="I447" s="26">
        <v>5000004248</v>
      </c>
      <c r="J447" t="s">
        <v>37</v>
      </c>
      <c r="K447" t="s">
        <v>38</v>
      </c>
      <c r="M447">
        <v>79711526</v>
      </c>
      <c r="N447">
        <v>101</v>
      </c>
      <c r="O447" t="s">
        <v>171</v>
      </c>
      <c r="Q447" t="s">
        <v>93</v>
      </c>
      <c r="R447">
        <v>130000</v>
      </c>
      <c r="T447">
        <v>2</v>
      </c>
      <c r="U447">
        <v>4</v>
      </c>
      <c r="Z447" t="s">
        <v>833</v>
      </c>
    </row>
    <row r="448" spans="1:31" x14ac:dyDescent="0.25">
      <c r="A448" t="str">
        <f t="shared" si="7"/>
        <v>500000534079711526</v>
      </c>
      <c r="B448">
        <v>5025021061</v>
      </c>
      <c r="C448" s="25" t="s">
        <v>170</v>
      </c>
      <c r="D448" s="25">
        <v>45987</v>
      </c>
      <c r="E448">
        <v>2025</v>
      </c>
      <c r="F448">
        <v>5</v>
      </c>
      <c r="G448" s="60">
        <v>1</v>
      </c>
      <c r="I448" s="26">
        <v>5000005340</v>
      </c>
      <c r="J448" t="s">
        <v>37</v>
      </c>
      <c r="K448" s="25" t="s">
        <v>38</v>
      </c>
      <c r="M448">
        <v>79711526</v>
      </c>
      <c r="N448">
        <v>101</v>
      </c>
      <c r="O448" t="s">
        <v>171</v>
      </c>
      <c r="Q448" t="s">
        <v>35</v>
      </c>
      <c r="R448">
        <v>155000</v>
      </c>
      <c r="T448">
        <v>1</v>
      </c>
      <c r="U448">
        <v>5</v>
      </c>
      <c r="Z448" t="s">
        <v>834</v>
      </c>
    </row>
    <row r="449" spans="1:26" x14ac:dyDescent="0.25">
      <c r="A449" t="str">
        <f t="shared" si="7"/>
        <v>500001800179710865</v>
      </c>
      <c r="B449">
        <v>5025021241</v>
      </c>
      <c r="C449" s="25" t="s">
        <v>170</v>
      </c>
      <c r="D449" s="25">
        <v>45989</v>
      </c>
      <c r="E449">
        <v>2025</v>
      </c>
      <c r="F449">
        <v>1</v>
      </c>
      <c r="G449" s="60">
        <v>1</v>
      </c>
      <c r="I449" s="26">
        <v>5000018001</v>
      </c>
      <c r="J449" t="s">
        <v>37</v>
      </c>
      <c r="K449" s="25" t="s">
        <v>38</v>
      </c>
      <c r="M449">
        <v>79710865</v>
      </c>
      <c r="N449">
        <v>101</v>
      </c>
      <c r="O449" t="s">
        <v>171</v>
      </c>
      <c r="Q449" t="s">
        <v>35</v>
      </c>
      <c r="R449">
        <v>8475000</v>
      </c>
      <c r="T449">
        <v>1</v>
      </c>
      <c r="U449">
        <v>1</v>
      </c>
      <c r="Z449" t="s">
        <v>805</v>
      </c>
    </row>
    <row r="450" spans="1:26" x14ac:dyDescent="0.25">
      <c r="A450" t="str">
        <f t="shared" si="7"/>
        <v>500001175479711831</v>
      </c>
      <c r="B450">
        <v>5025021613</v>
      </c>
      <c r="C450" s="25" t="s">
        <v>170</v>
      </c>
      <c r="D450" s="25">
        <v>45994</v>
      </c>
      <c r="E450">
        <v>2025</v>
      </c>
      <c r="F450">
        <v>1</v>
      </c>
      <c r="G450" s="60">
        <v>2</v>
      </c>
      <c r="I450" s="26">
        <v>5000011754</v>
      </c>
      <c r="J450" t="s">
        <v>37</v>
      </c>
      <c r="K450" t="s">
        <v>38</v>
      </c>
      <c r="M450">
        <v>79711831</v>
      </c>
      <c r="N450">
        <v>101</v>
      </c>
      <c r="O450" t="s">
        <v>171</v>
      </c>
      <c r="Q450" t="s">
        <v>93</v>
      </c>
      <c r="R450">
        <v>40000</v>
      </c>
      <c r="T450">
        <v>2</v>
      </c>
      <c r="U450">
        <v>1</v>
      </c>
      <c r="Z450" t="s">
        <v>839</v>
      </c>
    </row>
    <row r="451" spans="1:26" x14ac:dyDescent="0.25">
      <c r="A451" t="str">
        <f t="shared" si="7"/>
        <v>500001642879711831</v>
      </c>
      <c r="B451">
        <v>5025021613</v>
      </c>
      <c r="C451" s="25" t="s">
        <v>170</v>
      </c>
      <c r="D451" s="25">
        <v>45994</v>
      </c>
      <c r="E451">
        <v>2025</v>
      </c>
      <c r="F451">
        <v>2</v>
      </c>
      <c r="G451" s="60">
        <v>1</v>
      </c>
      <c r="I451" s="26">
        <v>5000016428</v>
      </c>
      <c r="J451" t="s">
        <v>37</v>
      </c>
      <c r="K451" t="s">
        <v>38</v>
      </c>
      <c r="M451">
        <v>79711831</v>
      </c>
      <c r="N451">
        <v>101</v>
      </c>
      <c r="O451" t="s">
        <v>171</v>
      </c>
      <c r="Q451" t="s">
        <v>35</v>
      </c>
      <c r="R451">
        <v>1550000</v>
      </c>
      <c r="T451">
        <v>1</v>
      </c>
      <c r="U451">
        <v>2</v>
      </c>
      <c r="Z451" t="s">
        <v>842</v>
      </c>
    </row>
    <row r="452" spans="1:26" x14ac:dyDescent="0.25">
      <c r="A452" t="str">
        <f t="shared" si="7"/>
        <v>500000505979711831</v>
      </c>
      <c r="B452">
        <v>5025021613</v>
      </c>
      <c r="C452" s="25" t="s">
        <v>170</v>
      </c>
      <c r="D452" s="25">
        <v>45994</v>
      </c>
      <c r="E452">
        <v>2025</v>
      </c>
      <c r="F452">
        <v>3</v>
      </c>
      <c r="G452" s="60">
        <v>1</v>
      </c>
      <c r="I452" s="26">
        <v>5000005059</v>
      </c>
      <c r="J452" t="s">
        <v>37</v>
      </c>
      <c r="K452" t="s">
        <v>38</v>
      </c>
      <c r="M452">
        <v>79711831</v>
      </c>
      <c r="N452">
        <v>101</v>
      </c>
      <c r="O452" t="s">
        <v>171</v>
      </c>
      <c r="Q452" t="s">
        <v>93</v>
      </c>
      <c r="R452">
        <v>95000</v>
      </c>
      <c r="T452">
        <v>1</v>
      </c>
      <c r="U452">
        <v>3</v>
      </c>
      <c r="Z452" t="s">
        <v>844</v>
      </c>
    </row>
    <row r="453" spans="1:26" x14ac:dyDescent="0.25">
      <c r="A453" t="str">
        <f t="shared" si="7"/>
        <v>500000424879711831</v>
      </c>
      <c r="B453">
        <v>5025021613</v>
      </c>
      <c r="C453" s="25" t="s">
        <v>170</v>
      </c>
      <c r="D453" s="25">
        <v>45994</v>
      </c>
      <c r="E453">
        <v>2025</v>
      </c>
      <c r="F453">
        <v>4</v>
      </c>
      <c r="G453" s="60">
        <v>1</v>
      </c>
      <c r="I453" s="26">
        <v>5000004248</v>
      </c>
      <c r="J453" t="s">
        <v>37</v>
      </c>
      <c r="K453" t="s">
        <v>38</v>
      </c>
      <c r="M453">
        <v>79711831</v>
      </c>
      <c r="N453">
        <v>101</v>
      </c>
      <c r="O453" t="s">
        <v>171</v>
      </c>
      <c r="Q453" t="s">
        <v>93</v>
      </c>
      <c r="R453">
        <v>65000</v>
      </c>
      <c r="T453">
        <v>1</v>
      </c>
      <c r="U453">
        <v>4</v>
      </c>
      <c r="Z453" t="s">
        <v>845</v>
      </c>
    </row>
    <row r="454" spans="1:26" x14ac:dyDescent="0.25">
      <c r="A454" t="str">
        <f t="shared" si="7"/>
        <v/>
      </c>
      <c r="C454" s="25"/>
      <c r="D454" s="25"/>
    </row>
    <row r="455" spans="1:26" x14ac:dyDescent="0.25">
      <c r="A455" t="str">
        <f t="shared" si="7"/>
        <v/>
      </c>
      <c r="C455" s="25"/>
      <c r="D455" s="25"/>
    </row>
    <row r="456" spans="1:26" x14ac:dyDescent="0.25">
      <c r="A456" t="str">
        <f t="shared" si="7"/>
        <v/>
      </c>
      <c r="C456" s="25"/>
      <c r="D456" s="25"/>
    </row>
    <row r="457" spans="1:26" x14ac:dyDescent="0.25">
      <c r="A457" t="str">
        <f t="shared" si="7"/>
        <v/>
      </c>
      <c r="C457" s="25"/>
      <c r="D457" s="25"/>
    </row>
    <row r="458" spans="1:26" x14ac:dyDescent="0.25">
      <c r="A458" t="str">
        <f t="shared" si="7"/>
        <v/>
      </c>
      <c r="C458" s="25"/>
      <c r="D458" s="25"/>
    </row>
    <row r="459" spans="1:26" x14ac:dyDescent="0.25">
      <c r="A459" t="str">
        <f t="shared" si="7"/>
        <v/>
      </c>
      <c r="C459" s="25"/>
      <c r="D459" s="25"/>
    </row>
    <row r="460" spans="1:26" x14ac:dyDescent="0.25">
      <c r="A460" t="str">
        <f t="shared" si="7"/>
        <v/>
      </c>
      <c r="C460" s="25"/>
      <c r="D460" s="25"/>
    </row>
    <row r="461" spans="1:26" x14ac:dyDescent="0.25">
      <c r="A461" t="str">
        <f t="shared" si="7"/>
        <v/>
      </c>
      <c r="C461" s="25"/>
      <c r="D461" s="25"/>
    </row>
    <row r="462" spans="1:26" x14ac:dyDescent="0.25">
      <c r="A462" t="str">
        <f t="shared" si="7"/>
        <v/>
      </c>
      <c r="C462" s="25"/>
      <c r="D462" s="25"/>
    </row>
    <row r="463" spans="1:26" x14ac:dyDescent="0.25">
      <c r="A463" t="str">
        <f t="shared" si="7"/>
        <v/>
      </c>
      <c r="C463" s="25"/>
      <c r="D463" s="25"/>
    </row>
    <row r="464" spans="1:26" x14ac:dyDescent="0.25">
      <c r="A464" t="str">
        <f t="shared" si="7"/>
        <v/>
      </c>
      <c r="C464" s="25"/>
      <c r="D464" s="25"/>
    </row>
    <row r="465" spans="1:4" x14ac:dyDescent="0.25">
      <c r="A465" t="str">
        <f t="shared" si="7"/>
        <v/>
      </c>
      <c r="C465" s="25"/>
      <c r="D465" s="25"/>
    </row>
    <row r="466" spans="1:4" x14ac:dyDescent="0.25">
      <c r="A466" t="str">
        <f t="shared" si="7"/>
        <v/>
      </c>
      <c r="C466" s="25"/>
      <c r="D466" s="25"/>
    </row>
    <row r="467" spans="1:4" x14ac:dyDescent="0.25">
      <c r="A467" t="str">
        <f t="shared" si="7"/>
        <v/>
      </c>
      <c r="C467" s="25"/>
      <c r="D467" s="25"/>
    </row>
    <row r="468" spans="1:4" x14ac:dyDescent="0.25">
      <c r="A468" t="str">
        <f t="shared" si="7"/>
        <v/>
      </c>
      <c r="C468" s="25"/>
      <c r="D468" s="25"/>
    </row>
    <row r="469" spans="1:4" x14ac:dyDescent="0.25">
      <c r="A469" t="str">
        <f t="shared" si="7"/>
        <v/>
      </c>
      <c r="C469" s="25"/>
      <c r="D469" s="25"/>
    </row>
    <row r="470" spans="1:4" x14ac:dyDescent="0.25">
      <c r="A470" t="str">
        <f t="shared" si="7"/>
        <v/>
      </c>
      <c r="C470" s="25"/>
      <c r="D470" s="25"/>
    </row>
    <row r="471" spans="1:4" x14ac:dyDescent="0.25">
      <c r="A471" t="str">
        <f t="shared" si="7"/>
        <v/>
      </c>
      <c r="C471" s="25"/>
      <c r="D471" s="25"/>
    </row>
    <row r="472" spans="1:4" x14ac:dyDescent="0.25">
      <c r="A472" t="str">
        <f t="shared" si="7"/>
        <v/>
      </c>
      <c r="C472" s="25"/>
      <c r="D472" s="25"/>
    </row>
    <row r="473" spans="1:4" x14ac:dyDescent="0.25">
      <c r="A473" t="str">
        <f t="shared" si="7"/>
        <v/>
      </c>
      <c r="C473" s="25"/>
      <c r="D473" s="25"/>
    </row>
    <row r="474" spans="1:4" x14ac:dyDescent="0.25">
      <c r="A474" t="str">
        <f t="shared" si="7"/>
        <v/>
      </c>
      <c r="C474" s="25"/>
      <c r="D474" s="25"/>
    </row>
    <row r="475" spans="1:4" x14ac:dyDescent="0.25">
      <c r="A475" t="str">
        <f t="shared" si="7"/>
        <v/>
      </c>
      <c r="C475" s="25"/>
      <c r="D475" s="25"/>
    </row>
    <row r="476" spans="1:4" x14ac:dyDescent="0.25">
      <c r="A476" t="str">
        <f t="shared" si="7"/>
        <v/>
      </c>
      <c r="C476" s="25"/>
      <c r="D476" s="25"/>
    </row>
    <row r="477" spans="1:4" x14ac:dyDescent="0.25">
      <c r="A477" t="str">
        <f t="shared" si="7"/>
        <v/>
      </c>
      <c r="C477" s="25"/>
      <c r="D477" s="25"/>
    </row>
    <row r="478" spans="1:4" x14ac:dyDescent="0.25">
      <c r="A478" t="str">
        <f t="shared" si="7"/>
        <v/>
      </c>
      <c r="C478" s="25"/>
      <c r="D478" s="25"/>
    </row>
    <row r="479" spans="1:4" x14ac:dyDescent="0.25">
      <c r="A479" t="str">
        <f t="shared" si="7"/>
        <v/>
      </c>
      <c r="C479" s="25"/>
      <c r="D479" s="25"/>
    </row>
    <row r="480" spans="1:4" x14ac:dyDescent="0.25">
      <c r="A480" t="str">
        <f t="shared" si="7"/>
        <v/>
      </c>
      <c r="C480" s="25"/>
      <c r="D480" s="25"/>
    </row>
    <row r="481" spans="1:4" x14ac:dyDescent="0.25">
      <c r="A481" t="str">
        <f t="shared" si="7"/>
        <v/>
      </c>
      <c r="C481" s="25"/>
      <c r="D481" s="25"/>
    </row>
    <row r="482" spans="1:4" x14ac:dyDescent="0.25">
      <c r="A482" t="str">
        <f t="shared" si="7"/>
        <v/>
      </c>
      <c r="C482" s="25"/>
      <c r="D482" s="25"/>
    </row>
    <row r="483" spans="1:4" x14ac:dyDescent="0.25">
      <c r="A483" t="str">
        <f t="shared" si="7"/>
        <v/>
      </c>
      <c r="C483" s="25"/>
      <c r="D483" s="25"/>
    </row>
    <row r="484" spans="1:4" x14ac:dyDescent="0.25">
      <c r="A484" t="str">
        <f t="shared" si="7"/>
        <v/>
      </c>
      <c r="C484" s="25"/>
      <c r="D484" s="25"/>
    </row>
    <row r="485" spans="1:4" x14ac:dyDescent="0.25">
      <c r="A485" t="str">
        <f t="shared" si="7"/>
        <v/>
      </c>
      <c r="C485" s="25"/>
      <c r="D485" s="25"/>
    </row>
    <row r="486" spans="1:4" x14ac:dyDescent="0.25">
      <c r="A486" t="str">
        <f t="shared" si="7"/>
        <v/>
      </c>
      <c r="C486" s="25"/>
      <c r="D486" s="25"/>
    </row>
    <row r="487" spans="1:4" x14ac:dyDescent="0.25">
      <c r="A487" t="str">
        <f t="shared" si="7"/>
        <v/>
      </c>
      <c r="C487" s="25"/>
      <c r="D487" s="25"/>
    </row>
    <row r="488" spans="1:4" x14ac:dyDescent="0.25">
      <c r="A488" t="str">
        <f t="shared" si="7"/>
        <v/>
      </c>
      <c r="C488" s="25"/>
      <c r="D488" s="25"/>
    </row>
    <row r="489" spans="1:4" x14ac:dyDescent="0.25">
      <c r="A489" t="str">
        <f t="shared" si="7"/>
        <v/>
      </c>
      <c r="C489" s="25"/>
      <c r="D489" s="25"/>
    </row>
    <row r="490" spans="1:4" x14ac:dyDescent="0.25">
      <c r="A490" t="str">
        <f t="shared" si="7"/>
        <v/>
      </c>
      <c r="C490" s="25"/>
      <c r="D490" s="25"/>
    </row>
    <row r="491" spans="1:4" x14ac:dyDescent="0.25">
      <c r="A491" t="str">
        <f t="shared" si="7"/>
        <v/>
      </c>
      <c r="C491" s="25"/>
      <c r="D491" s="25"/>
    </row>
    <row r="492" spans="1:4" x14ac:dyDescent="0.25">
      <c r="A492" t="str">
        <f t="shared" si="7"/>
        <v/>
      </c>
      <c r="C492" s="25"/>
      <c r="D492" s="25"/>
    </row>
    <row r="493" spans="1:4" x14ac:dyDescent="0.25">
      <c r="A493" t="str">
        <f t="shared" si="7"/>
        <v/>
      </c>
      <c r="C493" s="25"/>
      <c r="D493" s="25"/>
    </row>
    <row r="494" spans="1:4" x14ac:dyDescent="0.25">
      <c r="A494" t="str">
        <f t="shared" si="7"/>
        <v/>
      </c>
      <c r="C494" s="25"/>
      <c r="D494" s="25"/>
    </row>
    <row r="495" spans="1:4" x14ac:dyDescent="0.25">
      <c r="A495" t="str">
        <f t="shared" si="7"/>
        <v/>
      </c>
      <c r="C495" s="25"/>
      <c r="D495" s="25"/>
    </row>
    <row r="496" spans="1:4" x14ac:dyDescent="0.25">
      <c r="A496" t="str">
        <f t="shared" si="7"/>
        <v/>
      </c>
      <c r="C496" s="25"/>
      <c r="D496" s="25"/>
    </row>
    <row r="497" spans="1:4" x14ac:dyDescent="0.25">
      <c r="A497" t="str">
        <f t="shared" si="7"/>
        <v/>
      </c>
      <c r="C497" s="25"/>
      <c r="D497" s="25"/>
    </row>
    <row r="498" spans="1:4" x14ac:dyDescent="0.25">
      <c r="A498" t="str">
        <f t="shared" si="7"/>
        <v/>
      </c>
      <c r="C498" s="25"/>
      <c r="D498" s="25"/>
    </row>
    <row r="499" spans="1:4" x14ac:dyDescent="0.25">
      <c r="A499" t="str">
        <f t="shared" si="7"/>
        <v/>
      </c>
      <c r="C499" s="25"/>
      <c r="D499" s="25"/>
    </row>
    <row r="500" spans="1:4" x14ac:dyDescent="0.25">
      <c r="A500" t="str">
        <f t="shared" si="7"/>
        <v/>
      </c>
      <c r="C500" s="25"/>
      <c r="D500" s="25"/>
    </row>
    <row r="501" spans="1:4" x14ac:dyDescent="0.25">
      <c r="A501" t="str">
        <f t="shared" si="7"/>
        <v/>
      </c>
      <c r="C501" s="25"/>
      <c r="D501" s="25"/>
    </row>
    <row r="502" spans="1:4" x14ac:dyDescent="0.25">
      <c r="A502" t="str">
        <f t="shared" si="7"/>
        <v/>
      </c>
      <c r="C502" s="25"/>
      <c r="D502" s="25"/>
    </row>
    <row r="503" spans="1:4" x14ac:dyDescent="0.25">
      <c r="A503" t="str">
        <f t="shared" si="7"/>
        <v/>
      </c>
      <c r="C503" s="25"/>
      <c r="D503" s="25"/>
    </row>
    <row r="504" spans="1:4" x14ac:dyDescent="0.25">
      <c r="A504" t="str">
        <f t="shared" si="7"/>
        <v/>
      </c>
      <c r="C504" s="25"/>
      <c r="D504" s="25"/>
    </row>
    <row r="505" spans="1:4" x14ac:dyDescent="0.25">
      <c r="A505" t="str">
        <f t="shared" si="7"/>
        <v/>
      </c>
      <c r="C505" s="25"/>
      <c r="D505" s="25"/>
    </row>
    <row r="506" spans="1:4" x14ac:dyDescent="0.25">
      <c r="A506" t="str">
        <f t="shared" si="7"/>
        <v/>
      </c>
      <c r="C506" s="25"/>
      <c r="D506" s="25"/>
    </row>
    <row r="507" spans="1:4" x14ac:dyDescent="0.25">
      <c r="A507" t="str">
        <f t="shared" si="7"/>
        <v/>
      </c>
      <c r="C507" s="25"/>
      <c r="D507" s="25"/>
    </row>
    <row r="508" spans="1:4" x14ac:dyDescent="0.25">
      <c r="A508" t="str">
        <f t="shared" si="7"/>
        <v/>
      </c>
      <c r="C508" s="25"/>
      <c r="D508" s="25"/>
    </row>
    <row r="509" spans="1:4" x14ac:dyDescent="0.25">
      <c r="A509" t="str">
        <f t="shared" si="7"/>
        <v/>
      </c>
      <c r="C509" s="25"/>
      <c r="D509" s="25"/>
    </row>
    <row r="510" spans="1:4" x14ac:dyDescent="0.25">
      <c r="A510" t="str">
        <f t="shared" si="7"/>
        <v/>
      </c>
      <c r="C510" s="25"/>
      <c r="D510" s="25"/>
    </row>
    <row r="511" spans="1:4" x14ac:dyDescent="0.25">
      <c r="A511" t="str">
        <f t="shared" ref="A511:A574" si="8">I511&amp;M511</f>
        <v/>
      </c>
      <c r="C511" s="25"/>
      <c r="D511" s="25"/>
    </row>
    <row r="512" spans="1:4" x14ac:dyDescent="0.25">
      <c r="A512" t="str">
        <f t="shared" si="8"/>
        <v/>
      </c>
      <c r="C512" s="25"/>
      <c r="D512" s="25"/>
    </row>
    <row r="513" spans="1:22" x14ac:dyDescent="0.25">
      <c r="A513" t="str">
        <f t="shared" si="8"/>
        <v/>
      </c>
      <c r="C513" s="25"/>
      <c r="D513" s="25"/>
    </row>
    <row r="514" spans="1:22" x14ac:dyDescent="0.25">
      <c r="A514" t="str">
        <f t="shared" si="8"/>
        <v/>
      </c>
      <c r="C514" s="25"/>
      <c r="D514" s="25"/>
    </row>
    <row r="515" spans="1:22" x14ac:dyDescent="0.25">
      <c r="A515" t="str">
        <f t="shared" si="8"/>
        <v/>
      </c>
      <c r="C515" s="25"/>
      <c r="D515" s="25"/>
    </row>
    <row r="516" spans="1:22" x14ac:dyDescent="0.25">
      <c r="A516" t="str">
        <f t="shared" si="8"/>
        <v/>
      </c>
      <c r="C516" s="25"/>
      <c r="D516" s="25"/>
    </row>
    <row r="517" spans="1:22" x14ac:dyDescent="0.25">
      <c r="A517" t="str">
        <f t="shared" si="8"/>
        <v/>
      </c>
      <c r="C517" s="25"/>
      <c r="D517" s="25"/>
    </row>
    <row r="518" spans="1:22" x14ac:dyDescent="0.25">
      <c r="A518" t="str">
        <f t="shared" si="8"/>
        <v/>
      </c>
      <c r="C518" s="25"/>
      <c r="D518" s="25"/>
    </row>
    <row r="519" spans="1:22" x14ac:dyDescent="0.25">
      <c r="A519" t="str">
        <f t="shared" si="8"/>
        <v/>
      </c>
      <c r="C519" s="25"/>
      <c r="D519" s="25"/>
    </row>
    <row r="520" spans="1:22" x14ac:dyDescent="0.25">
      <c r="A520" t="str">
        <f t="shared" si="8"/>
        <v/>
      </c>
      <c r="C520" s="25"/>
      <c r="D520" s="25"/>
    </row>
    <row r="521" spans="1:22" x14ac:dyDescent="0.25">
      <c r="A521" t="str">
        <f t="shared" si="8"/>
        <v/>
      </c>
      <c r="C521" s="25"/>
      <c r="D521" s="25"/>
    </row>
    <row r="522" spans="1:22" x14ac:dyDescent="0.25">
      <c r="A522" t="str">
        <f t="shared" si="8"/>
        <v/>
      </c>
      <c r="C522"/>
      <c r="D522"/>
      <c r="V522"/>
    </row>
    <row r="523" spans="1:22" x14ac:dyDescent="0.25">
      <c r="A523" t="str">
        <f t="shared" si="8"/>
        <v/>
      </c>
      <c r="C523"/>
      <c r="D523"/>
      <c r="V523"/>
    </row>
    <row r="524" spans="1:22" x14ac:dyDescent="0.25">
      <c r="A524" t="str">
        <f t="shared" si="8"/>
        <v/>
      </c>
      <c r="C524"/>
      <c r="D524"/>
      <c r="V524"/>
    </row>
    <row r="525" spans="1:22" x14ac:dyDescent="0.25">
      <c r="A525" t="str">
        <f t="shared" si="8"/>
        <v/>
      </c>
      <c r="C525"/>
      <c r="D525"/>
      <c r="V525"/>
    </row>
    <row r="526" spans="1:22" x14ac:dyDescent="0.25">
      <c r="A526" t="str">
        <f t="shared" si="8"/>
        <v/>
      </c>
      <c r="C526"/>
      <c r="D526"/>
      <c r="V526"/>
    </row>
    <row r="527" spans="1:22" x14ac:dyDescent="0.25">
      <c r="A527" t="str">
        <f t="shared" si="8"/>
        <v/>
      </c>
      <c r="C527"/>
      <c r="D527"/>
      <c r="V527"/>
    </row>
    <row r="528" spans="1:22" x14ac:dyDescent="0.25">
      <c r="A528" t="str">
        <f t="shared" si="8"/>
        <v/>
      </c>
      <c r="C528"/>
      <c r="D528"/>
      <c r="V528"/>
    </row>
    <row r="529" spans="1:22" x14ac:dyDescent="0.25">
      <c r="A529" t="str">
        <f t="shared" si="8"/>
        <v/>
      </c>
      <c r="C529"/>
      <c r="D529"/>
      <c r="V529"/>
    </row>
    <row r="530" spans="1:22" x14ac:dyDescent="0.25">
      <c r="A530" t="str">
        <f t="shared" si="8"/>
        <v/>
      </c>
      <c r="C530"/>
      <c r="D530"/>
      <c r="V530"/>
    </row>
    <row r="531" spans="1:22" x14ac:dyDescent="0.25">
      <c r="A531" t="str">
        <f t="shared" si="8"/>
        <v/>
      </c>
      <c r="C531"/>
      <c r="D531"/>
      <c r="V531"/>
    </row>
    <row r="532" spans="1:22" x14ac:dyDescent="0.25">
      <c r="A532" t="str">
        <f t="shared" si="8"/>
        <v/>
      </c>
      <c r="C532"/>
      <c r="D532"/>
      <c r="V532"/>
    </row>
    <row r="533" spans="1:22" x14ac:dyDescent="0.25">
      <c r="A533" t="str">
        <f t="shared" si="8"/>
        <v/>
      </c>
      <c r="C533"/>
      <c r="D533"/>
      <c r="V533"/>
    </row>
    <row r="534" spans="1:22" x14ac:dyDescent="0.25">
      <c r="A534" t="str">
        <f t="shared" si="8"/>
        <v/>
      </c>
      <c r="C534"/>
      <c r="D534"/>
      <c r="V534"/>
    </row>
    <row r="535" spans="1:22" x14ac:dyDescent="0.25">
      <c r="A535" t="str">
        <f t="shared" si="8"/>
        <v/>
      </c>
      <c r="C535"/>
      <c r="D535"/>
      <c r="V535"/>
    </row>
    <row r="536" spans="1:22" x14ac:dyDescent="0.25">
      <c r="A536" t="str">
        <f t="shared" si="8"/>
        <v/>
      </c>
      <c r="C536"/>
      <c r="D536"/>
      <c r="V536"/>
    </row>
    <row r="537" spans="1:22" x14ac:dyDescent="0.25">
      <c r="A537" t="str">
        <f t="shared" si="8"/>
        <v/>
      </c>
      <c r="C537"/>
      <c r="D537"/>
      <c r="V537"/>
    </row>
    <row r="538" spans="1:22" x14ac:dyDescent="0.25">
      <c r="A538" t="str">
        <f t="shared" si="8"/>
        <v/>
      </c>
      <c r="C538"/>
      <c r="D538"/>
      <c r="V538"/>
    </row>
    <row r="539" spans="1:22" x14ac:dyDescent="0.25">
      <c r="A539" t="str">
        <f t="shared" si="8"/>
        <v/>
      </c>
      <c r="C539"/>
      <c r="D539"/>
      <c r="V539"/>
    </row>
    <row r="540" spans="1:22" x14ac:dyDescent="0.25">
      <c r="A540" t="str">
        <f t="shared" si="8"/>
        <v/>
      </c>
      <c r="C540"/>
      <c r="D540"/>
      <c r="V540"/>
    </row>
    <row r="541" spans="1:22" x14ac:dyDescent="0.25">
      <c r="A541" t="str">
        <f t="shared" si="8"/>
        <v/>
      </c>
      <c r="C541"/>
      <c r="D541"/>
      <c r="V541"/>
    </row>
    <row r="542" spans="1:22" x14ac:dyDescent="0.25">
      <c r="A542" t="str">
        <f t="shared" si="8"/>
        <v/>
      </c>
      <c r="C542"/>
      <c r="D542"/>
      <c r="V542"/>
    </row>
    <row r="543" spans="1:22" x14ac:dyDescent="0.25">
      <c r="A543" t="str">
        <f t="shared" si="8"/>
        <v/>
      </c>
      <c r="C543"/>
      <c r="D543"/>
      <c r="V543"/>
    </row>
    <row r="544" spans="1:22" x14ac:dyDescent="0.25">
      <c r="A544" t="str">
        <f t="shared" si="8"/>
        <v/>
      </c>
      <c r="C544"/>
      <c r="D544"/>
      <c r="V544"/>
    </row>
    <row r="545" spans="1:22" x14ac:dyDescent="0.25">
      <c r="A545" t="str">
        <f t="shared" si="8"/>
        <v/>
      </c>
      <c r="C545"/>
      <c r="D545"/>
      <c r="V545"/>
    </row>
    <row r="546" spans="1:22" x14ac:dyDescent="0.25">
      <c r="A546" t="str">
        <f t="shared" si="8"/>
        <v/>
      </c>
      <c r="C546"/>
      <c r="D546"/>
      <c r="V546"/>
    </row>
    <row r="547" spans="1:22" x14ac:dyDescent="0.25">
      <c r="A547" t="str">
        <f t="shared" si="8"/>
        <v/>
      </c>
      <c r="C547"/>
      <c r="D547"/>
      <c r="V547"/>
    </row>
    <row r="548" spans="1:22" x14ac:dyDescent="0.25">
      <c r="A548" t="str">
        <f t="shared" si="8"/>
        <v/>
      </c>
      <c r="C548"/>
      <c r="D548"/>
      <c r="V548"/>
    </row>
    <row r="549" spans="1:22" x14ac:dyDescent="0.25">
      <c r="A549" t="str">
        <f t="shared" si="8"/>
        <v/>
      </c>
      <c r="C549"/>
      <c r="D549"/>
      <c r="V549"/>
    </row>
    <row r="550" spans="1:22" x14ac:dyDescent="0.25">
      <c r="A550" t="str">
        <f t="shared" si="8"/>
        <v/>
      </c>
      <c r="C550"/>
      <c r="D550"/>
      <c r="V550"/>
    </row>
    <row r="551" spans="1:22" x14ac:dyDescent="0.25">
      <c r="A551" t="str">
        <f t="shared" si="8"/>
        <v/>
      </c>
      <c r="C551"/>
      <c r="D551"/>
      <c r="V551"/>
    </row>
    <row r="552" spans="1:22" x14ac:dyDescent="0.25">
      <c r="A552" t="str">
        <f t="shared" si="8"/>
        <v/>
      </c>
      <c r="C552"/>
      <c r="D552"/>
      <c r="V552"/>
    </row>
    <row r="553" spans="1:22" x14ac:dyDescent="0.25">
      <c r="A553" t="str">
        <f t="shared" si="8"/>
        <v/>
      </c>
      <c r="C553"/>
      <c r="D553"/>
      <c r="V553"/>
    </row>
    <row r="554" spans="1:22" x14ac:dyDescent="0.25">
      <c r="A554" t="str">
        <f t="shared" si="8"/>
        <v/>
      </c>
      <c r="C554"/>
      <c r="D554"/>
      <c r="V554"/>
    </row>
    <row r="555" spans="1:22" x14ac:dyDescent="0.25">
      <c r="A555" t="str">
        <f t="shared" si="8"/>
        <v/>
      </c>
      <c r="C555"/>
      <c r="D555"/>
      <c r="V555"/>
    </row>
    <row r="556" spans="1:22" x14ac:dyDescent="0.25">
      <c r="A556" t="str">
        <f t="shared" si="8"/>
        <v/>
      </c>
      <c r="C556"/>
      <c r="D556"/>
      <c r="V556"/>
    </row>
    <row r="557" spans="1:22" x14ac:dyDescent="0.25">
      <c r="A557" t="str">
        <f t="shared" si="8"/>
        <v/>
      </c>
      <c r="C557"/>
      <c r="D557"/>
      <c r="V557"/>
    </row>
    <row r="558" spans="1:22" x14ac:dyDescent="0.25">
      <c r="A558" t="str">
        <f t="shared" si="8"/>
        <v/>
      </c>
      <c r="C558"/>
      <c r="D558"/>
      <c r="V558"/>
    </row>
    <row r="559" spans="1:22" x14ac:dyDescent="0.25">
      <c r="A559" t="str">
        <f t="shared" si="8"/>
        <v/>
      </c>
      <c r="C559"/>
      <c r="D559"/>
      <c r="V559"/>
    </row>
    <row r="560" spans="1:22" x14ac:dyDescent="0.25">
      <c r="A560" t="str">
        <f t="shared" si="8"/>
        <v/>
      </c>
      <c r="C560"/>
      <c r="D560"/>
      <c r="V560"/>
    </row>
    <row r="561" spans="1:22" x14ac:dyDescent="0.25">
      <c r="A561" t="str">
        <f t="shared" si="8"/>
        <v/>
      </c>
      <c r="C561"/>
      <c r="D561"/>
      <c r="V561"/>
    </row>
    <row r="562" spans="1:22" x14ac:dyDescent="0.25">
      <c r="A562" t="str">
        <f t="shared" si="8"/>
        <v/>
      </c>
      <c r="C562"/>
      <c r="D562"/>
      <c r="V562"/>
    </row>
    <row r="563" spans="1:22" x14ac:dyDescent="0.25">
      <c r="A563" t="str">
        <f t="shared" si="8"/>
        <v/>
      </c>
      <c r="C563"/>
      <c r="D563"/>
      <c r="V563"/>
    </row>
    <row r="564" spans="1:22" x14ac:dyDescent="0.25">
      <c r="A564" t="str">
        <f t="shared" si="8"/>
        <v/>
      </c>
      <c r="C564"/>
      <c r="D564"/>
      <c r="V564"/>
    </row>
    <row r="565" spans="1:22" x14ac:dyDescent="0.25">
      <c r="A565" t="str">
        <f t="shared" si="8"/>
        <v/>
      </c>
      <c r="C565"/>
      <c r="D565"/>
      <c r="V565"/>
    </row>
    <row r="566" spans="1:22" x14ac:dyDescent="0.25">
      <c r="A566" t="str">
        <f t="shared" si="8"/>
        <v/>
      </c>
      <c r="C566"/>
      <c r="D566"/>
      <c r="V566"/>
    </row>
    <row r="567" spans="1:22" x14ac:dyDescent="0.25">
      <c r="A567" t="str">
        <f t="shared" si="8"/>
        <v/>
      </c>
      <c r="C567"/>
      <c r="D567"/>
      <c r="V567"/>
    </row>
    <row r="568" spans="1:22" x14ac:dyDescent="0.25">
      <c r="A568" t="str">
        <f t="shared" si="8"/>
        <v/>
      </c>
      <c r="C568"/>
      <c r="D568"/>
      <c r="V568"/>
    </row>
    <row r="569" spans="1:22" x14ac:dyDescent="0.25">
      <c r="A569" t="str">
        <f t="shared" si="8"/>
        <v/>
      </c>
      <c r="C569"/>
      <c r="D569"/>
      <c r="V569"/>
    </row>
    <row r="570" spans="1:22" x14ac:dyDescent="0.25">
      <c r="A570" t="str">
        <f t="shared" si="8"/>
        <v/>
      </c>
      <c r="C570"/>
      <c r="D570"/>
      <c r="V570"/>
    </row>
    <row r="571" spans="1:22" x14ac:dyDescent="0.25">
      <c r="A571" t="str">
        <f t="shared" si="8"/>
        <v/>
      </c>
      <c r="C571"/>
      <c r="D571"/>
      <c r="V571"/>
    </row>
    <row r="572" spans="1:22" x14ac:dyDescent="0.25">
      <c r="A572" t="str">
        <f t="shared" si="8"/>
        <v/>
      </c>
      <c r="C572"/>
      <c r="D572"/>
      <c r="V572"/>
    </row>
    <row r="573" spans="1:22" x14ac:dyDescent="0.25">
      <c r="A573" t="str">
        <f t="shared" si="8"/>
        <v/>
      </c>
      <c r="C573"/>
      <c r="D573"/>
      <c r="V573"/>
    </row>
    <row r="574" spans="1:22" x14ac:dyDescent="0.25">
      <c r="A574" t="str">
        <f t="shared" si="8"/>
        <v/>
      </c>
      <c r="C574"/>
      <c r="D574"/>
      <c r="V574"/>
    </row>
    <row r="575" spans="1:22" x14ac:dyDescent="0.25">
      <c r="A575" t="str">
        <f t="shared" ref="A575:A638" si="9">I575&amp;M575</f>
        <v/>
      </c>
      <c r="C575"/>
      <c r="D575"/>
      <c r="V575"/>
    </row>
    <row r="576" spans="1:22" x14ac:dyDescent="0.25">
      <c r="A576" t="str">
        <f t="shared" si="9"/>
        <v/>
      </c>
      <c r="C576"/>
      <c r="D576"/>
      <c r="V576"/>
    </row>
    <row r="577" spans="1:22" x14ac:dyDescent="0.25">
      <c r="A577" t="str">
        <f t="shared" si="9"/>
        <v/>
      </c>
      <c r="C577"/>
      <c r="D577"/>
      <c r="V577"/>
    </row>
    <row r="578" spans="1:22" x14ac:dyDescent="0.25">
      <c r="A578" t="str">
        <f t="shared" si="9"/>
        <v/>
      </c>
      <c r="C578"/>
      <c r="D578"/>
      <c r="V578"/>
    </row>
    <row r="579" spans="1:22" x14ac:dyDescent="0.25">
      <c r="A579" t="str">
        <f t="shared" si="9"/>
        <v/>
      </c>
      <c r="C579"/>
      <c r="D579"/>
      <c r="V579"/>
    </row>
    <row r="580" spans="1:22" x14ac:dyDescent="0.25">
      <c r="A580" t="str">
        <f t="shared" si="9"/>
        <v/>
      </c>
      <c r="C580"/>
      <c r="D580"/>
      <c r="V580"/>
    </row>
    <row r="581" spans="1:22" x14ac:dyDescent="0.25">
      <c r="A581" t="str">
        <f t="shared" si="9"/>
        <v/>
      </c>
      <c r="C581"/>
      <c r="D581"/>
      <c r="V581"/>
    </row>
    <row r="582" spans="1:22" x14ac:dyDescent="0.25">
      <c r="A582" t="str">
        <f t="shared" si="9"/>
        <v/>
      </c>
      <c r="C582"/>
      <c r="D582"/>
      <c r="V582"/>
    </row>
    <row r="583" spans="1:22" x14ac:dyDescent="0.25">
      <c r="A583" t="str">
        <f t="shared" si="9"/>
        <v/>
      </c>
      <c r="C583"/>
      <c r="D583"/>
      <c r="V583"/>
    </row>
    <row r="584" spans="1:22" x14ac:dyDescent="0.25">
      <c r="A584" t="str">
        <f t="shared" si="9"/>
        <v/>
      </c>
      <c r="C584"/>
      <c r="D584"/>
      <c r="V584"/>
    </row>
    <row r="585" spans="1:22" x14ac:dyDescent="0.25">
      <c r="A585" t="str">
        <f t="shared" si="9"/>
        <v/>
      </c>
      <c r="C585"/>
      <c r="D585"/>
      <c r="V585"/>
    </row>
    <row r="586" spans="1:22" x14ac:dyDescent="0.25">
      <c r="A586" t="str">
        <f t="shared" si="9"/>
        <v/>
      </c>
      <c r="C586"/>
      <c r="D586"/>
      <c r="V586"/>
    </row>
    <row r="587" spans="1:22" x14ac:dyDescent="0.25">
      <c r="A587" t="str">
        <f t="shared" si="9"/>
        <v/>
      </c>
      <c r="C587"/>
      <c r="D587"/>
      <c r="V587"/>
    </row>
    <row r="588" spans="1:22" x14ac:dyDescent="0.25">
      <c r="A588" t="str">
        <f t="shared" si="9"/>
        <v/>
      </c>
      <c r="C588"/>
      <c r="D588"/>
      <c r="V588"/>
    </row>
    <row r="589" spans="1:22" x14ac:dyDescent="0.25">
      <c r="A589" t="str">
        <f t="shared" si="9"/>
        <v/>
      </c>
      <c r="C589"/>
      <c r="D589"/>
      <c r="V589"/>
    </row>
    <row r="590" spans="1:22" x14ac:dyDescent="0.25">
      <c r="A590" t="str">
        <f t="shared" si="9"/>
        <v/>
      </c>
      <c r="C590"/>
      <c r="D590"/>
      <c r="V590"/>
    </row>
    <row r="591" spans="1:22" x14ac:dyDescent="0.25">
      <c r="A591" t="str">
        <f t="shared" si="9"/>
        <v/>
      </c>
      <c r="C591"/>
      <c r="D591"/>
      <c r="V591"/>
    </row>
    <row r="592" spans="1:22" x14ac:dyDescent="0.25">
      <c r="A592" t="str">
        <f t="shared" si="9"/>
        <v/>
      </c>
      <c r="C592"/>
      <c r="D592"/>
      <c r="V592"/>
    </row>
    <row r="593" spans="1:22" x14ac:dyDescent="0.25">
      <c r="A593" t="str">
        <f t="shared" si="9"/>
        <v/>
      </c>
      <c r="C593"/>
      <c r="D593"/>
      <c r="V593"/>
    </row>
    <row r="594" spans="1:22" x14ac:dyDescent="0.25">
      <c r="A594" t="str">
        <f t="shared" si="9"/>
        <v/>
      </c>
      <c r="C594"/>
      <c r="D594"/>
      <c r="V594"/>
    </row>
    <row r="595" spans="1:22" x14ac:dyDescent="0.25">
      <c r="A595" t="str">
        <f t="shared" si="9"/>
        <v/>
      </c>
      <c r="C595"/>
      <c r="D595"/>
      <c r="V595"/>
    </row>
    <row r="596" spans="1:22" x14ac:dyDescent="0.25">
      <c r="A596" t="str">
        <f t="shared" si="9"/>
        <v/>
      </c>
      <c r="C596"/>
      <c r="D596"/>
      <c r="V596"/>
    </row>
    <row r="597" spans="1:22" x14ac:dyDescent="0.25">
      <c r="A597" t="str">
        <f t="shared" si="9"/>
        <v/>
      </c>
      <c r="C597"/>
      <c r="D597"/>
      <c r="V597"/>
    </row>
    <row r="598" spans="1:22" x14ac:dyDescent="0.25">
      <c r="A598" t="str">
        <f t="shared" si="9"/>
        <v/>
      </c>
      <c r="C598"/>
      <c r="D598"/>
      <c r="V598"/>
    </row>
    <row r="599" spans="1:22" x14ac:dyDescent="0.25">
      <c r="A599" t="str">
        <f t="shared" si="9"/>
        <v/>
      </c>
      <c r="C599"/>
      <c r="D599"/>
      <c r="V599"/>
    </row>
    <row r="600" spans="1:22" x14ac:dyDescent="0.25">
      <c r="A600" t="str">
        <f t="shared" si="9"/>
        <v/>
      </c>
      <c r="C600"/>
      <c r="D600"/>
      <c r="V600"/>
    </row>
    <row r="601" spans="1:22" x14ac:dyDescent="0.25">
      <c r="A601" t="str">
        <f t="shared" si="9"/>
        <v/>
      </c>
      <c r="C601"/>
      <c r="D601"/>
      <c r="V601"/>
    </row>
    <row r="602" spans="1:22" x14ac:dyDescent="0.25">
      <c r="A602" t="str">
        <f t="shared" si="9"/>
        <v/>
      </c>
      <c r="C602"/>
      <c r="D602"/>
      <c r="V602"/>
    </row>
    <row r="603" spans="1:22" x14ac:dyDescent="0.25">
      <c r="A603" t="str">
        <f t="shared" si="9"/>
        <v/>
      </c>
      <c r="C603"/>
      <c r="D603"/>
      <c r="V603"/>
    </row>
    <row r="604" spans="1:22" x14ac:dyDescent="0.25">
      <c r="A604" t="str">
        <f t="shared" si="9"/>
        <v/>
      </c>
      <c r="C604"/>
      <c r="D604"/>
      <c r="V604"/>
    </row>
    <row r="605" spans="1:22" x14ac:dyDescent="0.25">
      <c r="A605" t="str">
        <f t="shared" si="9"/>
        <v/>
      </c>
      <c r="C605"/>
      <c r="D605"/>
      <c r="V605"/>
    </row>
    <row r="606" spans="1:22" x14ac:dyDescent="0.25">
      <c r="A606" t="str">
        <f t="shared" si="9"/>
        <v/>
      </c>
      <c r="C606"/>
      <c r="D606"/>
      <c r="V606"/>
    </row>
    <row r="607" spans="1:22" x14ac:dyDescent="0.25">
      <c r="A607" t="str">
        <f t="shared" si="9"/>
        <v/>
      </c>
      <c r="C607"/>
      <c r="D607"/>
      <c r="V607"/>
    </row>
    <row r="608" spans="1:22" x14ac:dyDescent="0.25">
      <c r="A608" t="str">
        <f t="shared" si="9"/>
        <v/>
      </c>
      <c r="C608"/>
      <c r="D608"/>
      <c r="V608"/>
    </row>
    <row r="609" spans="1:22" x14ac:dyDescent="0.25">
      <c r="A609" t="str">
        <f t="shared" si="9"/>
        <v/>
      </c>
      <c r="C609"/>
      <c r="D609"/>
      <c r="V609"/>
    </row>
    <row r="610" spans="1:22" x14ac:dyDescent="0.25">
      <c r="A610" t="str">
        <f t="shared" si="9"/>
        <v/>
      </c>
      <c r="C610"/>
      <c r="D610"/>
      <c r="V610"/>
    </row>
    <row r="611" spans="1:22" x14ac:dyDescent="0.25">
      <c r="A611" t="str">
        <f t="shared" si="9"/>
        <v/>
      </c>
      <c r="C611"/>
      <c r="D611"/>
      <c r="V611"/>
    </row>
    <row r="612" spans="1:22" x14ac:dyDescent="0.25">
      <c r="A612" t="str">
        <f t="shared" si="9"/>
        <v/>
      </c>
      <c r="C612"/>
      <c r="D612"/>
      <c r="V612"/>
    </row>
    <row r="613" spans="1:22" x14ac:dyDescent="0.25">
      <c r="A613" t="str">
        <f t="shared" si="9"/>
        <v/>
      </c>
      <c r="C613"/>
      <c r="D613"/>
      <c r="V613"/>
    </row>
    <row r="614" spans="1:22" x14ac:dyDescent="0.25">
      <c r="A614" t="str">
        <f t="shared" si="9"/>
        <v/>
      </c>
      <c r="C614"/>
      <c r="D614"/>
      <c r="V614"/>
    </row>
    <row r="615" spans="1:22" x14ac:dyDescent="0.25">
      <c r="A615" t="str">
        <f t="shared" si="9"/>
        <v/>
      </c>
      <c r="C615"/>
      <c r="D615"/>
      <c r="V615"/>
    </row>
    <row r="616" spans="1:22" x14ac:dyDescent="0.25">
      <c r="A616" t="str">
        <f t="shared" si="9"/>
        <v/>
      </c>
      <c r="C616"/>
      <c r="D616"/>
      <c r="V616"/>
    </row>
    <row r="617" spans="1:22" x14ac:dyDescent="0.25">
      <c r="A617" t="str">
        <f t="shared" si="9"/>
        <v/>
      </c>
      <c r="C617"/>
      <c r="D617"/>
      <c r="V617"/>
    </row>
    <row r="618" spans="1:22" x14ac:dyDescent="0.25">
      <c r="A618" t="str">
        <f t="shared" si="9"/>
        <v/>
      </c>
      <c r="C618"/>
      <c r="D618"/>
      <c r="V618"/>
    </row>
    <row r="619" spans="1:22" x14ac:dyDescent="0.25">
      <c r="A619" t="str">
        <f t="shared" si="9"/>
        <v/>
      </c>
      <c r="C619"/>
      <c r="D619"/>
      <c r="V619"/>
    </row>
    <row r="620" spans="1:22" x14ac:dyDescent="0.25">
      <c r="A620" t="str">
        <f t="shared" si="9"/>
        <v/>
      </c>
      <c r="C620"/>
      <c r="D620"/>
      <c r="V620"/>
    </row>
    <row r="621" spans="1:22" x14ac:dyDescent="0.25">
      <c r="A621" t="str">
        <f t="shared" si="9"/>
        <v/>
      </c>
      <c r="C621"/>
      <c r="D621"/>
      <c r="V621"/>
    </row>
    <row r="622" spans="1:22" x14ac:dyDescent="0.25">
      <c r="A622" t="str">
        <f t="shared" si="9"/>
        <v/>
      </c>
      <c r="C622"/>
      <c r="D622"/>
      <c r="V622"/>
    </row>
    <row r="623" spans="1:22" x14ac:dyDescent="0.25">
      <c r="A623" t="str">
        <f t="shared" si="9"/>
        <v/>
      </c>
      <c r="C623"/>
      <c r="D623"/>
      <c r="V623"/>
    </row>
    <row r="624" spans="1:22" x14ac:dyDescent="0.25">
      <c r="A624" t="str">
        <f t="shared" si="9"/>
        <v/>
      </c>
      <c r="C624"/>
      <c r="D624"/>
      <c r="V624"/>
    </row>
    <row r="625" spans="1:22" x14ac:dyDescent="0.25">
      <c r="A625" t="str">
        <f t="shared" si="9"/>
        <v/>
      </c>
      <c r="C625"/>
      <c r="D625"/>
      <c r="V625"/>
    </row>
    <row r="626" spans="1:22" x14ac:dyDescent="0.25">
      <c r="A626" t="str">
        <f t="shared" si="9"/>
        <v/>
      </c>
      <c r="C626"/>
      <c r="D626"/>
      <c r="V626"/>
    </row>
    <row r="627" spans="1:22" x14ac:dyDescent="0.25">
      <c r="A627" t="str">
        <f t="shared" si="9"/>
        <v/>
      </c>
      <c r="C627"/>
      <c r="D627"/>
      <c r="V627"/>
    </row>
    <row r="628" spans="1:22" x14ac:dyDescent="0.25">
      <c r="A628" t="str">
        <f t="shared" si="9"/>
        <v/>
      </c>
      <c r="C628"/>
      <c r="D628"/>
      <c r="V628"/>
    </row>
    <row r="629" spans="1:22" x14ac:dyDescent="0.25">
      <c r="A629" t="str">
        <f t="shared" si="9"/>
        <v/>
      </c>
      <c r="C629"/>
      <c r="D629"/>
      <c r="V629"/>
    </row>
    <row r="630" spans="1:22" x14ac:dyDescent="0.25">
      <c r="A630" t="str">
        <f t="shared" si="9"/>
        <v/>
      </c>
      <c r="C630"/>
      <c r="D630"/>
      <c r="V630"/>
    </row>
    <row r="631" spans="1:22" x14ac:dyDescent="0.25">
      <c r="A631" t="str">
        <f t="shared" si="9"/>
        <v/>
      </c>
      <c r="C631"/>
      <c r="D631"/>
      <c r="V631"/>
    </row>
    <row r="632" spans="1:22" x14ac:dyDescent="0.25">
      <c r="A632" t="str">
        <f t="shared" si="9"/>
        <v/>
      </c>
      <c r="C632"/>
      <c r="D632"/>
      <c r="V632"/>
    </row>
    <row r="633" spans="1:22" x14ac:dyDescent="0.25">
      <c r="A633" t="str">
        <f t="shared" si="9"/>
        <v/>
      </c>
      <c r="C633"/>
      <c r="D633"/>
      <c r="V633"/>
    </row>
    <row r="634" spans="1:22" x14ac:dyDescent="0.25">
      <c r="A634" t="str">
        <f t="shared" si="9"/>
        <v/>
      </c>
      <c r="C634"/>
      <c r="D634"/>
      <c r="V634"/>
    </row>
    <row r="635" spans="1:22" x14ac:dyDescent="0.25">
      <c r="A635" t="str">
        <f t="shared" si="9"/>
        <v/>
      </c>
      <c r="C635"/>
      <c r="D635"/>
      <c r="V635"/>
    </row>
    <row r="636" spans="1:22" x14ac:dyDescent="0.25">
      <c r="A636" t="str">
        <f t="shared" si="9"/>
        <v/>
      </c>
      <c r="C636"/>
      <c r="D636"/>
      <c r="V636"/>
    </row>
    <row r="637" spans="1:22" x14ac:dyDescent="0.25">
      <c r="A637" t="str">
        <f t="shared" si="9"/>
        <v/>
      </c>
      <c r="C637"/>
      <c r="D637"/>
      <c r="V637"/>
    </row>
    <row r="638" spans="1:22" x14ac:dyDescent="0.25">
      <c r="A638" t="str">
        <f t="shared" si="9"/>
        <v/>
      </c>
      <c r="C638"/>
      <c r="D638"/>
      <c r="V638"/>
    </row>
    <row r="639" spans="1:22" x14ac:dyDescent="0.25">
      <c r="A639" t="str">
        <f t="shared" ref="A639:A702" si="10">I639&amp;M639</f>
        <v/>
      </c>
      <c r="C639"/>
      <c r="D639"/>
      <c r="V639"/>
    </row>
    <row r="640" spans="1:22" x14ac:dyDescent="0.25">
      <c r="A640" t="str">
        <f t="shared" si="10"/>
        <v/>
      </c>
      <c r="C640"/>
      <c r="D640"/>
      <c r="V640"/>
    </row>
    <row r="641" spans="1:22" x14ac:dyDescent="0.25">
      <c r="A641" t="str">
        <f t="shared" si="10"/>
        <v/>
      </c>
      <c r="C641"/>
      <c r="D641"/>
      <c r="V641"/>
    </row>
    <row r="642" spans="1:22" x14ac:dyDescent="0.25">
      <c r="A642" t="str">
        <f t="shared" si="10"/>
        <v/>
      </c>
      <c r="C642"/>
      <c r="D642"/>
      <c r="V642"/>
    </row>
    <row r="643" spans="1:22" x14ac:dyDescent="0.25">
      <c r="A643" t="str">
        <f t="shared" si="10"/>
        <v/>
      </c>
      <c r="C643"/>
      <c r="D643"/>
      <c r="V643"/>
    </row>
    <row r="644" spans="1:22" x14ac:dyDescent="0.25">
      <c r="A644" t="str">
        <f t="shared" si="10"/>
        <v/>
      </c>
      <c r="C644"/>
      <c r="D644"/>
      <c r="V644"/>
    </row>
    <row r="645" spans="1:22" x14ac:dyDescent="0.25">
      <c r="A645" t="str">
        <f t="shared" si="10"/>
        <v/>
      </c>
      <c r="C645"/>
      <c r="D645"/>
      <c r="V645"/>
    </row>
    <row r="646" spans="1:22" x14ac:dyDescent="0.25">
      <c r="A646" t="str">
        <f t="shared" si="10"/>
        <v/>
      </c>
      <c r="C646"/>
      <c r="D646"/>
      <c r="V646"/>
    </row>
    <row r="647" spans="1:22" x14ac:dyDescent="0.25">
      <c r="A647" t="str">
        <f t="shared" si="10"/>
        <v/>
      </c>
      <c r="C647"/>
      <c r="D647"/>
      <c r="V647"/>
    </row>
    <row r="648" spans="1:22" x14ac:dyDescent="0.25">
      <c r="A648" t="str">
        <f t="shared" si="10"/>
        <v/>
      </c>
      <c r="C648"/>
      <c r="D648"/>
      <c r="V648"/>
    </row>
    <row r="649" spans="1:22" x14ac:dyDescent="0.25">
      <c r="A649" t="str">
        <f t="shared" si="10"/>
        <v/>
      </c>
      <c r="C649"/>
      <c r="D649"/>
      <c r="V649"/>
    </row>
    <row r="650" spans="1:22" x14ac:dyDescent="0.25">
      <c r="A650" t="str">
        <f t="shared" si="10"/>
        <v/>
      </c>
      <c r="C650"/>
      <c r="D650"/>
      <c r="V650"/>
    </row>
    <row r="651" spans="1:22" x14ac:dyDescent="0.25">
      <c r="A651" t="str">
        <f t="shared" si="10"/>
        <v/>
      </c>
      <c r="C651"/>
      <c r="D651"/>
      <c r="V651"/>
    </row>
    <row r="652" spans="1:22" x14ac:dyDescent="0.25">
      <c r="A652" t="str">
        <f t="shared" si="10"/>
        <v/>
      </c>
      <c r="C652"/>
      <c r="D652"/>
      <c r="V652"/>
    </row>
    <row r="653" spans="1:22" x14ac:dyDescent="0.25">
      <c r="A653" t="str">
        <f t="shared" si="10"/>
        <v/>
      </c>
      <c r="C653"/>
      <c r="D653"/>
      <c r="V653"/>
    </row>
    <row r="654" spans="1:22" x14ac:dyDescent="0.25">
      <c r="A654" t="str">
        <f t="shared" si="10"/>
        <v/>
      </c>
      <c r="C654"/>
      <c r="D654"/>
      <c r="V654"/>
    </row>
    <row r="655" spans="1:22" x14ac:dyDescent="0.25">
      <c r="A655" t="str">
        <f t="shared" si="10"/>
        <v/>
      </c>
      <c r="C655"/>
      <c r="D655"/>
      <c r="V655"/>
    </row>
    <row r="656" spans="1:22" x14ac:dyDescent="0.25">
      <c r="A656" t="str">
        <f t="shared" si="10"/>
        <v/>
      </c>
      <c r="C656"/>
      <c r="D656"/>
      <c r="V656"/>
    </row>
    <row r="657" spans="1:22" x14ac:dyDescent="0.25">
      <c r="A657" t="str">
        <f t="shared" si="10"/>
        <v/>
      </c>
      <c r="C657"/>
      <c r="D657"/>
      <c r="V657"/>
    </row>
    <row r="658" spans="1:22" x14ac:dyDescent="0.25">
      <c r="A658" t="str">
        <f t="shared" si="10"/>
        <v/>
      </c>
      <c r="C658"/>
      <c r="D658"/>
      <c r="V658"/>
    </row>
    <row r="659" spans="1:22" x14ac:dyDescent="0.25">
      <c r="A659" t="str">
        <f t="shared" si="10"/>
        <v/>
      </c>
      <c r="C659"/>
      <c r="D659"/>
      <c r="V659"/>
    </row>
    <row r="660" spans="1:22" x14ac:dyDescent="0.25">
      <c r="A660" t="str">
        <f t="shared" si="10"/>
        <v/>
      </c>
      <c r="C660"/>
      <c r="D660"/>
      <c r="V660"/>
    </row>
    <row r="661" spans="1:22" x14ac:dyDescent="0.25">
      <c r="A661" t="str">
        <f t="shared" si="10"/>
        <v/>
      </c>
      <c r="C661"/>
      <c r="D661"/>
      <c r="V661"/>
    </row>
    <row r="662" spans="1:22" x14ac:dyDescent="0.25">
      <c r="A662" t="str">
        <f t="shared" si="10"/>
        <v/>
      </c>
      <c r="C662"/>
      <c r="D662"/>
      <c r="V662"/>
    </row>
    <row r="663" spans="1:22" x14ac:dyDescent="0.25">
      <c r="A663" t="str">
        <f t="shared" si="10"/>
        <v/>
      </c>
      <c r="C663"/>
      <c r="D663"/>
      <c r="V663"/>
    </row>
    <row r="664" spans="1:22" x14ac:dyDescent="0.25">
      <c r="A664" t="str">
        <f t="shared" si="10"/>
        <v/>
      </c>
      <c r="C664"/>
      <c r="D664"/>
      <c r="V664"/>
    </row>
    <row r="665" spans="1:22" x14ac:dyDescent="0.25">
      <c r="A665" t="str">
        <f t="shared" si="10"/>
        <v/>
      </c>
      <c r="C665"/>
      <c r="D665"/>
      <c r="V665"/>
    </row>
    <row r="666" spans="1:22" x14ac:dyDescent="0.25">
      <c r="A666" t="str">
        <f t="shared" si="10"/>
        <v/>
      </c>
      <c r="C666"/>
      <c r="D666"/>
      <c r="V666"/>
    </row>
    <row r="667" spans="1:22" x14ac:dyDescent="0.25">
      <c r="A667" t="str">
        <f t="shared" si="10"/>
        <v/>
      </c>
      <c r="C667"/>
      <c r="D667"/>
      <c r="V667"/>
    </row>
    <row r="668" spans="1:22" x14ac:dyDescent="0.25">
      <c r="A668" t="str">
        <f t="shared" si="10"/>
        <v/>
      </c>
      <c r="C668"/>
      <c r="D668"/>
      <c r="V668"/>
    </row>
    <row r="669" spans="1:22" x14ac:dyDescent="0.25">
      <c r="A669" t="str">
        <f t="shared" si="10"/>
        <v/>
      </c>
      <c r="C669"/>
      <c r="D669"/>
      <c r="V669"/>
    </row>
    <row r="670" spans="1:22" x14ac:dyDescent="0.25">
      <c r="A670" t="str">
        <f t="shared" si="10"/>
        <v/>
      </c>
      <c r="C670"/>
      <c r="D670"/>
      <c r="V670"/>
    </row>
    <row r="671" spans="1:22" x14ac:dyDescent="0.25">
      <c r="A671" t="str">
        <f t="shared" si="10"/>
        <v/>
      </c>
      <c r="C671"/>
      <c r="D671"/>
      <c r="V671"/>
    </row>
    <row r="672" spans="1:22" x14ac:dyDescent="0.25">
      <c r="A672" t="str">
        <f t="shared" si="10"/>
        <v/>
      </c>
      <c r="C672"/>
      <c r="D672"/>
      <c r="V672"/>
    </row>
    <row r="673" spans="1:22" x14ac:dyDescent="0.25">
      <c r="A673" t="str">
        <f t="shared" si="10"/>
        <v/>
      </c>
      <c r="C673"/>
      <c r="D673"/>
      <c r="V673"/>
    </row>
    <row r="674" spans="1:22" x14ac:dyDescent="0.25">
      <c r="A674" t="str">
        <f t="shared" si="10"/>
        <v/>
      </c>
      <c r="C674"/>
      <c r="D674"/>
      <c r="V674"/>
    </row>
    <row r="675" spans="1:22" x14ac:dyDescent="0.25">
      <c r="A675" t="str">
        <f t="shared" si="10"/>
        <v/>
      </c>
      <c r="C675"/>
      <c r="D675"/>
      <c r="V675"/>
    </row>
    <row r="676" spans="1:22" x14ac:dyDescent="0.25">
      <c r="A676" t="str">
        <f t="shared" si="10"/>
        <v/>
      </c>
      <c r="C676"/>
      <c r="D676"/>
      <c r="V676"/>
    </row>
    <row r="677" spans="1:22" x14ac:dyDescent="0.25">
      <c r="A677" t="str">
        <f t="shared" si="10"/>
        <v/>
      </c>
      <c r="C677"/>
      <c r="D677"/>
      <c r="V677"/>
    </row>
    <row r="678" spans="1:22" x14ac:dyDescent="0.25">
      <c r="A678" t="str">
        <f t="shared" si="10"/>
        <v/>
      </c>
      <c r="C678"/>
      <c r="D678"/>
      <c r="V678"/>
    </row>
    <row r="679" spans="1:22" x14ac:dyDescent="0.25">
      <c r="A679" t="str">
        <f t="shared" si="10"/>
        <v/>
      </c>
      <c r="C679"/>
      <c r="D679"/>
      <c r="V679"/>
    </row>
    <row r="680" spans="1:22" x14ac:dyDescent="0.25">
      <c r="A680" t="str">
        <f t="shared" si="10"/>
        <v/>
      </c>
      <c r="C680"/>
      <c r="D680"/>
      <c r="V680"/>
    </row>
    <row r="681" spans="1:22" x14ac:dyDescent="0.25">
      <c r="A681" t="str">
        <f t="shared" si="10"/>
        <v/>
      </c>
      <c r="C681"/>
      <c r="D681"/>
      <c r="V681"/>
    </row>
    <row r="682" spans="1:22" x14ac:dyDescent="0.25">
      <c r="A682" t="str">
        <f t="shared" si="10"/>
        <v/>
      </c>
      <c r="C682"/>
      <c r="D682"/>
      <c r="V682"/>
    </row>
    <row r="683" spans="1:22" x14ac:dyDescent="0.25">
      <c r="A683" t="str">
        <f t="shared" si="10"/>
        <v/>
      </c>
      <c r="C683"/>
      <c r="D683"/>
      <c r="V683"/>
    </row>
    <row r="684" spans="1:22" x14ac:dyDescent="0.25">
      <c r="A684" t="str">
        <f t="shared" si="10"/>
        <v/>
      </c>
      <c r="C684"/>
      <c r="D684"/>
      <c r="V684"/>
    </row>
    <row r="685" spans="1:22" x14ac:dyDescent="0.25">
      <c r="A685" t="str">
        <f t="shared" si="10"/>
        <v/>
      </c>
      <c r="C685"/>
      <c r="D685"/>
      <c r="V685"/>
    </row>
    <row r="686" spans="1:22" x14ac:dyDescent="0.25">
      <c r="A686" t="str">
        <f t="shared" si="10"/>
        <v/>
      </c>
      <c r="C686"/>
      <c r="D686"/>
      <c r="V686"/>
    </row>
    <row r="687" spans="1:22" x14ac:dyDescent="0.25">
      <c r="A687" t="str">
        <f t="shared" si="10"/>
        <v/>
      </c>
      <c r="C687"/>
      <c r="D687"/>
      <c r="V687"/>
    </row>
    <row r="688" spans="1:22" x14ac:dyDescent="0.25">
      <c r="A688" t="str">
        <f t="shared" si="10"/>
        <v/>
      </c>
      <c r="C688"/>
      <c r="D688"/>
      <c r="V688"/>
    </row>
    <row r="689" spans="1:22" x14ac:dyDescent="0.25">
      <c r="A689" t="str">
        <f t="shared" si="10"/>
        <v/>
      </c>
      <c r="C689"/>
      <c r="D689"/>
      <c r="V689"/>
    </row>
    <row r="690" spans="1:22" x14ac:dyDescent="0.25">
      <c r="A690" t="str">
        <f t="shared" si="10"/>
        <v/>
      </c>
      <c r="C690"/>
      <c r="D690"/>
      <c r="V690"/>
    </row>
    <row r="691" spans="1:22" x14ac:dyDescent="0.25">
      <c r="A691" t="str">
        <f t="shared" si="10"/>
        <v/>
      </c>
      <c r="C691"/>
      <c r="D691"/>
      <c r="V691"/>
    </row>
    <row r="692" spans="1:22" x14ac:dyDescent="0.25">
      <c r="A692" t="str">
        <f t="shared" si="10"/>
        <v/>
      </c>
      <c r="C692"/>
      <c r="D692"/>
      <c r="V692"/>
    </row>
    <row r="693" spans="1:22" x14ac:dyDescent="0.25">
      <c r="A693" t="str">
        <f t="shared" si="10"/>
        <v/>
      </c>
      <c r="C693"/>
      <c r="D693"/>
      <c r="V693"/>
    </row>
    <row r="694" spans="1:22" x14ac:dyDescent="0.25">
      <c r="A694" t="str">
        <f t="shared" si="10"/>
        <v/>
      </c>
      <c r="C694"/>
      <c r="D694"/>
      <c r="V694"/>
    </row>
    <row r="695" spans="1:22" x14ac:dyDescent="0.25">
      <c r="A695" t="str">
        <f t="shared" si="10"/>
        <v/>
      </c>
      <c r="C695"/>
      <c r="D695"/>
      <c r="V695"/>
    </row>
    <row r="696" spans="1:22" x14ac:dyDescent="0.25">
      <c r="A696" t="str">
        <f t="shared" si="10"/>
        <v/>
      </c>
      <c r="C696"/>
      <c r="D696"/>
      <c r="V696"/>
    </row>
    <row r="697" spans="1:22" x14ac:dyDescent="0.25">
      <c r="A697" t="str">
        <f t="shared" si="10"/>
        <v/>
      </c>
      <c r="C697"/>
      <c r="D697"/>
      <c r="V697"/>
    </row>
    <row r="698" spans="1:22" x14ac:dyDescent="0.25">
      <c r="A698" t="str">
        <f t="shared" si="10"/>
        <v/>
      </c>
      <c r="C698"/>
      <c r="D698"/>
      <c r="V698"/>
    </row>
    <row r="699" spans="1:22" x14ac:dyDescent="0.25">
      <c r="A699" t="str">
        <f t="shared" si="10"/>
        <v/>
      </c>
      <c r="C699"/>
      <c r="D699"/>
      <c r="V699"/>
    </row>
    <row r="700" spans="1:22" x14ac:dyDescent="0.25">
      <c r="A700" t="str">
        <f t="shared" si="10"/>
        <v/>
      </c>
      <c r="C700"/>
      <c r="D700"/>
      <c r="V700"/>
    </row>
    <row r="701" spans="1:22" x14ac:dyDescent="0.25">
      <c r="A701" t="str">
        <f t="shared" si="10"/>
        <v/>
      </c>
      <c r="C701"/>
      <c r="D701"/>
      <c r="V701"/>
    </row>
    <row r="702" spans="1:22" x14ac:dyDescent="0.25">
      <c r="A702" t="str">
        <f t="shared" si="10"/>
        <v/>
      </c>
      <c r="C702"/>
      <c r="D702"/>
      <c r="V702"/>
    </row>
    <row r="703" spans="1:22" x14ac:dyDescent="0.25">
      <c r="A703" t="str">
        <f t="shared" ref="A703:A766" si="11">I703&amp;M703</f>
        <v/>
      </c>
      <c r="C703"/>
      <c r="D703"/>
      <c r="V703"/>
    </row>
    <row r="704" spans="1:22" x14ac:dyDescent="0.25">
      <c r="A704" t="str">
        <f t="shared" si="11"/>
        <v/>
      </c>
      <c r="C704"/>
      <c r="D704"/>
      <c r="V704"/>
    </row>
    <row r="705" spans="1:22" x14ac:dyDescent="0.25">
      <c r="A705" t="str">
        <f t="shared" si="11"/>
        <v/>
      </c>
      <c r="C705"/>
      <c r="D705"/>
      <c r="V705"/>
    </row>
    <row r="706" spans="1:22" x14ac:dyDescent="0.25">
      <c r="A706" t="str">
        <f t="shared" si="11"/>
        <v/>
      </c>
      <c r="C706"/>
      <c r="D706"/>
      <c r="V706"/>
    </row>
    <row r="707" spans="1:22" x14ac:dyDescent="0.25">
      <c r="A707" t="str">
        <f t="shared" si="11"/>
        <v/>
      </c>
      <c r="C707"/>
      <c r="D707"/>
      <c r="V707"/>
    </row>
    <row r="708" spans="1:22" x14ac:dyDescent="0.25">
      <c r="A708" t="str">
        <f t="shared" si="11"/>
        <v/>
      </c>
      <c r="C708"/>
      <c r="D708"/>
      <c r="V708"/>
    </row>
    <row r="709" spans="1:22" x14ac:dyDescent="0.25">
      <c r="A709" t="str">
        <f t="shared" si="11"/>
        <v/>
      </c>
      <c r="C709"/>
      <c r="D709"/>
      <c r="V709"/>
    </row>
    <row r="710" spans="1:22" x14ac:dyDescent="0.25">
      <c r="A710" t="str">
        <f t="shared" si="11"/>
        <v/>
      </c>
      <c r="C710"/>
      <c r="D710"/>
      <c r="V710"/>
    </row>
    <row r="711" spans="1:22" x14ac:dyDescent="0.25">
      <c r="A711" t="str">
        <f t="shared" si="11"/>
        <v/>
      </c>
      <c r="C711"/>
      <c r="D711"/>
      <c r="V711"/>
    </row>
    <row r="712" spans="1:22" x14ac:dyDescent="0.25">
      <c r="A712" t="str">
        <f t="shared" si="11"/>
        <v/>
      </c>
      <c r="C712"/>
      <c r="D712"/>
      <c r="V712"/>
    </row>
    <row r="713" spans="1:22" x14ac:dyDescent="0.25">
      <c r="A713" t="str">
        <f t="shared" si="11"/>
        <v/>
      </c>
      <c r="C713"/>
      <c r="D713"/>
      <c r="V713"/>
    </row>
    <row r="714" spans="1:22" x14ac:dyDescent="0.25">
      <c r="A714" t="str">
        <f t="shared" si="11"/>
        <v/>
      </c>
      <c r="C714"/>
      <c r="D714"/>
      <c r="V714"/>
    </row>
    <row r="715" spans="1:22" x14ac:dyDescent="0.25">
      <c r="A715" t="str">
        <f t="shared" si="11"/>
        <v/>
      </c>
      <c r="C715"/>
      <c r="D715"/>
      <c r="V715"/>
    </row>
    <row r="716" spans="1:22" x14ac:dyDescent="0.25">
      <c r="A716" t="str">
        <f t="shared" si="11"/>
        <v/>
      </c>
      <c r="C716"/>
      <c r="D716"/>
      <c r="V716"/>
    </row>
    <row r="717" spans="1:22" x14ac:dyDescent="0.25">
      <c r="A717" t="str">
        <f t="shared" si="11"/>
        <v/>
      </c>
      <c r="C717"/>
      <c r="D717"/>
      <c r="V717"/>
    </row>
    <row r="718" spans="1:22" x14ac:dyDescent="0.25">
      <c r="A718" t="str">
        <f t="shared" si="11"/>
        <v/>
      </c>
      <c r="C718"/>
      <c r="D718"/>
      <c r="V718"/>
    </row>
    <row r="719" spans="1:22" x14ac:dyDescent="0.25">
      <c r="A719" t="str">
        <f t="shared" si="11"/>
        <v/>
      </c>
      <c r="C719"/>
      <c r="D719"/>
      <c r="V719"/>
    </row>
    <row r="720" spans="1:22" x14ac:dyDescent="0.25">
      <c r="A720" t="str">
        <f t="shared" si="11"/>
        <v/>
      </c>
      <c r="C720"/>
      <c r="D720"/>
      <c r="V720"/>
    </row>
    <row r="721" spans="1:22" x14ac:dyDescent="0.25">
      <c r="A721" t="str">
        <f t="shared" si="11"/>
        <v/>
      </c>
      <c r="C721"/>
      <c r="D721"/>
      <c r="V721"/>
    </row>
    <row r="722" spans="1:22" x14ac:dyDescent="0.25">
      <c r="A722" t="str">
        <f t="shared" si="11"/>
        <v/>
      </c>
      <c r="C722"/>
      <c r="D722"/>
      <c r="V722"/>
    </row>
    <row r="723" spans="1:22" x14ac:dyDescent="0.25">
      <c r="A723" t="str">
        <f t="shared" si="11"/>
        <v/>
      </c>
      <c r="C723"/>
      <c r="D723"/>
      <c r="V723"/>
    </row>
    <row r="724" spans="1:22" x14ac:dyDescent="0.25">
      <c r="A724" t="str">
        <f t="shared" si="11"/>
        <v/>
      </c>
      <c r="C724"/>
      <c r="D724"/>
      <c r="V724"/>
    </row>
    <row r="725" spans="1:22" x14ac:dyDescent="0.25">
      <c r="A725" t="str">
        <f t="shared" si="11"/>
        <v/>
      </c>
      <c r="C725"/>
      <c r="D725"/>
      <c r="V725"/>
    </row>
    <row r="726" spans="1:22" x14ac:dyDescent="0.25">
      <c r="A726" t="str">
        <f t="shared" si="11"/>
        <v/>
      </c>
      <c r="C726"/>
      <c r="D726"/>
      <c r="V726"/>
    </row>
    <row r="727" spans="1:22" x14ac:dyDescent="0.25">
      <c r="A727" t="str">
        <f t="shared" si="11"/>
        <v/>
      </c>
      <c r="C727"/>
      <c r="D727"/>
      <c r="V727"/>
    </row>
    <row r="728" spans="1:22" x14ac:dyDescent="0.25">
      <c r="A728" t="str">
        <f t="shared" si="11"/>
        <v/>
      </c>
      <c r="C728"/>
      <c r="D728"/>
      <c r="V728"/>
    </row>
    <row r="729" spans="1:22" x14ac:dyDescent="0.25">
      <c r="A729" t="str">
        <f t="shared" si="11"/>
        <v/>
      </c>
      <c r="C729"/>
      <c r="D729"/>
      <c r="V729"/>
    </row>
    <row r="730" spans="1:22" x14ac:dyDescent="0.25">
      <c r="A730" t="str">
        <f t="shared" si="11"/>
        <v/>
      </c>
      <c r="C730"/>
      <c r="D730"/>
      <c r="V730"/>
    </row>
    <row r="731" spans="1:22" x14ac:dyDescent="0.25">
      <c r="A731" t="str">
        <f t="shared" si="11"/>
        <v/>
      </c>
      <c r="C731"/>
      <c r="D731"/>
      <c r="V731"/>
    </row>
    <row r="732" spans="1:22" x14ac:dyDescent="0.25">
      <c r="A732" t="str">
        <f t="shared" si="11"/>
        <v/>
      </c>
      <c r="C732"/>
      <c r="D732"/>
      <c r="V732"/>
    </row>
    <row r="733" spans="1:22" x14ac:dyDescent="0.25">
      <c r="A733" t="str">
        <f t="shared" si="11"/>
        <v/>
      </c>
      <c r="C733"/>
      <c r="D733"/>
      <c r="V733"/>
    </row>
    <row r="734" spans="1:22" x14ac:dyDescent="0.25">
      <c r="A734" t="str">
        <f t="shared" si="11"/>
        <v/>
      </c>
      <c r="C734"/>
      <c r="D734"/>
      <c r="V734"/>
    </row>
    <row r="735" spans="1:22" x14ac:dyDescent="0.25">
      <c r="A735" t="str">
        <f t="shared" si="11"/>
        <v/>
      </c>
      <c r="C735"/>
      <c r="D735"/>
      <c r="V735"/>
    </row>
    <row r="736" spans="1:22" x14ac:dyDescent="0.25">
      <c r="A736" t="str">
        <f t="shared" si="11"/>
        <v/>
      </c>
      <c r="C736"/>
      <c r="D736"/>
      <c r="V736"/>
    </row>
    <row r="737" spans="1:22" x14ac:dyDescent="0.25">
      <c r="A737" t="str">
        <f t="shared" si="11"/>
        <v/>
      </c>
      <c r="C737"/>
      <c r="D737"/>
      <c r="V737"/>
    </row>
    <row r="738" spans="1:22" x14ac:dyDescent="0.25">
      <c r="A738" t="str">
        <f t="shared" si="11"/>
        <v/>
      </c>
      <c r="C738"/>
      <c r="D738"/>
      <c r="V738"/>
    </row>
    <row r="739" spans="1:22" x14ac:dyDescent="0.25">
      <c r="A739" t="str">
        <f t="shared" si="11"/>
        <v/>
      </c>
      <c r="C739"/>
      <c r="D739"/>
      <c r="V739"/>
    </row>
    <row r="740" spans="1:22" x14ac:dyDescent="0.25">
      <c r="A740" t="str">
        <f t="shared" si="11"/>
        <v/>
      </c>
      <c r="C740"/>
      <c r="D740"/>
      <c r="V740"/>
    </row>
    <row r="741" spans="1:22" x14ac:dyDescent="0.25">
      <c r="A741" t="str">
        <f t="shared" si="11"/>
        <v/>
      </c>
      <c r="C741"/>
      <c r="D741"/>
      <c r="V741"/>
    </row>
    <row r="742" spans="1:22" x14ac:dyDescent="0.25">
      <c r="A742" t="str">
        <f t="shared" si="11"/>
        <v/>
      </c>
      <c r="C742"/>
      <c r="D742"/>
      <c r="V742"/>
    </row>
    <row r="743" spans="1:22" x14ac:dyDescent="0.25">
      <c r="A743" t="str">
        <f t="shared" si="11"/>
        <v/>
      </c>
      <c r="C743"/>
      <c r="D743"/>
      <c r="V743"/>
    </row>
    <row r="744" spans="1:22" x14ac:dyDescent="0.25">
      <c r="A744" t="str">
        <f t="shared" si="11"/>
        <v/>
      </c>
      <c r="C744"/>
      <c r="D744"/>
      <c r="V744"/>
    </row>
    <row r="745" spans="1:22" x14ac:dyDescent="0.25">
      <c r="A745" t="str">
        <f t="shared" si="11"/>
        <v/>
      </c>
      <c r="C745"/>
      <c r="D745"/>
      <c r="V745"/>
    </row>
    <row r="746" spans="1:22" x14ac:dyDescent="0.25">
      <c r="A746" t="str">
        <f t="shared" si="11"/>
        <v/>
      </c>
      <c r="C746"/>
      <c r="D746"/>
      <c r="V746"/>
    </row>
    <row r="747" spans="1:22" x14ac:dyDescent="0.25">
      <c r="A747" t="str">
        <f t="shared" si="11"/>
        <v/>
      </c>
      <c r="C747"/>
      <c r="D747"/>
      <c r="V747"/>
    </row>
    <row r="748" spans="1:22" x14ac:dyDescent="0.25">
      <c r="A748" t="str">
        <f t="shared" si="11"/>
        <v/>
      </c>
      <c r="C748"/>
      <c r="D748"/>
      <c r="V748"/>
    </row>
    <row r="749" spans="1:22" x14ac:dyDescent="0.25">
      <c r="A749" t="str">
        <f t="shared" si="11"/>
        <v/>
      </c>
      <c r="C749"/>
      <c r="D749"/>
      <c r="V749"/>
    </row>
    <row r="750" spans="1:22" x14ac:dyDescent="0.25">
      <c r="A750" t="str">
        <f t="shared" si="11"/>
        <v/>
      </c>
      <c r="C750"/>
      <c r="D750"/>
      <c r="V750"/>
    </row>
    <row r="751" spans="1:22" x14ac:dyDescent="0.25">
      <c r="A751" t="str">
        <f t="shared" si="11"/>
        <v/>
      </c>
      <c r="C751"/>
      <c r="D751"/>
      <c r="V751"/>
    </row>
    <row r="752" spans="1:22" x14ac:dyDescent="0.25">
      <c r="A752" t="str">
        <f t="shared" si="11"/>
        <v/>
      </c>
      <c r="C752"/>
      <c r="D752"/>
      <c r="V752"/>
    </row>
    <row r="753" spans="1:22" x14ac:dyDescent="0.25">
      <c r="A753" t="str">
        <f t="shared" si="11"/>
        <v/>
      </c>
      <c r="C753"/>
      <c r="D753"/>
      <c r="V753"/>
    </row>
    <row r="754" spans="1:22" x14ac:dyDescent="0.25">
      <c r="A754" t="str">
        <f t="shared" si="11"/>
        <v/>
      </c>
      <c r="C754"/>
      <c r="D754"/>
      <c r="V754"/>
    </row>
    <row r="755" spans="1:22" x14ac:dyDescent="0.25">
      <c r="A755" t="str">
        <f t="shared" si="11"/>
        <v/>
      </c>
      <c r="C755"/>
      <c r="D755"/>
      <c r="V755"/>
    </row>
    <row r="756" spans="1:22" x14ac:dyDescent="0.25">
      <c r="A756" t="str">
        <f t="shared" si="11"/>
        <v/>
      </c>
      <c r="C756"/>
      <c r="D756"/>
      <c r="V756"/>
    </row>
    <row r="757" spans="1:22" x14ac:dyDescent="0.25">
      <c r="A757" t="str">
        <f t="shared" si="11"/>
        <v/>
      </c>
      <c r="C757"/>
      <c r="D757"/>
      <c r="V757"/>
    </row>
    <row r="758" spans="1:22" x14ac:dyDescent="0.25">
      <c r="A758" t="str">
        <f t="shared" si="11"/>
        <v/>
      </c>
      <c r="C758"/>
      <c r="D758"/>
      <c r="V758"/>
    </row>
    <row r="759" spans="1:22" x14ac:dyDescent="0.25">
      <c r="A759" t="str">
        <f t="shared" si="11"/>
        <v/>
      </c>
      <c r="C759"/>
      <c r="D759"/>
      <c r="V759"/>
    </row>
    <row r="760" spans="1:22" x14ac:dyDescent="0.25">
      <c r="A760" t="str">
        <f t="shared" si="11"/>
        <v/>
      </c>
      <c r="C760"/>
      <c r="D760"/>
      <c r="V760"/>
    </row>
    <row r="761" spans="1:22" x14ac:dyDescent="0.25">
      <c r="A761" t="str">
        <f t="shared" si="11"/>
        <v/>
      </c>
      <c r="C761"/>
      <c r="D761"/>
      <c r="V761"/>
    </row>
    <row r="762" spans="1:22" x14ac:dyDescent="0.25">
      <c r="A762" t="str">
        <f t="shared" si="11"/>
        <v/>
      </c>
      <c r="C762"/>
      <c r="D762"/>
      <c r="V762"/>
    </row>
    <row r="763" spans="1:22" x14ac:dyDescent="0.25">
      <c r="A763" t="str">
        <f t="shared" si="11"/>
        <v/>
      </c>
      <c r="C763"/>
      <c r="D763"/>
      <c r="V763"/>
    </row>
    <row r="764" spans="1:22" x14ac:dyDescent="0.25">
      <c r="A764" t="str">
        <f t="shared" si="11"/>
        <v/>
      </c>
      <c r="C764"/>
      <c r="D764"/>
      <c r="V764"/>
    </row>
    <row r="765" spans="1:22" x14ac:dyDescent="0.25">
      <c r="A765" t="str">
        <f t="shared" si="11"/>
        <v/>
      </c>
      <c r="C765"/>
      <c r="D765"/>
      <c r="V765"/>
    </row>
    <row r="766" spans="1:22" x14ac:dyDescent="0.25">
      <c r="A766" t="str">
        <f t="shared" si="11"/>
        <v/>
      </c>
      <c r="C766"/>
      <c r="D766"/>
      <c r="V766"/>
    </row>
    <row r="767" spans="1:22" x14ac:dyDescent="0.25">
      <c r="A767" t="str">
        <f t="shared" ref="A767:A830" si="12">I767&amp;M767</f>
        <v/>
      </c>
      <c r="C767"/>
      <c r="D767"/>
      <c r="V767"/>
    </row>
    <row r="768" spans="1:22" x14ac:dyDescent="0.25">
      <c r="A768" t="str">
        <f t="shared" si="12"/>
        <v/>
      </c>
      <c r="C768"/>
      <c r="D768"/>
      <c r="V768"/>
    </row>
    <row r="769" spans="1:22" x14ac:dyDescent="0.25">
      <c r="A769" t="str">
        <f t="shared" si="12"/>
        <v/>
      </c>
      <c r="C769"/>
      <c r="D769"/>
      <c r="V769"/>
    </row>
    <row r="770" spans="1:22" x14ac:dyDescent="0.25">
      <c r="A770" t="str">
        <f t="shared" si="12"/>
        <v/>
      </c>
      <c r="C770"/>
      <c r="D770"/>
      <c r="V770"/>
    </row>
    <row r="771" spans="1:22" x14ac:dyDescent="0.25">
      <c r="A771" t="str">
        <f t="shared" si="12"/>
        <v/>
      </c>
      <c r="C771"/>
      <c r="D771"/>
      <c r="V771"/>
    </row>
    <row r="772" spans="1:22" x14ac:dyDescent="0.25">
      <c r="A772" t="str">
        <f t="shared" si="12"/>
        <v/>
      </c>
      <c r="C772"/>
      <c r="D772"/>
      <c r="V772"/>
    </row>
    <row r="773" spans="1:22" x14ac:dyDescent="0.25">
      <c r="A773" t="str">
        <f t="shared" si="12"/>
        <v/>
      </c>
      <c r="C773"/>
      <c r="D773"/>
      <c r="V773"/>
    </row>
    <row r="774" spans="1:22" x14ac:dyDescent="0.25">
      <c r="A774" t="str">
        <f t="shared" si="12"/>
        <v/>
      </c>
      <c r="C774"/>
      <c r="D774"/>
      <c r="V774"/>
    </row>
    <row r="775" spans="1:22" x14ac:dyDescent="0.25">
      <c r="A775" t="str">
        <f t="shared" si="12"/>
        <v/>
      </c>
      <c r="C775"/>
      <c r="D775"/>
      <c r="V775"/>
    </row>
    <row r="776" spans="1:22" x14ac:dyDescent="0.25">
      <c r="A776" t="str">
        <f t="shared" si="12"/>
        <v/>
      </c>
      <c r="C776"/>
      <c r="D776"/>
      <c r="V776"/>
    </row>
    <row r="777" spans="1:22" x14ac:dyDescent="0.25">
      <c r="A777" t="str">
        <f t="shared" si="12"/>
        <v/>
      </c>
      <c r="C777"/>
      <c r="D777"/>
      <c r="V777"/>
    </row>
    <row r="778" spans="1:22" x14ac:dyDescent="0.25">
      <c r="A778" t="str">
        <f t="shared" si="12"/>
        <v/>
      </c>
      <c r="C778"/>
      <c r="D778"/>
      <c r="V778"/>
    </row>
    <row r="779" spans="1:22" x14ac:dyDescent="0.25">
      <c r="A779" t="str">
        <f t="shared" si="12"/>
        <v/>
      </c>
      <c r="C779"/>
      <c r="D779"/>
      <c r="V779"/>
    </row>
    <row r="780" spans="1:22" x14ac:dyDescent="0.25">
      <c r="A780" t="str">
        <f t="shared" si="12"/>
        <v/>
      </c>
      <c r="C780"/>
      <c r="D780"/>
      <c r="V780"/>
    </row>
    <row r="781" spans="1:22" x14ac:dyDescent="0.25">
      <c r="A781" t="str">
        <f t="shared" si="12"/>
        <v/>
      </c>
      <c r="C781"/>
      <c r="D781"/>
      <c r="V781"/>
    </row>
    <row r="782" spans="1:22" x14ac:dyDescent="0.25">
      <c r="A782" t="str">
        <f t="shared" si="12"/>
        <v/>
      </c>
      <c r="C782"/>
      <c r="D782"/>
      <c r="V782"/>
    </row>
    <row r="783" spans="1:22" x14ac:dyDescent="0.25">
      <c r="A783" t="str">
        <f t="shared" si="12"/>
        <v/>
      </c>
      <c r="C783"/>
      <c r="D783"/>
      <c r="V783"/>
    </row>
    <row r="784" spans="1:22" x14ac:dyDescent="0.25">
      <c r="A784" t="str">
        <f t="shared" si="12"/>
        <v/>
      </c>
      <c r="C784"/>
      <c r="D784"/>
      <c r="V784"/>
    </row>
    <row r="785" spans="1:22" x14ac:dyDescent="0.25">
      <c r="A785" t="str">
        <f t="shared" si="12"/>
        <v/>
      </c>
      <c r="C785"/>
      <c r="D785"/>
      <c r="V785"/>
    </row>
    <row r="786" spans="1:22" x14ac:dyDescent="0.25">
      <c r="A786" t="str">
        <f t="shared" si="12"/>
        <v/>
      </c>
      <c r="C786"/>
      <c r="D786"/>
      <c r="V786"/>
    </row>
    <row r="787" spans="1:22" x14ac:dyDescent="0.25">
      <c r="A787" t="str">
        <f t="shared" si="12"/>
        <v/>
      </c>
      <c r="C787"/>
      <c r="D787"/>
      <c r="V787"/>
    </row>
    <row r="788" spans="1:22" x14ac:dyDescent="0.25">
      <c r="A788" t="str">
        <f t="shared" si="12"/>
        <v/>
      </c>
      <c r="C788"/>
      <c r="D788"/>
      <c r="V788"/>
    </row>
    <row r="789" spans="1:22" x14ac:dyDescent="0.25">
      <c r="A789" t="str">
        <f t="shared" si="12"/>
        <v/>
      </c>
      <c r="C789"/>
      <c r="D789"/>
      <c r="V789"/>
    </row>
    <row r="790" spans="1:22" x14ac:dyDescent="0.25">
      <c r="A790" t="str">
        <f t="shared" si="12"/>
        <v/>
      </c>
      <c r="C790"/>
      <c r="D790"/>
      <c r="V790"/>
    </row>
    <row r="791" spans="1:22" x14ac:dyDescent="0.25">
      <c r="A791" t="str">
        <f t="shared" si="12"/>
        <v/>
      </c>
      <c r="C791"/>
      <c r="D791"/>
      <c r="V791"/>
    </row>
    <row r="792" spans="1:22" x14ac:dyDescent="0.25">
      <c r="A792" t="str">
        <f t="shared" si="12"/>
        <v/>
      </c>
      <c r="C792"/>
      <c r="D792"/>
      <c r="V792"/>
    </row>
    <row r="793" spans="1:22" x14ac:dyDescent="0.25">
      <c r="A793" t="str">
        <f t="shared" si="12"/>
        <v/>
      </c>
      <c r="C793"/>
      <c r="D793"/>
      <c r="V793"/>
    </row>
    <row r="794" spans="1:22" x14ac:dyDescent="0.25">
      <c r="A794" t="str">
        <f t="shared" si="12"/>
        <v/>
      </c>
      <c r="C794"/>
      <c r="D794"/>
      <c r="V794"/>
    </row>
    <row r="795" spans="1:22" x14ac:dyDescent="0.25">
      <c r="A795" t="str">
        <f t="shared" si="12"/>
        <v/>
      </c>
      <c r="C795"/>
      <c r="D795"/>
      <c r="V795"/>
    </row>
    <row r="796" spans="1:22" x14ac:dyDescent="0.25">
      <c r="A796" t="str">
        <f t="shared" si="12"/>
        <v/>
      </c>
      <c r="C796"/>
      <c r="D796"/>
      <c r="V796"/>
    </row>
    <row r="797" spans="1:22" x14ac:dyDescent="0.25">
      <c r="A797" t="str">
        <f t="shared" si="12"/>
        <v/>
      </c>
      <c r="C797"/>
      <c r="D797"/>
      <c r="V797"/>
    </row>
    <row r="798" spans="1:22" x14ac:dyDescent="0.25">
      <c r="A798" t="str">
        <f t="shared" si="12"/>
        <v/>
      </c>
      <c r="C798"/>
      <c r="D798"/>
      <c r="V798"/>
    </row>
    <row r="799" spans="1:22" x14ac:dyDescent="0.25">
      <c r="A799" t="str">
        <f t="shared" si="12"/>
        <v/>
      </c>
      <c r="C799"/>
      <c r="D799"/>
      <c r="V799"/>
    </row>
    <row r="800" spans="1:22" x14ac:dyDescent="0.25">
      <c r="A800" t="str">
        <f t="shared" si="12"/>
        <v/>
      </c>
      <c r="C800"/>
      <c r="D800"/>
      <c r="V800"/>
    </row>
    <row r="801" spans="1:22" x14ac:dyDescent="0.25">
      <c r="A801" t="str">
        <f t="shared" si="12"/>
        <v/>
      </c>
      <c r="C801"/>
      <c r="D801"/>
      <c r="V801"/>
    </row>
    <row r="802" spans="1:22" x14ac:dyDescent="0.25">
      <c r="A802" t="str">
        <f t="shared" si="12"/>
        <v/>
      </c>
      <c r="C802"/>
      <c r="D802"/>
      <c r="V802"/>
    </row>
    <row r="803" spans="1:22" x14ac:dyDescent="0.25">
      <c r="A803" t="str">
        <f t="shared" si="12"/>
        <v/>
      </c>
      <c r="C803"/>
      <c r="D803"/>
      <c r="V803"/>
    </row>
    <row r="804" spans="1:22" x14ac:dyDescent="0.25">
      <c r="A804" t="str">
        <f t="shared" si="12"/>
        <v/>
      </c>
      <c r="C804"/>
      <c r="D804"/>
      <c r="V804"/>
    </row>
    <row r="805" spans="1:22" x14ac:dyDescent="0.25">
      <c r="A805" t="str">
        <f t="shared" si="12"/>
        <v/>
      </c>
      <c r="C805"/>
      <c r="D805"/>
      <c r="V805"/>
    </row>
    <row r="806" spans="1:22" x14ac:dyDescent="0.25">
      <c r="A806" t="str">
        <f t="shared" si="12"/>
        <v/>
      </c>
      <c r="C806"/>
      <c r="D806"/>
      <c r="V806"/>
    </row>
    <row r="807" spans="1:22" x14ac:dyDescent="0.25">
      <c r="A807" t="str">
        <f t="shared" si="12"/>
        <v/>
      </c>
      <c r="C807"/>
      <c r="D807"/>
      <c r="V807"/>
    </row>
    <row r="808" spans="1:22" x14ac:dyDescent="0.25">
      <c r="A808" t="str">
        <f t="shared" si="12"/>
        <v/>
      </c>
      <c r="C808"/>
      <c r="D808"/>
      <c r="V808"/>
    </row>
    <row r="809" spans="1:22" x14ac:dyDescent="0.25">
      <c r="A809" t="str">
        <f t="shared" si="12"/>
        <v/>
      </c>
      <c r="C809"/>
      <c r="D809"/>
      <c r="V809"/>
    </row>
    <row r="810" spans="1:22" x14ac:dyDescent="0.25">
      <c r="A810" t="str">
        <f t="shared" si="12"/>
        <v/>
      </c>
      <c r="C810"/>
      <c r="D810"/>
      <c r="V810"/>
    </row>
    <row r="811" spans="1:22" x14ac:dyDescent="0.25">
      <c r="A811" t="str">
        <f t="shared" si="12"/>
        <v/>
      </c>
      <c r="C811"/>
      <c r="D811"/>
      <c r="V811"/>
    </row>
    <row r="812" spans="1:22" x14ac:dyDescent="0.25">
      <c r="A812" t="str">
        <f t="shared" si="12"/>
        <v/>
      </c>
      <c r="C812"/>
      <c r="D812"/>
      <c r="V812"/>
    </row>
    <row r="813" spans="1:22" x14ac:dyDescent="0.25">
      <c r="A813" t="str">
        <f t="shared" si="12"/>
        <v/>
      </c>
      <c r="C813"/>
      <c r="D813"/>
      <c r="V813"/>
    </row>
    <row r="814" spans="1:22" x14ac:dyDescent="0.25">
      <c r="A814" t="str">
        <f t="shared" si="12"/>
        <v/>
      </c>
      <c r="C814"/>
      <c r="D814"/>
      <c r="V814"/>
    </row>
    <row r="815" spans="1:22" x14ac:dyDescent="0.25">
      <c r="A815" t="str">
        <f t="shared" si="12"/>
        <v/>
      </c>
      <c r="C815"/>
      <c r="D815"/>
      <c r="V815"/>
    </row>
    <row r="816" spans="1:22" x14ac:dyDescent="0.25">
      <c r="A816" t="str">
        <f t="shared" si="12"/>
        <v/>
      </c>
      <c r="C816"/>
      <c r="D816"/>
      <c r="V816"/>
    </row>
    <row r="817" spans="1:22" x14ac:dyDescent="0.25">
      <c r="A817" t="str">
        <f t="shared" si="12"/>
        <v/>
      </c>
      <c r="C817"/>
      <c r="D817"/>
      <c r="V817"/>
    </row>
    <row r="818" spans="1:22" x14ac:dyDescent="0.25">
      <c r="A818" t="str">
        <f t="shared" si="12"/>
        <v/>
      </c>
      <c r="C818"/>
      <c r="D818"/>
      <c r="V818"/>
    </row>
    <row r="819" spans="1:22" x14ac:dyDescent="0.25">
      <c r="A819" t="str">
        <f t="shared" si="12"/>
        <v/>
      </c>
      <c r="C819"/>
      <c r="D819"/>
      <c r="V819"/>
    </row>
    <row r="820" spans="1:22" x14ac:dyDescent="0.25">
      <c r="A820" t="str">
        <f t="shared" si="12"/>
        <v/>
      </c>
      <c r="C820"/>
      <c r="D820"/>
      <c r="V820"/>
    </row>
    <row r="821" spans="1:22" x14ac:dyDescent="0.25">
      <c r="A821" t="str">
        <f t="shared" si="12"/>
        <v/>
      </c>
      <c r="C821"/>
      <c r="D821"/>
      <c r="V821"/>
    </row>
    <row r="822" spans="1:22" x14ac:dyDescent="0.25">
      <c r="A822" t="str">
        <f t="shared" si="12"/>
        <v/>
      </c>
      <c r="C822"/>
      <c r="D822"/>
      <c r="V822"/>
    </row>
    <row r="823" spans="1:22" x14ac:dyDescent="0.25">
      <c r="A823" t="str">
        <f t="shared" si="12"/>
        <v/>
      </c>
      <c r="C823"/>
      <c r="D823"/>
      <c r="V823"/>
    </row>
    <row r="824" spans="1:22" x14ac:dyDescent="0.25">
      <c r="A824" t="str">
        <f t="shared" si="12"/>
        <v/>
      </c>
      <c r="C824"/>
      <c r="D824"/>
      <c r="V824"/>
    </row>
    <row r="825" spans="1:22" x14ac:dyDescent="0.25">
      <c r="A825" t="str">
        <f t="shared" si="12"/>
        <v/>
      </c>
      <c r="C825"/>
      <c r="D825"/>
      <c r="V825"/>
    </row>
    <row r="826" spans="1:22" x14ac:dyDescent="0.25">
      <c r="A826" t="str">
        <f t="shared" si="12"/>
        <v/>
      </c>
      <c r="C826"/>
      <c r="D826"/>
      <c r="V826"/>
    </row>
    <row r="827" spans="1:22" x14ac:dyDescent="0.25">
      <c r="A827" t="str">
        <f t="shared" si="12"/>
        <v/>
      </c>
      <c r="C827"/>
      <c r="D827"/>
      <c r="V827"/>
    </row>
    <row r="828" spans="1:22" x14ac:dyDescent="0.25">
      <c r="A828" t="str">
        <f t="shared" si="12"/>
        <v/>
      </c>
      <c r="C828"/>
      <c r="D828"/>
      <c r="V828"/>
    </row>
    <row r="829" spans="1:22" x14ac:dyDescent="0.25">
      <c r="A829" t="str">
        <f t="shared" si="12"/>
        <v/>
      </c>
      <c r="C829"/>
      <c r="D829"/>
      <c r="V829"/>
    </row>
    <row r="830" spans="1:22" x14ac:dyDescent="0.25">
      <c r="A830" t="str">
        <f t="shared" si="12"/>
        <v/>
      </c>
      <c r="C830"/>
      <c r="D830"/>
      <c r="V830"/>
    </row>
    <row r="831" spans="1:22" x14ac:dyDescent="0.25">
      <c r="A831" t="str">
        <f t="shared" ref="A831:A894" si="13">I831&amp;M831</f>
        <v/>
      </c>
      <c r="C831"/>
      <c r="D831"/>
      <c r="V831"/>
    </row>
    <row r="832" spans="1:22" x14ac:dyDescent="0.25">
      <c r="A832" t="str">
        <f t="shared" si="13"/>
        <v/>
      </c>
      <c r="C832"/>
      <c r="D832"/>
      <c r="V832"/>
    </row>
    <row r="833" spans="1:22" x14ac:dyDescent="0.25">
      <c r="A833" t="str">
        <f t="shared" si="13"/>
        <v/>
      </c>
      <c r="C833"/>
      <c r="D833"/>
      <c r="V833"/>
    </row>
    <row r="834" spans="1:22" x14ac:dyDescent="0.25">
      <c r="A834" t="str">
        <f t="shared" si="13"/>
        <v/>
      </c>
      <c r="C834"/>
      <c r="D834"/>
      <c r="V834"/>
    </row>
    <row r="835" spans="1:22" x14ac:dyDescent="0.25">
      <c r="A835" t="str">
        <f t="shared" si="13"/>
        <v/>
      </c>
      <c r="C835"/>
      <c r="D835"/>
      <c r="V835"/>
    </row>
    <row r="836" spans="1:22" x14ac:dyDescent="0.25">
      <c r="A836" t="str">
        <f t="shared" si="13"/>
        <v/>
      </c>
      <c r="C836"/>
      <c r="D836"/>
      <c r="V836"/>
    </row>
    <row r="837" spans="1:22" x14ac:dyDescent="0.25">
      <c r="A837" t="str">
        <f t="shared" si="13"/>
        <v/>
      </c>
      <c r="C837"/>
      <c r="D837"/>
      <c r="V837"/>
    </row>
    <row r="838" spans="1:22" x14ac:dyDescent="0.25">
      <c r="A838" t="str">
        <f t="shared" si="13"/>
        <v/>
      </c>
      <c r="C838"/>
      <c r="D838"/>
      <c r="V838"/>
    </row>
    <row r="839" spans="1:22" x14ac:dyDescent="0.25">
      <c r="A839" t="str">
        <f t="shared" si="13"/>
        <v/>
      </c>
      <c r="C839"/>
      <c r="D839"/>
      <c r="V839"/>
    </row>
    <row r="840" spans="1:22" x14ac:dyDescent="0.25">
      <c r="A840" t="str">
        <f t="shared" si="13"/>
        <v/>
      </c>
      <c r="C840"/>
      <c r="D840"/>
      <c r="V840"/>
    </row>
    <row r="841" spans="1:22" x14ac:dyDescent="0.25">
      <c r="A841" t="str">
        <f t="shared" si="13"/>
        <v/>
      </c>
      <c r="C841"/>
      <c r="D841"/>
      <c r="V841"/>
    </row>
    <row r="842" spans="1:22" x14ac:dyDescent="0.25">
      <c r="A842" t="str">
        <f t="shared" si="13"/>
        <v/>
      </c>
      <c r="C842"/>
      <c r="D842"/>
      <c r="V842"/>
    </row>
    <row r="843" spans="1:22" x14ac:dyDescent="0.25">
      <c r="A843" t="str">
        <f t="shared" si="13"/>
        <v/>
      </c>
      <c r="C843"/>
      <c r="D843"/>
      <c r="V843"/>
    </row>
    <row r="844" spans="1:22" x14ac:dyDescent="0.25">
      <c r="A844" t="str">
        <f t="shared" si="13"/>
        <v/>
      </c>
      <c r="C844"/>
      <c r="D844"/>
      <c r="V844"/>
    </row>
    <row r="845" spans="1:22" x14ac:dyDescent="0.25">
      <c r="A845" t="str">
        <f t="shared" si="13"/>
        <v/>
      </c>
      <c r="C845"/>
      <c r="D845"/>
      <c r="V845"/>
    </row>
    <row r="846" spans="1:22" x14ac:dyDescent="0.25">
      <c r="A846" t="str">
        <f t="shared" si="13"/>
        <v/>
      </c>
      <c r="C846"/>
      <c r="D846"/>
      <c r="V846"/>
    </row>
    <row r="847" spans="1:22" x14ac:dyDescent="0.25">
      <c r="A847" t="str">
        <f t="shared" si="13"/>
        <v/>
      </c>
      <c r="C847"/>
      <c r="D847"/>
      <c r="V847"/>
    </row>
    <row r="848" spans="1:22" x14ac:dyDescent="0.25">
      <c r="A848" t="str">
        <f t="shared" si="13"/>
        <v/>
      </c>
      <c r="C848"/>
      <c r="D848"/>
      <c r="V848"/>
    </row>
    <row r="849" spans="1:22" x14ac:dyDescent="0.25">
      <c r="A849" t="str">
        <f t="shared" si="13"/>
        <v/>
      </c>
      <c r="C849"/>
      <c r="D849"/>
      <c r="V849"/>
    </row>
    <row r="850" spans="1:22" x14ac:dyDescent="0.25">
      <c r="A850" t="str">
        <f t="shared" si="13"/>
        <v/>
      </c>
      <c r="C850"/>
      <c r="D850"/>
      <c r="V850"/>
    </row>
    <row r="851" spans="1:22" x14ac:dyDescent="0.25">
      <c r="A851" t="str">
        <f t="shared" si="13"/>
        <v/>
      </c>
      <c r="C851"/>
      <c r="D851"/>
      <c r="V851"/>
    </row>
    <row r="852" spans="1:22" x14ac:dyDescent="0.25">
      <c r="A852" t="str">
        <f t="shared" si="13"/>
        <v/>
      </c>
      <c r="C852"/>
      <c r="D852"/>
      <c r="V852"/>
    </row>
    <row r="853" spans="1:22" x14ac:dyDescent="0.25">
      <c r="A853" t="str">
        <f t="shared" si="13"/>
        <v/>
      </c>
      <c r="C853"/>
      <c r="D853"/>
      <c r="V853"/>
    </row>
    <row r="854" spans="1:22" x14ac:dyDescent="0.25">
      <c r="A854" t="str">
        <f t="shared" si="13"/>
        <v/>
      </c>
      <c r="C854"/>
      <c r="D854"/>
      <c r="V854"/>
    </row>
    <row r="855" spans="1:22" x14ac:dyDescent="0.25">
      <c r="A855" t="str">
        <f t="shared" si="13"/>
        <v/>
      </c>
      <c r="C855"/>
      <c r="D855"/>
      <c r="V855"/>
    </row>
    <row r="856" spans="1:22" x14ac:dyDescent="0.25">
      <c r="A856" t="str">
        <f t="shared" si="13"/>
        <v/>
      </c>
      <c r="C856"/>
      <c r="D856"/>
      <c r="V856"/>
    </row>
    <row r="857" spans="1:22" x14ac:dyDescent="0.25">
      <c r="A857" t="str">
        <f t="shared" si="13"/>
        <v/>
      </c>
      <c r="C857"/>
      <c r="D857"/>
      <c r="V857"/>
    </row>
    <row r="858" spans="1:22" x14ac:dyDescent="0.25">
      <c r="A858" t="str">
        <f t="shared" si="13"/>
        <v/>
      </c>
      <c r="C858"/>
      <c r="D858"/>
      <c r="V858"/>
    </row>
    <row r="859" spans="1:22" x14ac:dyDescent="0.25">
      <c r="A859" t="str">
        <f t="shared" si="13"/>
        <v/>
      </c>
      <c r="C859"/>
      <c r="D859"/>
      <c r="V859"/>
    </row>
    <row r="860" spans="1:22" x14ac:dyDescent="0.25">
      <c r="A860" t="str">
        <f t="shared" si="13"/>
        <v/>
      </c>
      <c r="C860"/>
      <c r="D860"/>
      <c r="V860"/>
    </row>
    <row r="861" spans="1:22" x14ac:dyDescent="0.25">
      <c r="A861" t="str">
        <f t="shared" si="13"/>
        <v/>
      </c>
      <c r="C861"/>
      <c r="D861"/>
      <c r="V861"/>
    </row>
    <row r="862" spans="1:22" x14ac:dyDescent="0.25">
      <c r="A862" t="str">
        <f t="shared" si="13"/>
        <v/>
      </c>
      <c r="C862"/>
      <c r="D862"/>
      <c r="V862"/>
    </row>
    <row r="863" spans="1:22" x14ac:dyDescent="0.25">
      <c r="A863" t="str">
        <f t="shared" si="13"/>
        <v/>
      </c>
      <c r="C863"/>
      <c r="D863"/>
      <c r="V863"/>
    </row>
    <row r="864" spans="1:22" x14ac:dyDescent="0.25">
      <c r="A864" t="str">
        <f t="shared" si="13"/>
        <v/>
      </c>
      <c r="C864"/>
      <c r="D864"/>
      <c r="V864"/>
    </row>
    <row r="865" spans="1:22" x14ac:dyDescent="0.25">
      <c r="A865" t="str">
        <f t="shared" si="13"/>
        <v/>
      </c>
      <c r="C865"/>
      <c r="D865"/>
      <c r="V865"/>
    </row>
    <row r="866" spans="1:22" x14ac:dyDescent="0.25">
      <c r="A866" t="str">
        <f t="shared" si="13"/>
        <v/>
      </c>
      <c r="C866"/>
      <c r="D866"/>
      <c r="V866"/>
    </row>
    <row r="867" spans="1:22" x14ac:dyDescent="0.25">
      <c r="A867" t="str">
        <f t="shared" si="13"/>
        <v/>
      </c>
      <c r="C867"/>
      <c r="D867"/>
      <c r="V867"/>
    </row>
    <row r="868" spans="1:22" x14ac:dyDescent="0.25">
      <c r="A868" t="str">
        <f t="shared" si="13"/>
        <v/>
      </c>
      <c r="C868"/>
      <c r="D868"/>
      <c r="V868"/>
    </row>
    <row r="869" spans="1:22" x14ac:dyDescent="0.25">
      <c r="A869" t="str">
        <f t="shared" si="13"/>
        <v/>
      </c>
      <c r="C869"/>
      <c r="D869"/>
      <c r="V869"/>
    </row>
    <row r="870" spans="1:22" x14ac:dyDescent="0.25">
      <c r="A870" t="str">
        <f t="shared" si="13"/>
        <v/>
      </c>
      <c r="C870"/>
      <c r="D870"/>
      <c r="V870"/>
    </row>
    <row r="871" spans="1:22" x14ac:dyDescent="0.25">
      <c r="A871" t="str">
        <f t="shared" si="13"/>
        <v/>
      </c>
      <c r="C871"/>
      <c r="D871"/>
      <c r="V871"/>
    </row>
    <row r="872" spans="1:22" x14ac:dyDescent="0.25">
      <c r="A872" t="str">
        <f t="shared" si="13"/>
        <v/>
      </c>
      <c r="C872"/>
      <c r="D872"/>
      <c r="V872"/>
    </row>
    <row r="873" spans="1:22" x14ac:dyDescent="0.25">
      <c r="A873" t="str">
        <f t="shared" si="13"/>
        <v/>
      </c>
      <c r="C873"/>
      <c r="D873"/>
      <c r="V873"/>
    </row>
    <row r="874" spans="1:22" x14ac:dyDescent="0.25">
      <c r="A874" t="str">
        <f t="shared" si="13"/>
        <v/>
      </c>
      <c r="C874"/>
      <c r="D874"/>
      <c r="V874"/>
    </row>
    <row r="875" spans="1:22" x14ac:dyDescent="0.25">
      <c r="A875" t="str">
        <f t="shared" si="13"/>
        <v/>
      </c>
      <c r="C875"/>
      <c r="D875"/>
      <c r="V875"/>
    </row>
    <row r="876" spans="1:22" x14ac:dyDescent="0.25">
      <c r="A876" t="str">
        <f t="shared" si="13"/>
        <v/>
      </c>
      <c r="C876"/>
      <c r="D876"/>
      <c r="V876"/>
    </row>
    <row r="877" spans="1:22" x14ac:dyDescent="0.25">
      <c r="A877" t="str">
        <f t="shared" si="13"/>
        <v/>
      </c>
      <c r="C877"/>
      <c r="D877"/>
      <c r="V877"/>
    </row>
    <row r="878" spans="1:22" x14ac:dyDescent="0.25">
      <c r="A878" t="str">
        <f t="shared" si="13"/>
        <v/>
      </c>
      <c r="C878"/>
      <c r="D878"/>
      <c r="V878"/>
    </row>
    <row r="879" spans="1:22" x14ac:dyDescent="0.25">
      <c r="A879" t="str">
        <f t="shared" si="13"/>
        <v/>
      </c>
      <c r="C879"/>
      <c r="D879"/>
      <c r="V879"/>
    </row>
    <row r="880" spans="1:22" x14ac:dyDescent="0.25">
      <c r="A880" t="str">
        <f t="shared" si="13"/>
        <v/>
      </c>
      <c r="C880"/>
      <c r="D880"/>
      <c r="V880"/>
    </row>
    <row r="881" spans="1:22" x14ac:dyDescent="0.25">
      <c r="A881" t="str">
        <f t="shared" si="13"/>
        <v/>
      </c>
      <c r="C881"/>
      <c r="D881"/>
      <c r="V881"/>
    </row>
    <row r="882" spans="1:22" x14ac:dyDescent="0.25">
      <c r="A882" t="str">
        <f t="shared" si="13"/>
        <v/>
      </c>
      <c r="C882"/>
      <c r="D882"/>
      <c r="V882"/>
    </row>
    <row r="883" spans="1:22" x14ac:dyDescent="0.25">
      <c r="A883" t="str">
        <f t="shared" si="13"/>
        <v/>
      </c>
      <c r="C883"/>
      <c r="D883"/>
      <c r="V883"/>
    </row>
    <row r="884" spans="1:22" x14ac:dyDescent="0.25">
      <c r="A884" t="str">
        <f t="shared" si="13"/>
        <v/>
      </c>
      <c r="C884"/>
      <c r="D884"/>
      <c r="V884"/>
    </row>
    <row r="885" spans="1:22" x14ac:dyDescent="0.25">
      <c r="A885" t="str">
        <f t="shared" si="13"/>
        <v/>
      </c>
      <c r="C885"/>
      <c r="D885"/>
      <c r="V885"/>
    </row>
    <row r="886" spans="1:22" x14ac:dyDescent="0.25">
      <c r="A886" t="str">
        <f t="shared" si="13"/>
        <v/>
      </c>
      <c r="C886"/>
      <c r="D886"/>
      <c r="V886"/>
    </row>
    <row r="887" spans="1:22" x14ac:dyDescent="0.25">
      <c r="A887" t="str">
        <f t="shared" si="13"/>
        <v/>
      </c>
      <c r="C887"/>
      <c r="D887"/>
      <c r="V887"/>
    </row>
    <row r="888" spans="1:22" x14ac:dyDescent="0.25">
      <c r="A888" t="str">
        <f t="shared" si="13"/>
        <v/>
      </c>
      <c r="C888"/>
      <c r="D888"/>
      <c r="V888"/>
    </row>
    <row r="889" spans="1:22" x14ac:dyDescent="0.25">
      <c r="A889" t="str">
        <f t="shared" si="13"/>
        <v/>
      </c>
      <c r="C889"/>
      <c r="D889"/>
      <c r="V889"/>
    </row>
    <row r="890" spans="1:22" x14ac:dyDescent="0.25">
      <c r="A890" t="str">
        <f t="shared" si="13"/>
        <v/>
      </c>
      <c r="C890"/>
      <c r="D890"/>
      <c r="V890"/>
    </row>
    <row r="891" spans="1:22" x14ac:dyDescent="0.25">
      <c r="A891" t="str">
        <f t="shared" si="13"/>
        <v/>
      </c>
      <c r="C891"/>
      <c r="D891"/>
      <c r="V891"/>
    </row>
    <row r="892" spans="1:22" x14ac:dyDescent="0.25">
      <c r="A892" t="str">
        <f t="shared" si="13"/>
        <v/>
      </c>
      <c r="C892"/>
      <c r="D892"/>
      <c r="V892"/>
    </row>
    <row r="893" spans="1:22" x14ac:dyDescent="0.25">
      <c r="A893" t="str">
        <f t="shared" si="13"/>
        <v/>
      </c>
      <c r="C893"/>
      <c r="D893"/>
      <c r="V893"/>
    </row>
    <row r="894" spans="1:22" x14ac:dyDescent="0.25">
      <c r="A894" t="str">
        <f t="shared" si="13"/>
        <v/>
      </c>
      <c r="C894"/>
      <c r="D894"/>
      <c r="V894"/>
    </row>
    <row r="895" spans="1:22" x14ac:dyDescent="0.25">
      <c r="A895" t="str">
        <f t="shared" ref="A895:A958" si="14">I895&amp;M895</f>
        <v/>
      </c>
      <c r="C895"/>
      <c r="D895"/>
      <c r="V895"/>
    </row>
    <row r="896" spans="1:22" x14ac:dyDescent="0.25">
      <c r="A896" t="str">
        <f t="shared" si="14"/>
        <v/>
      </c>
      <c r="C896"/>
      <c r="D896"/>
      <c r="V896"/>
    </row>
    <row r="897" spans="1:22" x14ac:dyDescent="0.25">
      <c r="A897" t="str">
        <f t="shared" si="14"/>
        <v/>
      </c>
      <c r="C897"/>
      <c r="D897"/>
      <c r="V897"/>
    </row>
    <row r="898" spans="1:22" x14ac:dyDescent="0.25">
      <c r="A898" t="str">
        <f t="shared" si="14"/>
        <v/>
      </c>
      <c r="C898"/>
      <c r="D898"/>
      <c r="V898"/>
    </row>
    <row r="899" spans="1:22" x14ac:dyDescent="0.25">
      <c r="A899" t="str">
        <f t="shared" si="14"/>
        <v/>
      </c>
      <c r="C899"/>
      <c r="D899"/>
      <c r="V899"/>
    </row>
    <row r="900" spans="1:22" x14ac:dyDescent="0.25">
      <c r="A900" t="str">
        <f t="shared" si="14"/>
        <v/>
      </c>
      <c r="C900"/>
      <c r="D900"/>
      <c r="V900"/>
    </row>
    <row r="901" spans="1:22" x14ac:dyDescent="0.25">
      <c r="A901" t="str">
        <f t="shared" si="14"/>
        <v/>
      </c>
      <c r="C901"/>
      <c r="D901"/>
      <c r="V901"/>
    </row>
    <row r="902" spans="1:22" x14ac:dyDescent="0.25">
      <c r="A902" t="str">
        <f t="shared" si="14"/>
        <v/>
      </c>
      <c r="C902"/>
      <c r="D902"/>
      <c r="V902"/>
    </row>
    <row r="903" spans="1:22" x14ac:dyDescent="0.25">
      <c r="A903" t="str">
        <f t="shared" si="14"/>
        <v/>
      </c>
      <c r="C903"/>
      <c r="D903"/>
      <c r="V903"/>
    </row>
    <row r="904" spans="1:22" x14ac:dyDescent="0.25">
      <c r="A904" t="str">
        <f t="shared" si="14"/>
        <v/>
      </c>
      <c r="C904"/>
      <c r="D904"/>
      <c r="V904"/>
    </row>
    <row r="905" spans="1:22" x14ac:dyDescent="0.25">
      <c r="A905" t="str">
        <f t="shared" si="14"/>
        <v/>
      </c>
      <c r="C905"/>
      <c r="D905"/>
      <c r="V905"/>
    </row>
    <row r="906" spans="1:22" x14ac:dyDescent="0.25">
      <c r="A906" t="str">
        <f t="shared" si="14"/>
        <v/>
      </c>
      <c r="C906"/>
      <c r="D906"/>
      <c r="V906"/>
    </row>
    <row r="907" spans="1:22" x14ac:dyDescent="0.25">
      <c r="A907" t="str">
        <f t="shared" si="14"/>
        <v/>
      </c>
      <c r="C907"/>
      <c r="D907"/>
      <c r="V907"/>
    </row>
    <row r="908" spans="1:22" x14ac:dyDescent="0.25">
      <c r="A908" t="str">
        <f t="shared" si="14"/>
        <v/>
      </c>
      <c r="C908"/>
      <c r="D908"/>
      <c r="V908"/>
    </row>
    <row r="909" spans="1:22" x14ac:dyDescent="0.25">
      <c r="A909" t="str">
        <f t="shared" si="14"/>
        <v/>
      </c>
      <c r="C909"/>
      <c r="D909"/>
      <c r="V909"/>
    </row>
    <row r="910" spans="1:22" x14ac:dyDescent="0.25">
      <c r="A910" t="str">
        <f t="shared" si="14"/>
        <v/>
      </c>
      <c r="C910"/>
      <c r="D910"/>
      <c r="V910"/>
    </row>
    <row r="911" spans="1:22" x14ac:dyDescent="0.25">
      <c r="A911" t="str">
        <f t="shared" si="14"/>
        <v/>
      </c>
      <c r="C911"/>
      <c r="D911"/>
      <c r="V911"/>
    </row>
    <row r="912" spans="1:22" x14ac:dyDescent="0.25">
      <c r="A912" t="str">
        <f t="shared" si="14"/>
        <v/>
      </c>
      <c r="C912"/>
      <c r="D912"/>
      <c r="V912"/>
    </row>
    <row r="913" spans="1:22" x14ac:dyDescent="0.25">
      <c r="A913" t="str">
        <f t="shared" si="14"/>
        <v/>
      </c>
      <c r="C913"/>
      <c r="D913"/>
      <c r="V913"/>
    </row>
    <row r="914" spans="1:22" x14ac:dyDescent="0.25">
      <c r="A914" t="str">
        <f t="shared" si="14"/>
        <v/>
      </c>
      <c r="C914"/>
      <c r="D914"/>
      <c r="V914"/>
    </row>
    <row r="915" spans="1:22" x14ac:dyDescent="0.25">
      <c r="A915" t="str">
        <f t="shared" si="14"/>
        <v/>
      </c>
      <c r="C915"/>
      <c r="D915"/>
      <c r="V915"/>
    </row>
    <row r="916" spans="1:22" x14ac:dyDescent="0.25">
      <c r="A916" t="str">
        <f t="shared" si="14"/>
        <v/>
      </c>
      <c r="C916"/>
      <c r="D916"/>
      <c r="V916"/>
    </row>
    <row r="917" spans="1:22" x14ac:dyDescent="0.25">
      <c r="A917" t="str">
        <f t="shared" si="14"/>
        <v/>
      </c>
      <c r="C917"/>
      <c r="D917"/>
      <c r="V917"/>
    </row>
    <row r="918" spans="1:22" x14ac:dyDescent="0.25">
      <c r="A918" t="str">
        <f t="shared" si="14"/>
        <v/>
      </c>
      <c r="C918"/>
      <c r="D918"/>
      <c r="V918"/>
    </row>
    <row r="919" spans="1:22" x14ac:dyDescent="0.25">
      <c r="A919" t="str">
        <f t="shared" si="14"/>
        <v/>
      </c>
      <c r="C919"/>
      <c r="D919"/>
      <c r="V919"/>
    </row>
    <row r="920" spans="1:22" x14ac:dyDescent="0.25">
      <c r="A920" t="str">
        <f t="shared" si="14"/>
        <v/>
      </c>
      <c r="C920"/>
      <c r="D920"/>
      <c r="V920"/>
    </row>
    <row r="921" spans="1:22" x14ac:dyDescent="0.25">
      <c r="A921" t="str">
        <f t="shared" si="14"/>
        <v/>
      </c>
      <c r="C921"/>
      <c r="D921"/>
      <c r="V921"/>
    </row>
    <row r="922" spans="1:22" x14ac:dyDescent="0.25">
      <c r="A922" t="str">
        <f t="shared" si="14"/>
        <v/>
      </c>
      <c r="C922"/>
      <c r="D922"/>
      <c r="V922"/>
    </row>
    <row r="923" spans="1:22" x14ac:dyDescent="0.25">
      <c r="A923" t="str">
        <f t="shared" si="14"/>
        <v/>
      </c>
      <c r="C923"/>
      <c r="D923"/>
      <c r="V923"/>
    </row>
    <row r="924" spans="1:22" x14ac:dyDescent="0.25">
      <c r="A924" t="str">
        <f t="shared" si="14"/>
        <v/>
      </c>
      <c r="C924"/>
      <c r="D924"/>
      <c r="V924"/>
    </row>
    <row r="925" spans="1:22" x14ac:dyDescent="0.25">
      <c r="A925" t="str">
        <f t="shared" si="14"/>
        <v/>
      </c>
      <c r="C925"/>
      <c r="D925"/>
      <c r="V925"/>
    </row>
    <row r="926" spans="1:22" x14ac:dyDescent="0.25">
      <c r="A926" t="str">
        <f t="shared" si="14"/>
        <v/>
      </c>
      <c r="C926"/>
      <c r="D926"/>
      <c r="V926"/>
    </row>
    <row r="927" spans="1:22" x14ac:dyDescent="0.25">
      <c r="A927" t="str">
        <f t="shared" si="14"/>
        <v/>
      </c>
      <c r="C927"/>
      <c r="D927"/>
      <c r="V927"/>
    </row>
    <row r="928" spans="1:22" x14ac:dyDescent="0.25">
      <c r="A928" t="str">
        <f t="shared" si="14"/>
        <v/>
      </c>
      <c r="C928"/>
      <c r="D928"/>
      <c r="V928"/>
    </row>
    <row r="929" spans="1:22" x14ac:dyDescent="0.25">
      <c r="A929" t="str">
        <f t="shared" si="14"/>
        <v/>
      </c>
      <c r="C929"/>
      <c r="D929"/>
      <c r="V929"/>
    </row>
    <row r="930" spans="1:22" x14ac:dyDescent="0.25">
      <c r="A930" t="str">
        <f t="shared" si="14"/>
        <v/>
      </c>
      <c r="C930"/>
      <c r="D930"/>
      <c r="V930"/>
    </row>
    <row r="931" spans="1:22" x14ac:dyDescent="0.25">
      <c r="A931" t="str">
        <f t="shared" si="14"/>
        <v/>
      </c>
      <c r="C931"/>
      <c r="D931"/>
      <c r="V931"/>
    </row>
    <row r="932" spans="1:22" x14ac:dyDescent="0.25">
      <c r="A932" t="str">
        <f t="shared" si="14"/>
        <v/>
      </c>
      <c r="C932"/>
      <c r="D932"/>
      <c r="V932"/>
    </row>
    <row r="933" spans="1:22" x14ac:dyDescent="0.25">
      <c r="A933" t="str">
        <f t="shared" si="14"/>
        <v/>
      </c>
      <c r="C933"/>
      <c r="D933"/>
      <c r="V933"/>
    </row>
    <row r="934" spans="1:22" x14ac:dyDescent="0.25">
      <c r="A934" t="str">
        <f t="shared" si="14"/>
        <v/>
      </c>
      <c r="C934"/>
      <c r="D934"/>
      <c r="V934"/>
    </row>
    <row r="935" spans="1:22" x14ac:dyDescent="0.25">
      <c r="A935" t="str">
        <f t="shared" si="14"/>
        <v/>
      </c>
      <c r="C935"/>
      <c r="D935"/>
      <c r="V935"/>
    </row>
    <row r="936" spans="1:22" x14ac:dyDescent="0.25">
      <c r="A936" t="str">
        <f t="shared" si="14"/>
        <v/>
      </c>
      <c r="C936"/>
      <c r="D936"/>
      <c r="V936"/>
    </row>
    <row r="937" spans="1:22" x14ac:dyDescent="0.25">
      <c r="A937" t="str">
        <f t="shared" si="14"/>
        <v/>
      </c>
      <c r="C937"/>
      <c r="D937"/>
      <c r="V937"/>
    </row>
    <row r="938" spans="1:22" x14ac:dyDescent="0.25">
      <c r="A938" t="str">
        <f t="shared" si="14"/>
        <v/>
      </c>
      <c r="C938"/>
      <c r="D938"/>
      <c r="V938"/>
    </row>
    <row r="939" spans="1:22" x14ac:dyDescent="0.25">
      <c r="A939" t="str">
        <f t="shared" si="14"/>
        <v/>
      </c>
      <c r="C939"/>
      <c r="D939"/>
      <c r="V939"/>
    </row>
    <row r="940" spans="1:22" x14ac:dyDescent="0.25">
      <c r="A940" t="str">
        <f t="shared" si="14"/>
        <v/>
      </c>
      <c r="C940"/>
      <c r="D940"/>
      <c r="V940"/>
    </row>
    <row r="941" spans="1:22" x14ac:dyDescent="0.25">
      <c r="A941" t="str">
        <f t="shared" si="14"/>
        <v/>
      </c>
      <c r="C941"/>
      <c r="D941"/>
      <c r="V941"/>
    </row>
    <row r="942" spans="1:22" x14ac:dyDescent="0.25">
      <c r="A942" t="str">
        <f t="shared" si="14"/>
        <v/>
      </c>
      <c r="C942"/>
      <c r="D942"/>
      <c r="V942"/>
    </row>
    <row r="943" spans="1:22" x14ac:dyDescent="0.25">
      <c r="A943" t="str">
        <f t="shared" si="14"/>
        <v/>
      </c>
      <c r="C943"/>
      <c r="D943"/>
      <c r="V943"/>
    </row>
    <row r="944" spans="1:22" x14ac:dyDescent="0.25">
      <c r="A944" t="str">
        <f t="shared" si="14"/>
        <v/>
      </c>
      <c r="C944"/>
      <c r="D944"/>
      <c r="V944"/>
    </row>
    <row r="945" spans="1:22" x14ac:dyDescent="0.25">
      <c r="A945" t="str">
        <f t="shared" si="14"/>
        <v/>
      </c>
      <c r="C945"/>
      <c r="D945"/>
      <c r="V945"/>
    </row>
    <row r="946" spans="1:22" x14ac:dyDescent="0.25">
      <c r="A946" t="str">
        <f t="shared" si="14"/>
        <v/>
      </c>
      <c r="C946"/>
      <c r="D946"/>
      <c r="V946"/>
    </row>
    <row r="947" spans="1:22" x14ac:dyDescent="0.25">
      <c r="A947" t="str">
        <f t="shared" si="14"/>
        <v/>
      </c>
      <c r="C947"/>
      <c r="D947"/>
      <c r="V947"/>
    </row>
    <row r="948" spans="1:22" x14ac:dyDescent="0.25">
      <c r="A948" t="str">
        <f t="shared" si="14"/>
        <v/>
      </c>
      <c r="C948"/>
      <c r="D948"/>
      <c r="V948"/>
    </row>
    <row r="949" spans="1:22" x14ac:dyDescent="0.25">
      <c r="A949" t="str">
        <f t="shared" si="14"/>
        <v/>
      </c>
      <c r="C949"/>
      <c r="D949"/>
      <c r="V949"/>
    </row>
    <row r="950" spans="1:22" x14ac:dyDescent="0.25">
      <c r="A950" t="str">
        <f t="shared" si="14"/>
        <v/>
      </c>
      <c r="C950"/>
      <c r="D950"/>
      <c r="V950"/>
    </row>
    <row r="951" spans="1:22" x14ac:dyDescent="0.25">
      <c r="A951" t="str">
        <f t="shared" si="14"/>
        <v/>
      </c>
      <c r="C951"/>
      <c r="D951"/>
      <c r="V951"/>
    </row>
    <row r="952" spans="1:22" x14ac:dyDescent="0.25">
      <c r="A952" t="str">
        <f t="shared" si="14"/>
        <v/>
      </c>
      <c r="C952"/>
      <c r="D952"/>
      <c r="V952"/>
    </row>
    <row r="953" spans="1:22" x14ac:dyDescent="0.25">
      <c r="A953" t="str">
        <f t="shared" si="14"/>
        <v/>
      </c>
      <c r="C953"/>
      <c r="D953"/>
      <c r="V953"/>
    </row>
    <row r="954" spans="1:22" x14ac:dyDescent="0.25">
      <c r="A954" t="str">
        <f t="shared" si="14"/>
        <v/>
      </c>
      <c r="C954"/>
      <c r="D954"/>
      <c r="V954"/>
    </row>
    <row r="955" spans="1:22" x14ac:dyDescent="0.25">
      <c r="A955" t="str">
        <f t="shared" si="14"/>
        <v/>
      </c>
      <c r="C955"/>
      <c r="D955"/>
      <c r="V955"/>
    </row>
    <row r="956" spans="1:22" x14ac:dyDescent="0.25">
      <c r="A956" t="str">
        <f t="shared" si="14"/>
        <v/>
      </c>
      <c r="C956"/>
      <c r="D956"/>
      <c r="V956"/>
    </row>
    <row r="957" spans="1:22" x14ac:dyDescent="0.25">
      <c r="A957" t="str">
        <f t="shared" si="14"/>
        <v/>
      </c>
      <c r="C957"/>
      <c r="D957"/>
      <c r="V957"/>
    </row>
    <row r="958" spans="1:22" x14ac:dyDescent="0.25">
      <c r="A958" t="str">
        <f t="shared" si="14"/>
        <v/>
      </c>
      <c r="C958"/>
      <c r="D958"/>
      <c r="V958"/>
    </row>
    <row r="959" spans="1:22" x14ac:dyDescent="0.25">
      <c r="A959" t="str">
        <f t="shared" ref="A959:A1022" si="15">I959&amp;M959</f>
        <v/>
      </c>
      <c r="C959"/>
      <c r="D959"/>
      <c r="V959"/>
    </row>
    <row r="960" spans="1:22" x14ac:dyDescent="0.25">
      <c r="A960" t="str">
        <f t="shared" si="15"/>
        <v/>
      </c>
      <c r="C960"/>
      <c r="D960"/>
      <c r="V960"/>
    </row>
    <row r="961" spans="1:22" x14ac:dyDescent="0.25">
      <c r="A961" t="str">
        <f t="shared" si="15"/>
        <v/>
      </c>
      <c r="C961"/>
      <c r="D961"/>
      <c r="V961"/>
    </row>
    <row r="962" spans="1:22" x14ac:dyDescent="0.25">
      <c r="A962" t="str">
        <f t="shared" si="15"/>
        <v/>
      </c>
      <c r="C962"/>
      <c r="D962"/>
      <c r="V962"/>
    </row>
    <row r="963" spans="1:22" x14ac:dyDescent="0.25">
      <c r="A963" t="str">
        <f t="shared" si="15"/>
        <v/>
      </c>
      <c r="C963"/>
      <c r="D963"/>
      <c r="V963"/>
    </row>
    <row r="964" spans="1:22" x14ac:dyDescent="0.25">
      <c r="A964" t="str">
        <f t="shared" si="15"/>
        <v/>
      </c>
      <c r="C964"/>
      <c r="D964"/>
      <c r="V964"/>
    </row>
    <row r="965" spans="1:22" x14ac:dyDescent="0.25">
      <c r="A965" t="str">
        <f t="shared" si="15"/>
        <v/>
      </c>
      <c r="C965"/>
      <c r="D965"/>
      <c r="V965"/>
    </row>
    <row r="966" spans="1:22" x14ac:dyDescent="0.25">
      <c r="A966" t="str">
        <f t="shared" si="15"/>
        <v/>
      </c>
      <c r="C966"/>
      <c r="D966"/>
      <c r="V966"/>
    </row>
    <row r="967" spans="1:22" x14ac:dyDescent="0.25">
      <c r="A967" t="str">
        <f t="shared" si="15"/>
        <v/>
      </c>
      <c r="C967"/>
      <c r="D967"/>
      <c r="V967"/>
    </row>
    <row r="968" spans="1:22" x14ac:dyDescent="0.25">
      <c r="A968" t="str">
        <f t="shared" si="15"/>
        <v/>
      </c>
      <c r="C968"/>
      <c r="D968"/>
      <c r="V968"/>
    </row>
    <row r="969" spans="1:22" x14ac:dyDescent="0.25">
      <c r="A969" t="str">
        <f t="shared" si="15"/>
        <v/>
      </c>
      <c r="C969"/>
      <c r="D969"/>
      <c r="V969"/>
    </row>
    <row r="970" spans="1:22" x14ac:dyDescent="0.25">
      <c r="A970" t="str">
        <f t="shared" si="15"/>
        <v/>
      </c>
      <c r="C970"/>
      <c r="D970"/>
      <c r="V970"/>
    </row>
    <row r="971" spans="1:22" x14ac:dyDescent="0.25">
      <c r="A971" t="str">
        <f t="shared" si="15"/>
        <v/>
      </c>
      <c r="C971"/>
      <c r="D971"/>
      <c r="V971"/>
    </row>
    <row r="972" spans="1:22" x14ac:dyDescent="0.25">
      <c r="A972" t="str">
        <f t="shared" si="15"/>
        <v/>
      </c>
      <c r="C972"/>
      <c r="D972"/>
      <c r="V972"/>
    </row>
    <row r="973" spans="1:22" x14ac:dyDescent="0.25">
      <c r="A973" t="str">
        <f t="shared" si="15"/>
        <v/>
      </c>
      <c r="C973"/>
      <c r="D973"/>
      <c r="V973"/>
    </row>
    <row r="974" spans="1:22" x14ac:dyDescent="0.25">
      <c r="A974" t="str">
        <f t="shared" si="15"/>
        <v/>
      </c>
      <c r="C974"/>
      <c r="D974"/>
      <c r="V974"/>
    </row>
    <row r="975" spans="1:22" x14ac:dyDescent="0.25">
      <c r="A975" t="str">
        <f t="shared" si="15"/>
        <v/>
      </c>
      <c r="C975"/>
      <c r="D975"/>
      <c r="V975"/>
    </row>
    <row r="976" spans="1:22" x14ac:dyDescent="0.25">
      <c r="A976" t="str">
        <f t="shared" si="15"/>
        <v/>
      </c>
      <c r="C976"/>
      <c r="D976"/>
      <c r="V976"/>
    </row>
    <row r="977" spans="1:22" x14ac:dyDescent="0.25">
      <c r="A977" t="str">
        <f t="shared" si="15"/>
        <v/>
      </c>
      <c r="C977"/>
      <c r="D977"/>
      <c r="V977"/>
    </row>
    <row r="978" spans="1:22" x14ac:dyDescent="0.25">
      <c r="A978" t="str">
        <f t="shared" si="15"/>
        <v/>
      </c>
      <c r="C978"/>
      <c r="D978"/>
      <c r="V978"/>
    </row>
    <row r="979" spans="1:22" x14ac:dyDescent="0.25">
      <c r="A979" t="str">
        <f t="shared" si="15"/>
        <v/>
      </c>
      <c r="C979"/>
      <c r="D979"/>
      <c r="V979"/>
    </row>
    <row r="980" spans="1:22" x14ac:dyDescent="0.25">
      <c r="A980" t="str">
        <f t="shared" si="15"/>
        <v/>
      </c>
      <c r="C980"/>
      <c r="D980"/>
      <c r="V980"/>
    </row>
    <row r="981" spans="1:22" x14ac:dyDescent="0.25">
      <c r="A981" t="str">
        <f t="shared" si="15"/>
        <v/>
      </c>
      <c r="C981"/>
      <c r="D981"/>
      <c r="V981"/>
    </row>
    <row r="982" spans="1:22" x14ac:dyDescent="0.25">
      <c r="A982" t="str">
        <f t="shared" si="15"/>
        <v/>
      </c>
      <c r="C982"/>
      <c r="D982"/>
      <c r="V982"/>
    </row>
    <row r="983" spans="1:22" x14ac:dyDescent="0.25">
      <c r="A983" t="str">
        <f t="shared" si="15"/>
        <v/>
      </c>
      <c r="C983"/>
      <c r="D983"/>
      <c r="V983"/>
    </row>
    <row r="984" spans="1:22" x14ac:dyDescent="0.25">
      <c r="A984" t="str">
        <f t="shared" si="15"/>
        <v/>
      </c>
      <c r="C984"/>
      <c r="D984"/>
      <c r="V984"/>
    </row>
    <row r="985" spans="1:22" x14ac:dyDescent="0.25">
      <c r="A985" t="str">
        <f t="shared" si="15"/>
        <v/>
      </c>
      <c r="C985"/>
      <c r="D985"/>
      <c r="V985"/>
    </row>
    <row r="986" spans="1:22" x14ac:dyDescent="0.25">
      <c r="A986" t="str">
        <f t="shared" si="15"/>
        <v/>
      </c>
      <c r="C986"/>
      <c r="D986"/>
      <c r="V986"/>
    </row>
    <row r="987" spans="1:22" x14ac:dyDescent="0.25">
      <c r="A987" t="str">
        <f t="shared" si="15"/>
        <v/>
      </c>
      <c r="C987"/>
      <c r="D987"/>
      <c r="V987"/>
    </row>
    <row r="988" spans="1:22" x14ac:dyDescent="0.25">
      <c r="A988" t="str">
        <f t="shared" si="15"/>
        <v/>
      </c>
      <c r="C988"/>
      <c r="D988"/>
      <c r="V988"/>
    </row>
    <row r="989" spans="1:22" x14ac:dyDescent="0.25">
      <c r="A989" t="str">
        <f t="shared" si="15"/>
        <v/>
      </c>
      <c r="C989"/>
      <c r="D989"/>
      <c r="V989"/>
    </row>
    <row r="990" spans="1:22" x14ac:dyDescent="0.25">
      <c r="A990" t="str">
        <f t="shared" si="15"/>
        <v/>
      </c>
      <c r="C990"/>
      <c r="D990"/>
      <c r="V990"/>
    </row>
    <row r="991" spans="1:22" x14ac:dyDescent="0.25">
      <c r="A991" t="str">
        <f t="shared" si="15"/>
        <v/>
      </c>
      <c r="C991"/>
      <c r="D991"/>
      <c r="V991"/>
    </row>
    <row r="992" spans="1:22" x14ac:dyDescent="0.25">
      <c r="A992" t="str">
        <f t="shared" si="15"/>
        <v/>
      </c>
      <c r="C992"/>
      <c r="D992"/>
      <c r="V992"/>
    </row>
    <row r="993" spans="1:22" x14ac:dyDescent="0.25">
      <c r="A993" t="str">
        <f t="shared" si="15"/>
        <v/>
      </c>
      <c r="C993"/>
      <c r="D993"/>
      <c r="V993"/>
    </row>
    <row r="994" spans="1:22" x14ac:dyDescent="0.25">
      <c r="A994" t="str">
        <f t="shared" si="15"/>
        <v/>
      </c>
      <c r="C994"/>
      <c r="D994"/>
      <c r="V994"/>
    </row>
    <row r="995" spans="1:22" x14ac:dyDescent="0.25">
      <c r="A995" t="str">
        <f t="shared" si="15"/>
        <v/>
      </c>
      <c r="C995"/>
      <c r="D995"/>
      <c r="V995"/>
    </row>
    <row r="996" spans="1:22" x14ac:dyDescent="0.25">
      <c r="A996" t="str">
        <f t="shared" si="15"/>
        <v/>
      </c>
      <c r="C996"/>
      <c r="D996"/>
      <c r="V996"/>
    </row>
    <row r="997" spans="1:22" x14ac:dyDescent="0.25">
      <c r="A997" t="str">
        <f t="shared" si="15"/>
        <v/>
      </c>
      <c r="C997"/>
      <c r="D997"/>
      <c r="V997"/>
    </row>
    <row r="998" spans="1:22" x14ac:dyDescent="0.25">
      <c r="A998" t="str">
        <f t="shared" si="15"/>
        <v/>
      </c>
      <c r="C998"/>
      <c r="D998"/>
      <c r="V998"/>
    </row>
    <row r="999" spans="1:22" x14ac:dyDescent="0.25">
      <c r="A999" t="str">
        <f t="shared" si="15"/>
        <v/>
      </c>
      <c r="C999"/>
      <c r="D999"/>
      <c r="V999"/>
    </row>
    <row r="1000" spans="1:22" x14ac:dyDescent="0.25">
      <c r="A1000" t="str">
        <f t="shared" si="15"/>
        <v/>
      </c>
      <c r="C1000"/>
      <c r="D1000"/>
      <c r="V1000"/>
    </row>
    <row r="1001" spans="1:22" x14ac:dyDescent="0.25">
      <c r="A1001" t="str">
        <f t="shared" si="15"/>
        <v/>
      </c>
      <c r="C1001"/>
      <c r="D1001"/>
      <c r="V1001"/>
    </row>
    <row r="1002" spans="1:22" x14ac:dyDescent="0.25">
      <c r="A1002" t="str">
        <f t="shared" si="15"/>
        <v/>
      </c>
      <c r="C1002"/>
      <c r="D1002"/>
      <c r="V1002"/>
    </row>
    <row r="1003" spans="1:22" x14ac:dyDescent="0.25">
      <c r="A1003" t="str">
        <f t="shared" si="15"/>
        <v/>
      </c>
      <c r="C1003"/>
      <c r="D1003"/>
      <c r="V1003"/>
    </row>
    <row r="1004" spans="1:22" x14ac:dyDescent="0.25">
      <c r="A1004" t="str">
        <f t="shared" si="15"/>
        <v/>
      </c>
      <c r="C1004"/>
      <c r="D1004"/>
      <c r="V1004"/>
    </row>
    <row r="1005" spans="1:22" x14ac:dyDescent="0.25">
      <c r="A1005" t="str">
        <f t="shared" si="15"/>
        <v/>
      </c>
      <c r="C1005"/>
      <c r="D1005"/>
      <c r="V1005"/>
    </row>
    <row r="1006" spans="1:22" x14ac:dyDescent="0.25">
      <c r="A1006" t="str">
        <f t="shared" si="15"/>
        <v/>
      </c>
      <c r="C1006"/>
      <c r="D1006"/>
      <c r="V1006"/>
    </row>
    <row r="1007" spans="1:22" x14ac:dyDescent="0.25">
      <c r="A1007" t="str">
        <f t="shared" si="15"/>
        <v/>
      </c>
      <c r="C1007"/>
      <c r="D1007"/>
      <c r="V1007"/>
    </row>
    <row r="1008" spans="1:22" x14ac:dyDescent="0.25">
      <c r="A1008" t="str">
        <f t="shared" si="15"/>
        <v/>
      </c>
      <c r="C1008"/>
      <c r="D1008"/>
      <c r="V1008"/>
    </row>
    <row r="1009" spans="1:22" x14ac:dyDescent="0.25">
      <c r="A1009" t="str">
        <f t="shared" si="15"/>
        <v/>
      </c>
      <c r="C1009"/>
      <c r="D1009"/>
      <c r="V1009"/>
    </row>
    <row r="1010" spans="1:22" x14ac:dyDescent="0.25">
      <c r="A1010" t="str">
        <f t="shared" si="15"/>
        <v/>
      </c>
      <c r="C1010"/>
      <c r="D1010"/>
      <c r="V1010"/>
    </row>
    <row r="1011" spans="1:22" x14ac:dyDescent="0.25">
      <c r="A1011" t="str">
        <f t="shared" si="15"/>
        <v/>
      </c>
      <c r="C1011"/>
      <c r="D1011"/>
      <c r="V1011"/>
    </row>
    <row r="1012" spans="1:22" x14ac:dyDescent="0.25">
      <c r="A1012" t="str">
        <f t="shared" si="15"/>
        <v/>
      </c>
      <c r="C1012"/>
      <c r="D1012"/>
      <c r="V1012"/>
    </row>
    <row r="1013" spans="1:22" x14ac:dyDescent="0.25">
      <c r="A1013" t="str">
        <f t="shared" si="15"/>
        <v/>
      </c>
      <c r="C1013"/>
      <c r="D1013"/>
      <c r="V1013"/>
    </row>
    <row r="1014" spans="1:22" x14ac:dyDescent="0.25">
      <c r="A1014" t="str">
        <f t="shared" si="15"/>
        <v/>
      </c>
      <c r="C1014"/>
      <c r="D1014"/>
      <c r="V1014"/>
    </row>
    <row r="1015" spans="1:22" x14ac:dyDescent="0.25">
      <c r="A1015" t="str">
        <f t="shared" si="15"/>
        <v/>
      </c>
      <c r="C1015"/>
      <c r="D1015"/>
      <c r="V1015"/>
    </row>
    <row r="1016" spans="1:22" x14ac:dyDescent="0.25">
      <c r="A1016" t="str">
        <f t="shared" si="15"/>
        <v/>
      </c>
      <c r="C1016"/>
      <c r="D1016"/>
      <c r="V1016"/>
    </row>
    <row r="1017" spans="1:22" x14ac:dyDescent="0.25">
      <c r="A1017" t="str">
        <f t="shared" si="15"/>
        <v/>
      </c>
      <c r="C1017"/>
      <c r="D1017"/>
      <c r="V1017"/>
    </row>
    <row r="1018" spans="1:22" x14ac:dyDescent="0.25">
      <c r="A1018" t="str">
        <f t="shared" si="15"/>
        <v/>
      </c>
      <c r="C1018"/>
      <c r="D1018"/>
      <c r="V1018"/>
    </row>
    <row r="1019" spans="1:22" x14ac:dyDescent="0.25">
      <c r="A1019" t="str">
        <f t="shared" si="15"/>
        <v/>
      </c>
      <c r="C1019"/>
      <c r="D1019"/>
      <c r="V1019"/>
    </row>
    <row r="1020" spans="1:22" x14ac:dyDescent="0.25">
      <c r="A1020" t="str">
        <f t="shared" si="15"/>
        <v/>
      </c>
      <c r="C1020"/>
      <c r="D1020"/>
      <c r="V1020"/>
    </row>
    <row r="1021" spans="1:22" x14ac:dyDescent="0.25">
      <c r="A1021" t="str">
        <f t="shared" si="15"/>
        <v/>
      </c>
      <c r="C1021"/>
      <c r="D1021"/>
      <c r="V1021"/>
    </row>
    <row r="1022" spans="1:22" x14ac:dyDescent="0.25">
      <c r="A1022" t="str">
        <f t="shared" si="15"/>
        <v/>
      </c>
      <c r="C1022"/>
      <c r="D1022"/>
      <c r="V1022"/>
    </row>
    <row r="1023" spans="1:22" x14ac:dyDescent="0.25">
      <c r="A1023" t="str">
        <f t="shared" ref="A1023:A1086" si="16">I1023&amp;M1023</f>
        <v/>
      </c>
      <c r="C1023"/>
      <c r="D1023"/>
      <c r="V1023"/>
    </row>
    <row r="1024" spans="1:22" x14ac:dyDescent="0.25">
      <c r="A1024" t="str">
        <f t="shared" si="16"/>
        <v/>
      </c>
      <c r="C1024"/>
      <c r="D1024"/>
      <c r="V1024"/>
    </row>
    <row r="1025" spans="1:22" x14ac:dyDescent="0.25">
      <c r="A1025" t="str">
        <f t="shared" si="16"/>
        <v/>
      </c>
      <c r="C1025"/>
      <c r="D1025"/>
      <c r="V1025"/>
    </row>
    <row r="1026" spans="1:22" x14ac:dyDescent="0.25">
      <c r="A1026" t="str">
        <f t="shared" si="16"/>
        <v/>
      </c>
      <c r="C1026"/>
      <c r="D1026"/>
      <c r="V1026"/>
    </row>
    <row r="1027" spans="1:22" x14ac:dyDescent="0.25">
      <c r="A1027" t="str">
        <f t="shared" si="16"/>
        <v/>
      </c>
      <c r="C1027"/>
      <c r="D1027"/>
      <c r="V1027"/>
    </row>
    <row r="1028" spans="1:22" x14ac:dyDescent="0.25">
      <c r="A1028" t="str">
        <f t="shared" si="16"/>
        <v/>
      </c>
      <c r="C1028"/>
      <c r="D1028"/>
      <c r="V1028"/>
    </row>
    <row r="1029" spans="1:22" x14ac:dyDescent="0.25">
      <c r="A1029" t="str">
        <f t="shared" si="16"/>
        <v/>
      </c>
      <c r="C1029"/>
      <c r="D1029"/>
      <c r="V1029"/>
    </row>
    <row r="1030" spans="1:22" x14ac:dyDescent="0.25">
      <c r="A1030" t="str">
        <f t="shared" si="16"/>
        <v/>
      </c>
      <c r="C1030"/>
      <c r="D1030"/>
      <c r="V1030"/>
    </row>
    <row r="1031" spans="1:22" x14ac:dyDescent="0.25">
      <c r="A1031" t="str">
        <f t="shared" si="16"/>
        <v/>
      </c>
      <c r="C1031"/>
      <c r="D1031"/>
      <c r="V1031"/>
    </row>
    <row r="1032" spans="1:22" x14ac:dyDescent="0.25">
      <c r="A1032" t="str">
        <f t="shared" si="16"/>
        <v/>
      </c>
      <c r="C1032"/>
      <c r="D1032"/>
      <c r="V1032"/>
    </row>
    <row r="1033" spans="1:22" x14ac:dyDescent="0.25">
      <c r="A1033" t="str">
        <f t="shared" si="16"/>
        <v/>
      </c>
      <c r="C1033"/>
      <c r="D1033"/>
      <c r="V1033"/>
    </row>
    <row r="1034" spans="1:22" x14ac:dyDescent="0.25">
      <c r="A1034" t="str">
        <f t="shared" si="16"/>
        <v/>
      </c>
      <c r="C1034"/>
      <c r="D1034"/>
      <c r="V1034"/>
    </row>
    <row r="1035" spans="1:22" x14ac:dyDescent="0.25">
      <c r="A1035" t="str">
        <f t="shared" si="16"/>
        <v/>
      </c>
      <c r="C1035"/>
      <c r="D1035"/>
      <c r="V1035"/>
    </row>
    <row r="1036" spans="1:22" x14ac:dyDescent="0.25">
      <c r="A1036" t="str">
        <f t="shared" si="16"/>
        <v/>
      </c>
      <c r="C1036"/>
      <c r="D1036"/>
      <c r="V1036"/>
    </row>
    <row r="1037" spans="1:22" x14ac:dyDescent="0.25">
      <c r="A1037" t="str">
        <f t="shared" si="16"/>
        <v/>
      </c>
      <c r="C1037"/>
      <c r="D1037"/>
      <c r="V1037"/>
    </row>
    <row r="1038" spans="1:22" x14ac:dyDescent="0.25">
      <c r="A1038" t="str">
        <f t="shared" si="16"/>
        <v/>
      </c>
      <c r="C1038"/>
      <c r="D1038"/>
      <c r="V1038"/>
    </row>
    <row r="1039" spans="1:22" x14ac:dyDescent="0.25">
      <c r="A1039" t="str">
        <f t="shared" si="16"/>
        <v/>
      </c>
      <c r="C1039"/>
      <c r="D1039"/>
      <c r="V1039"/>
    </row>
    <row r="1040" spans="1:22" x14ac:dyDescent="0.25">
      <c r="A1040" t="str">
        <f t="shared" si="16"/>
        <v/>
      </c>
      <c r="C1040"/>
      <c r="D1040"/>
      <c r="V1040"/>
    </row>
    <row r="1041" spans="1:22" x14ac:dyDescent="0.25">
      <c r="A1041" t="str">
        <f t="shared" si="16"/>
        <v/>
      </c>
      <c r="C1041"/>
      <c r="D1041"/>
      <c r="V1041"/>
    </row>
    <row r="1042" spans="1:22" x14ac:dyDescent="0.25">
      <c r="A1042" t="str">
        <f t="shared" si="16"/>
        <v/>
      </c>
      <c r="C1042"/>
      <c r="D1042"/>
      <c r="V1042"/>
    </row>
    <row r="1043" spans="1:22" x14ac:dyDescent="0.25">
      <c r="A1043" t="str">
        <f t="shared" si="16"/>
        <v/>
      </c>
      <c r="C1043"/>
      <c r="D1043"/>
      <c r="V1043"/>
    </row>
    <row r="1044" spans="1:22" x14ac:dyDescent="0.25">
      <c r="A1044" t="str">
        <f t="shared" si="16"/>
        <v/>
      </c>
      <c r="C1044"/>
      <c r="D1044"/>
      <c r="V1044"/>
    </row>
    <row r="1045" spans="1:22" x14ac:dyDescent="0.25">
      <c r="A1045" t="str">
        <f t="shared" si="16"/>
        <v/>
      </c>
      <c r="C1045"/>
      <c r="D1045"/>
      <c r="V1045"/>
    </row>
    <row r="1046" spans="1:22" x14ac:dyDescent="0.25">
      <c r="A1046" t="str">
        <f t="shared" si="16"/>
        <v/>
      </c>
      <c r="C1046"/>
      <c r="D1046"/>
      <c r="V1046"/>
    </row>
    <row r="1047" spans="1:22" x14ac:dyDescent="0.25">
      <c r="A1047" t="str">
        <f t="shared" si="16"/>
        <v/>
      </c>
      <c r="C1047"/>
      <c r="D1047"/>
      <c r="V1047"/>
    </row>
    <row r="1048" spans="1:22" x14ac:dyDescent="0.25">
      <c r="A1048" t="str">
        <f t="shared" si="16"/>
        <v/>
      </c>
      <c r="C1048"/>
      <c r="D1048"/>
      <c r="V1048"/>
    </row>
    <row r="1049" spans="1:22" x14ac:dyDescent="0.25">
      <c r="A1049" t="str">
        <f t="shared" si="16"/>
        <v/>
      </c>
      <c r="C1049"/>
      <c r="D1049"/>
      <c r="V1049"/>
    </row>
    <row r="1050" spans="1:22" x14ac:dyDescent="0.25">
      <c r="A1050" t="str">
        <f t="shared" si="16"/>
        <v/>
      </c>
      <c r="C1050"/>
      <c r="D1050"/>
      <c r="V1050"/>
    </row>
    <row r="1051" spans="1:22" x14ac:dyDescent="0.25">
      <c r="A1051" t="str">
        <f t="shared" si="16"/>
        <v/>
      </c>
      <c r="C1051"/>
      <c r="D1051"/>
      <c r="V1051"/>
    </row>
    <row r="1052" spans="1:22" x14ac:dyDescent="0.25">
      <c r="A1052" t="str">
        <f t="shared" si="16"/>
        <v/>
      </c>
      <c r="C1052"/>
      <c r="D1052"/>
      <c r="V1052"/>
    </row>
    <row r="1053" spans="1:22" x14ac:dyDescent="0.25">
      <c r="A1053" t="str">
        <f t="shared" si="16"/>
        <v/>
      </c>
      <c r="C1053"/>
      <c r="D1053"/>
      <c r="V1053"/>
    </row>
    <row r="1054" spans="1:22" x14ac:dyDescent="0.25">
      <c r="A1054" t="str">
        <f t="shared" si="16"/>
        <v/>
      </c>
      <c r="C1054"/>
      <c r="D1054"/>
      <c r="V1054"/>
    </row>
    <row r="1055" spans="1:22" x14ac:dyDescent="0.25">
      <c r="A1055" t="str">
        <f t="shared" si="16"/>
        <v/>
      </c>
      <c r="C1055"/>
      <c r="D1055"/>
      <c r="V1055"/>
    </row>
    <row r="1056" spans="1:22" x14ac:dyDescent="0.25">
      <c r="A1056" t="str">
        <f t="shared" si="16"/>
        <v/>
      </c>
      <c r="C1056"/>
      <c r="D1056"/>
      <c r="V1056"/>
    </row>
    <row r="1057" spans="1:22" x14ac:dyDescent="0.25">
      <c r="A1057" t="str">
        <f t="shared" si="16"/>
        <v/>
      </c>
      <c r="C1057"/>
      <c r="D1057"/>
      <c r="V1057"/>
    </row>
    <row r="1058" spans="1:22" x14ac:dyDescent="0.25">
      <c r="A1058" t="str">
        <f t="shared" si="16"/>
        <v/>
      </c>
      <c r="C1058"/>
      <c r="D1058"/>
      <c r="V1058"/>
    </row>
    <row r="1059" spans="1:22" x14ac:dyDescent="0.25">
      <c r="A1059" t="str">
        <f t="shared" si="16"/>
        <v/>
      </c>
      <c r="C1059"/>
      <c r="D1059"/>
      <c r="V1059"/>
    </row>
    <row r="1060" spans="1:22" x14ac:dyDescent="0.25">
      <c r="A1060" t="str">
        <f t="shared" si="16"/>
        <v/>
      </c>
      <c r="C1060"/>
      <c r="D1060"/>
      <c r="V1060"/>
    </row>
    <row r="1061" spans="1:22" x14ac:dyDescent="0.25">
      <c r="A1061" t="str">
        <f t="shared" si="16"/>
        <v/>
      </c>
      <c r="C1061"/>
      <c r="D1061"/>
      <c r="V1061"/>
    </row>
    <row r="1062" spans="1:22" x14ac:dyDescent="0.25">
      <c r="A1062" t="str">
        <f t="shared" si="16"/>
        <v/>
      </c>
      <c r="C1062"/>
      <c r="D1062"/>
      <c r="V1062"/>
    </row>
    <row r="1063" spans="1:22" x14ac:dyDescent="0.25">
      <c r="A1063" t="str">
        <f t="shared" si="16"/>
        <v/>
      </c>
      <c r="C1063"/>
      <c r="D1063"/>
      <c r="V1063"/>
    </row>
    <row r="1064" spans="1:22" x14ac:dyDescent="0.25">
      <c r="A1064" t="str">
        <f t="shared" si="16"/>
        <v/>
      </c>
      <c r="C1064"/>
      <c r="D1064"/>
      <c r="V1064"/>
    </row>
    <row r="1065" spans="1:22" x14ac:dyDescent="0.25">
      <c r="A1065" t="str">
        <f t="shared" si="16"/>
        <v/>
      </c>
      <c r="C1065"/>
      <c r="D1065"/>
      <c r="V1065"/>
    </row>
    <row r="1066" spans="1:22" x14ac:dyDescent="0.25">
      <c r="A1066" t="str">
        <f t="shared" si="16"/>
        <v/>
      </c>
      <c r="C1066"/>
      <c r="D1066"/>
      <c r="V1066"/>
    </row>
    <row r="1067" spans="1:22" x14ac:dyDescent="0.25">
      <c r="A1067" t="str">
        <f t="shared" si="16"/>
        <v/>
      </c>
      <c r="C1067"/>
      <c r="D1067"/>
      <c r="V1067"/>
    </row>
    <row r="1068" spans="1:22" x14ac:dyDescent="0.25">
      <c r="A1068" t="str">
        <f t="shared" si="16"/>
        <v/>
      </c>
      <c r="C1068"/>
      <c r="D1068"/>
      <c r="V1068"/>
    </row>
    <row r="1069" spans="1:22" x14ac:dyDescent="0.25">
      <c r="A1069" t="str">
        <f t="shared" si="16"/>
        <v/>
      </c>
      <c r="C1069"/>
      <c r="D1069"/>
      <c r="V1069"/>
    </row>
    <row r="1070" spans="1:22" x14ac:dyDescent="0.25">
      <c r="A1070" t="str">
        <f t="shared" si="16"/>
        <v/>
      </c>
      <c r="C1070"/>
      <c r="D1070"/>
      <c r="V1070"/>
    </row>
    <row r="1071" spans="1:22" x14ac:dyDescent="0.25">
      <c r="A1071" t="str">
        <f t="shared" si="16"/>
        <v/>
      </c>
      <c r="C1071"/>
      <c r="D1071"/>
      <c r="V1071"/>
    </row>
    <row r="1072" spans="1:22" x14ac:dyDescent="0.25">
      <c r="A1072" t="str">
        <f t="shared" si="16"/>
        <v/>
      </c>
      <c r="C1072"/>
      <c r="D1072"/>
      <c r="V1072"/>
    </row>
    <row r="1073" spans="1:22" x14ac:dyDescent="0.25">
      <c r="A1073" t="str">
        <f t="shared" si="16"/>
        <v/>
      </c>
      <c r="C1073"/>
      <c r="D1073"/>
      <c r="V1073"/>
    </row>
    <row r="1074" spans="1:22" x14ac:dyDescent="0.25">
      <c r="A1074" t="str">
        <f t="shared" si="16"/>
        <v/>
      </c>
      <c r="C1074"/>
      <c r="D1074"/>
      <c r="V1074"/>
    </row>
    <row r="1075" spans="1:22" x14ac:dyDescent="0.25">
      <c r="A1075" t="str">
        <f t="shared" si="16"/>
        <v/>
      </c>
      <c r="C1075"/>
      <c r="D1075"/>
      <c r="V1075"/>
    </row>
    <row r="1076" spans="1:22" x14ac:dyDescent="0.25">
      <c r="A1076" t="str">
        <f t="shared" si="16"/>
        <v/>
      </c>
      <c r="C1076"/>
      <c r="D1076"/>
      <c r="V1076"/>
    </row>
    <row r="1077" spans="1:22" x14ac:dyDescent="0.25">
      <c r="A1077" t="str">
        <f t="shared" si="16"/>
        <v/>
      </c>
      <c r="C1077"/>
      <c r="D1077"/>
      <c r="V1077"/>
    </row>
    <row r="1078" spans="1:22" x14ac:dyDescent="0.25">
      <c r="A1078" t="str">
        <f t="shared" si="16"/>
        <v/>
      </c>
      <c r="C1078"/>
      <c r="D1078"/>
      <c r="V1078"/>
    </row>
    <row r="1079" spans="1:22" x14ac:dyDescent="0.25">
      <c r="A1079" t="str">
        <f t="shared" si="16"/>
        <v/>
      </c>
      <c r="C1079"/>
      <c r="D1079"/>
      <c r="V1079"/>
    </row>
    <row r="1080" spans="1:22" x14ac:dyDescent="0.25">
      <c r="A1080" t="str">
        <f t="shared" si="16"/>
        <v/>
      </c>
      <c r="C1080"/>
      <c r="D1080"/>
      <c r="V1080"/>
    </row>
    <row r="1081" spans="1:22" x14ac:dyDescent="0.25">
      <c r="A1081" t="str">
        <f t="shared" si="16"/>
        <v/>
      </c>
      <c r="C1081"/>
      <c r="D1081"/>
      <c r="V1081"/>
    </row>
    <row r="1082" spans="1:22" x14ac:dyDescent="0.25">
      <c r="A1082" t="str">
        <f t="shared" si="16"/>
        <v/>
      </c>
      <c r="C1082"/>
      <c r="D1082"/>
      <c r="V1082"/>
    </row>
    <row r="1083" spans="1:22" x14ac:dyDescent="0.25">
      <c r="A1083" t="str">
        <f t="shared" si="16"/>
        <v/>
      </c>
      <c r="C1083"/>
      <c r="D1083"/>
      <c r="V1083"/>
    </row>
    <row r="1084" spans="1:22" x14ac:dyDescent="0.25">
      <c r="A1084" t="str">
        <f t="shared" si="16"/>
        <v/>
      </c>
      <c r="C1084"/>
      <c r="D1084"/>
      <c r="V1084"/>
    </row>
    <row r="1085" spans="1:22" x14ac:dyDescent="0.25">
      <c r="A1085" t="str">
        <f t="shared" si="16"/>
        <v/>
      </c>
      <c r="C1085"/>
      <c r="D1085"/>
      <c r="V1085"/>
    </row>
    <row r="1086" spans="1:22" x14ac:dyDescent="0.25">
      <c r="A1086" t="str">
        <f t="shared" si="16"/>
        <v/>
      </c>
      <c r="C1086"/>
      <c r="D1086"/>
      <c r="V1086"/>
    </row>
    <row r="1087" spans="1:22" x14ac:dyDescent="0.25">
      <c r="A1087" t="str">
        <f t="shared" ref="A1087:A1150" si="17">I1087&amp;M1087</f>
        <v/>
      </c>
      <c r="C1087"/>
      <c r="D1087"/>
      <c r="V1087"/>
    </row>
    <row r="1088" spans="1:22" x14ac:dyDescent="0.25">
      <c r="A1088" t="str">
        <f t="shared" si="17"/>
        <v/>
      </c>
      <c r="C1088"/>
      <c r="D1088"/>
      <c r="V1088"/>
    </row>
    <row r="1089" spans="1:22" x14ac:dyDescent="0.25">
      <c r="A1089" t="str">
        <f t="shared" si="17"/>
        <v/>
      </c>
      <c r="C1089"/>
      <c r="D1089"/>
      <c r="V1089"/>
    </row>
    <row r="1090" spans="1:22" x14ac:dyDescent="0.25">
      <c r="A1090" t="str">
        <f t="shared" si="17"/>
        <v/>
      </c>
      <c r="C1090"/>
      <c r="D1090"/>
      <c r="V1090"/>
    </row>
    <row r="1091" spans="1:22" x14ac:dyDescent="0.25">
      <c r="A1091" t="str">
        <f t="shared" si="17"/>
        <v/>
      </c>
      <c r="C1091"/>
      <c r="D1091"/>
      <c r="V1091"/>
    </row>
    <row r="1092" spans="1:22" x14ac:dyDescent="0.25">
      <c r="A1092" t="str">
        <f t="shared" si="17"/>
        <v/>
      </c>
      <c r="C1092"/>
      <c r="D1092"/>
      <c r="V1092"/>
    </row>
    <row r="1093" spans="1:22" x14ac:dyDescent="0.25">
      <c r="A1093" t="str">
        <f t="shared" si="17"/>
        <v/>
      </c>
      <c r="C1093"/>
      <c r="D1093"/>
      <c r="V1093"/>
    </row>
    <row r="1094" spans="1:22" x14ac:dyDescent="0.25">
      <c r="A1094" t="str">
        <f t="shared" si="17"/>
        <v/>
      </c>
      <c r="C1094"/>
      <c r="D1094"/>
      <c r="V1094"/>
    </row>
    <row r="1095" spans="1:22" x14ac:dyDescent="0.25">
      <c r="A1095" t="str">
        <f t="shared" si="17"/>
        <v/>
      </c>
      <c r="C1095"/>
      <c r="D1095"/>
      <c r="V1095"/>
    </row>
    <row r="1096" spans="1:22" x14ac:dyDescent="0.25">
      <c r="A1096" t="str">
        <f t="shared" si="17"/>
        <v/>
      </c>
      <c r="C1096"/>
      <c r="D1096"/>
      <c r="V1096"/>
    </row>
    <row r="1097" spans="1:22" x14ac:dyDescent="0.25">
      <c r="A1097" t="str">
        <f t="shared" si="17"/>
        <v/>
      </c>
      <c r="C1097"/>
      <c r="D1097"/>
      <c r="V1097"/>
    </row>
    <row r="1098" spans="1:22" x14ac:dyDescent="0.25">
      <c r="A1098" t="str">
        <f t="shared" si="17"/>
        <v/>
      </c>
      <c r="C1098"/>
      <c r="D1098"/>
      <c r="V1098"/>
    </row>
    <row r="1099" spans="1:22" x14ac:dyDescent="0.25">
      <c r="A1099" t="str">
        <f t="shared" si="17"/>
        <v/>
      </c>
      <c r="C1099"/>
      <c r="D1099"/>
      <c r="V1099"/>
    </row>
    <row r="1100" spans="1:22" x14ac:dyDescent="0.25">
      <c r="A1100" t="str">
        <f t="shared" si="17"/>
        <v/>
      </c>
      <c r="C1100"/>
      <c r="D1100"/>
      <c r="V1100"/>
    </row>
    <row r="1101" spans="1:22" x14ac:dyDescent="0.25">
      <c r="A1101" t="str">
        <f t="shared" si="17"/>
        <v/>
      </c>
      <c r="C1101"/>
      <c r="D1101"/>
      <c r="V1101"/>
    </row>
    <row r="1102" spans="1:22" x14ac:dyDescent="0.25">
      <c r="A1102" t="str">
        <f t="shared" si="17"/>
        <v/>
      </c>
      <c r="C1102"/>
      <c r="D1102"/>
      <c r="V1102"/>
    </row>
    <row r="1103" spans="1:22" x14ac:dyDescent="0.25">
      <c r="A1103" t="str">
        <f t="shared" si="17"/>
        <v/>
      </c>
      <c r="C1103"/>
      <c r="D1103"/>
      <c r="V1103"/>
    </row>
    <row r="1104" spans="1:22" x14ac:dyDescent="0.25">
      <c r="A1104" t="str">
        <f t="shared" si="17"/>
        <v/>
      </c>
      <c r="C1104"/>
      <c r="D1104"/>
      <c r="V1104"/>
    </row>
    <row r="1105" spans="1:22" x14ac:dyDescent="0.25">
      <c r="A1105" t="str">
        <f t="shared" si="17"/>
        <v/>
      </c>
      <c r="C1105"/>
      <c r="D1105"/>
      <c r="V1105"/>
    </row>
    <row r="1106" spans="1:22" x14ac:dyDescent="0.25">
      <c r="A1106" t="str">
        <f t="shared" si="17"/>
        <v/>
      </c>
      <c r="C1106"/>
      <c r="D1106"/>
      <c r="V1106"/>
    </row>
    <row r="1107" spans="1:22" x14ac:dyDescent="0.25">
      <c r="A1107" t="str">
        <f t="shared" si="17"/>
        <v/>
      </c>
      <c r="C1107"/>
      <c r="D1107"/>
      <c r="V1107"/>
    </row>
    <row r="1108" spans="1:22" x14ac:dyDescent="0.25">
      <c r="A1108" t="str">
        <f t="shared" si="17"/>
        <v/>
      </c>
      <c r="C1108"/>
      <c r="D1108"/>
      <c r="V1108"/>
    </row>
    <row r="1109" spans="1:22" x14ac:dyDescent="0.25">
      <c r="A1109" t="str">
        <f t="shared" si="17"/>
        <v/>
      </c>
      <c r="C1109"/>
      <c r="D1109"/>
      <c r="V1109"/>
    </row>
    <row r="1110" spans="1:22" x14ac:dyDescent="0.25">
      <c r="A1110" t="str">
        <f t="shared" si="17"/>
        <v/>
      </c>
      <c r="C1110"/>
      <c r="D1110"/>
      <c r="V1110"/>
    </row>
    <row r="1111" spans="1:22" x14ac:dyDescent="0.25">
      <c r="A1111" t="str">
        <f t="shared" si="17"/>
        <v/>
      </c>
      <c r="C1111"/>
      <c r="D1111"/>
      <c r="V1111"/>
    </row>
    <row r="1112" spans="1:22" x14ac:dyDescent="0.25">
      <c r="A1112" t="str">
        <f t="shared" si="17"/>
        <v/>
      </c>
      <c r="C1112"/>
      <c r="D1112"/>
      <c r="V1112"/>
    </row>
    <row r="1113" spans="1:22" x14ac:dyDescent="0.25">
      <c r="A1113" t="str">
        <f t="shared" si="17"/>
        <v/>
      </c>
      <c r="C1113"/>
      <c r="D1113"/>
      <c r="V1113"/>
    </row>
    <row r="1114" spans="1:22" x14ac:dyDescent="0.25">
      <c r="A1114" t="str">
        <f t="shared" si="17"/>
        <v/>
      </c>
      <c r="C1114"/>
      <c r="D1114"/>
      <c r="V1114"/>
    </row>
    <row r="1115" spans="1:22" x14ac:dyDescent="0.25">
      <c r="A1115" t="str">
        <f t="shared" si="17"/>
        <v/>
      </c>
      <c r="C1115"/>
      <c r="D1115"/>
      <c r="V1115"/>
    </row>
    <row r="1116" spans="1:22" x14ac:dyDescent="0.25">
      <c r="A1116" t="str">
        <f t="shared" si="17"/>
        <v/>
      </c>
      <c r="C1116"/>
      <c r="D1116"/>
      <c r="V1116"/>
    </row>
    <row r="1117" spans="1:22" x14ac:dyDescent="0.25">
      <c r="A1117" t="str">
        <f t="shared" si="17"/>
        <v/>
      </c>
      <c r="C1117"/>
      <c r="D1117"/>
      <c r="V1117"/>
    </row>
    <row r="1118" spans="1:22" x14ac:dyDescent="0.25">
      <c r="A1118" t="str">
        <f t="shared" si="17"/>
        <v/>
      </c>
      <c r="C1118"/>
      <c r="D1118"/>
      <c r="V1118"/>
    </row>
    <row r="1119" spans="1:22" x14ac:dyDescent="0.25">
      <c r="A1119" t="str">
        <f t="shared" si="17"/>
        <v/>
      </c>
      <c r="C1119"/>
      <c r="D1119"/>
      <c r="V1119"/>
    </row>
    <row r="1120" spans="1:22" x14ac:dyDescent="0.25">
      <c r="A1120" t="str">
        <f t="shared" si="17"/>
        <v/>
      </c>
      <c r="C1120"/>
      <c r="D1120"/>
      <c r="V1120"/>
    </row>
    <row r="1121" spans="1:22" x14ac:dyDescent="0.25">
      <c r="A1121" t="str">
        <f t="shared" si="17"/>
        <v/>
      </c>
      <c r="C1121"/>
      <c r="D1121"/>
      <c r="V1121"/>
    </row>
    <row r="1122" spans="1:22" x14ac:dyDescent="0.25">
      <c r="A1122" t="str">
        <f t="shared" si="17"/>
        <v/>
      </c>
      <c r="C1122"/>
      <c r="D1122"/>
      <c r="V1122"/>
    </row>
    <row r="1123" spans="1:22" x14ac:dyDescent="0.25">
      <c r="A1123" t="str">
        <f t="shared" si="17"/>
        <v/>
      </c>
      <c r="C1123"/>
      <c r="D1123"/>
      <c r="V1123"/>
    </row>
    <row r="1124" spans="1:22" x14ac:dyDescent="0.25">
      <c r="A1124" t="str">
        <f t="shared" si="17"/>
        <v/>
      </c>
      <c r="C1124"/>
      <c r="D1124"/>
      <c r="V1124"/>
    </row>
    <row r="1125" spans="1:22" x14ac:dyDescent="0.25">
      <c r="A1125" t="str">
        <f t="shared" si="17"/>
        <v/>
      </c>
      <c r="C1125"/>
      <c r="D1125"/>
      <c r="V1125"/>
    </row>
    <row r="1126" spans="1:22" x14ac:dyDescent="0.25">
      <c r="A1126" t="str">
        <f t="shared" si="17"/>
        <v/>
      </c>
      <c r="C1126"/>
      <c r="D1126"/>
      <c r="V1126"/>
    </row>
    <row r="1127" spans="1:22" x14ac:dyDescent="0.25">
      <c r="A1127" t="str">
        <f t="shared" si="17"/>
        <v/>
      </c>
      <c r="C1127"/>
      <c r="D1127"/>
      <c r="V1127"/>
    </row>
    <row r="1128" spans="1:22" x14ac:dyDescent="0.25">
      <c r="A1128" t="str">
        <f t="shared" si="17"/>
        <v/>
      </c>
      <c r="C1128"/>
      <c r="D1128"/>
      <c r="V1128"/>
    </row>
    <row r="1129" spans="1:22" x14ac:dyDescent="0.25">
      <c r="A1129" t="str">
        <f t="shared" si="17"/>
        <v/>
      </c>
      <c r="C1129"/>
      <c r="D1129"/>
      <c r="V1129"/>
    </row>
    <row r="1130" spans="1:22" x14ac:dyDescent="0.25">
      <c r="A1130" t="str">
        <f t="shared" si="17"/>
        <v/>
      </c>
      <c r="C1130"/>
      <c r="D1130"/>
      <c r="V1130"/>
    </row>
    <row r="1131" spans="1:22" x14ac:dyDescent="0.25">
      <c r="A1131" t="str">
        <f t="shared" si="17"/>
        <v/>
      </c>
      <c r="C1131"/>
      <c r="D1131"/>
      <c r="V1131"/>
    </row>
    <row r="1132" spans="1:22" x14ac:dyDescent="0.25">
      <c r="A1132" t="str">
        <f t="shared" si="17"/>
        <v/>
      </c>
      <c r="C1132"/>
      <c r="D1132"/>
      <c r="V1132"/>
    </row>
    <row r="1133" spans="1:22" x14ac:dyDescent="0.25">
      <c r="A1133" t="str">
        <f t="shared" si="17"/>
        <v/>
      </c>
      <c r="C1133"/>
      <c r="D1133"/>
      <c r="V1133"/>
    </row>
    <row r="1134" spans="1:22" x14ac:dyDescent="0.25">
      <c r="A1134" t="str">
        <f t="shared" si="17"/>
        <v/>
      </c>
      <c r="C1134"/>
      <c r="D1134"/>
      <c r="V1134"/>
    </row>
    <row r="1135" spans="1:22" x14ac:dyDescent="0.25">
      <c r="A1135" t="str">
        <f t="shared" si="17"/>
        <v/>
      </c>
      <c r="C1135"/>
      <c r="D1135"/>
      <c r="V1135"/>
    </row>
    <row r="1136" spans="1:22" x14ac:dyDescent="0.25">
      <c r="A1136" t="str">
        <f t="shared" si="17"/>
        <v/>
      </c>
      <c r="C1136"/>
      <c r="D1136"/>
      <c r="V1136"/>
    </row>
    <row r="1137" spans="1:22" x14ac:dyDescent="0.25">
      <c r="A1137" t="str">
        <f t="shared" si="17"/>
        <v/>
      </c>
      <c r="C1137"/>
      <c r="D1137"/>
      <c r="V1137"/>
    </row>
    <row r="1138" spans="1:22" x14ac:dyDescent="0.25">
      <c r="A1138" t="str">
        <f t="shared" si="17"/>
        <v/>
      </c>
      <c r="C1138"/>
      <c r="D1138"/>
      <c r="V1138"/>
    </row>
    <row r="1139" spans="1:22" x14ac:dyDescent="0.25">
      <c r="A1139" t="str">
        <f t="shared" si="17"/>
        <v/>
      </c>
      <c r="C1139"/>
      <c r="D1139"/>
      <c r="V1139"/>
    </row>
    <row r="1140" spans="1:22" x14ac:dyDescent="0.25">
      <c r="A1140" t="str">
        <f t="shared" si="17"/>
        <v/>
      </c>
      <c r="C1140"/>
      <c r="D1140"/>
      <c r="V1140"/>
    </row>
    <row r="1141" spans="1:22" x14ac:dyDescent="0.25">
      <c r="A1141" t="str">
        <f t="shared" si="17"/>
        <v/>
      </c>
      <c r="C1141"/>
      <c r="D1141"/>
      <c r="V1141"/>
    </row>
    <row r="1142" spans="1:22" x14ac:dyDescent="0.25">
      <c r="A1142" t="str">
        <f t="shared" si="17"/>
        <v/>
      </c>
      <c r="C1142"/>
      <c r="D1142"/>
      <c r="V1142"/>
    </row>
    <row r="1143" spans="1:22" x14ac:dyDescent="0.25">
      <c r="A1143" t="str">
        <f t="shared" si="17"/>
        <v/>
      </c>
      <c r="C1143"/>
      <c r="D1143"/>
      <c r="V1143"/>
    </row>
    <row r="1144" spans="1:22" x14ac:dyDescent="0.25">
      <c r="A1144" t="str">
        <f t="shared" si="17"/>
        <v/>
      </c>
      <c r="C1144"/>
      <c r="D1144"/>
      <c r="V1144"/>
    </row>
    <row r="1145" spans="1:22" x14ac:dyDescent="0.25">
      <c r="A1145" t="str">
        <f t="shared" si="17"/>
        <v/>
      </c>
      <c r="C1145"/>
      <c r="D1145"/>
      <c r="V1145"/>
    </row>
    <row r="1146" spans="1:22" x14ac:dyDescent="0.25">
      <c r="A1146" t="str">
        <f t="shared" si="17"/>
        <v/>
      </c>
      <c r="C1146"/>
      <c r="D1146"/>
      <c r="V1146"/>
    </row>
    <row r="1147" spans="1:22" x14ac:dyDescent="0.25">
      <c r="A1147" t="str">
        <f t="shared" si="17"/>
        <v/>
      </c>
      <c r="C1147"/>
      <c r="D1147"/>
      <c r="V1147"/>
    </row>
    <row r="1148" spans="1:22" x14ac:dyDescent="0.25">
      <c r="A1148" t="str">
        <f t="shared" si="17"/>
        <v/>
      </c>
      <c r="C1148"/>
      <c r="D1148"/>
      <c r="V1148"/>
    </row>
    <row r="1149" spans="1:22" x14ac:dyDescent="0.25">
      <c r="A1149" t="str">
        <f t="shared" si="17"/>
        <v/>
      </c>
      <c r="C1149"/>
      <c r="D1149"/>
      <c r="V1149"/>
    </row>
    <row r="1150" spans="1:22" x14ac:dyDescent="0.25">
      <c r="A1150" t="str">
        <f t="shared" si="17"/>
        <v/>
      </c>
      <c r="C1150"/>
      <c r="D1150"/>
      <c r="V1150"/>
    </row>
    <row r="1151" spans="1:22" x14ac:dyDescent="0.25">
      <c r="A1151" t="str">
        <f t="shared" ref="A1151:A1214" si="18">I1151&amp;M1151</f>
        <v/>
      </c>
      <c r="C1151"/>
      <c r="D1151"/>
      <c r="V1151"/>
    </row>
    <row r="1152" spans="1:22" x14ac:dyDescent="0.25">
      <c r="A1152" t="str">
        <f t="shared" si="18"/>
        <v/>
      </c>
      <c r="C1152"/>
      <c r="D1152"/>
      <c r="V1152"/>
    </row>
    <row r="1153" spans="1:22" x14ac:dyDescent="0.25">
      <c r="A1153" t="str">
        <f t="shared" si="18"/>
        <v/>
      </c>
      <c r="C1153"/>
      <c r="D1153"/>
      <c r="V1153"/>
    </row>
    <row r="1154" spans="1:22" x14ac:dyDescent="0.25">
      <c r="A1154" t="str">
        <f t="shared" si="18"/>
        <v/>
      </c>
      <c r="C1154"/>
      <c r="D1154"/>
      <c r="V1154"/>
    </row>
    <row r="1155" spans="1:22" x14ac:dyDescent="0.25">
      <c r="A1155" t="str">
        <f t="shared" si="18"/>
        <v/>
      </c>
      <c r="C1155"/>
      <c r="D1155"/>
      <c r="V1155"/>
    </row>
    <row r="1156" spans="1:22" x14ac:dyDescent="0.25">
      <c r="A1156" t="str">
        <f t="shared" si="18"/>
        <v/>
      </c>
      <c r="C1156"/>
      <c r="D1156"/>
      <c r="V1156"/>
    </row>
    <row r="1157" spans="1:22" x14ac:dyDescent="0.25">
      <c r="A1157" t="str">
        <f t="shared" si="18"/>
        <v/>
      </c>
      <c r="C1157"/>
      <c r="D1157"/>
      <c r="V1157"/>
    </row>
    <row r="1158" spans="1:22" x14ac:dyDescent="0.25">
      <c r="A1158" t="str">
        <f t="shared" si="18"/>
        <v/>
      </c>
      <c r="C1158"/>
      <c r="D1158"/>
      <c r="V1158"/>
    </row>
    <row r="1159" spans="1:22" x14ac:dyDescent="0.25">
      <c r="A1159" t="str">
        <f t="shared" si="18"/>
        <v/>
      </c>
      <c r="C1159"/>
      <c r="D1159"/>
      <c r="V1159"/>
    </row>
    <row r="1160" spans="1:22" x14ac:dyDescent="0.25">
      <c r="A1160" t="str">
        <f t="shared" si="18"/>
        <v/>
      </c>
      <c r="C1160"/>
      <c r="D1160"/>
      <c r="V1160"/>
    </row>
    <row r="1161" spans="1:22" x14ac:dyDescent="0.25">
      <c r="A1161" t="str">
        <f t="shared" si="18"/>
        <v/>
      </c>
      <c r="C1161"/>
      <c r="D1161"/>
      <c r="V1161"/>
    </row>
    <row r="1162" spans="1:22" x14ac:dyDescent="0.25">
      <c r="A1162" t="str">
        <f t="shared" si="18"/>
        <v/>
      </c>
      <c r="C1162"/>
      <c r="D1162"/>
      <c r="V1162"/>
    </row>
    <row r="1163" spans="1:22" x14ac:dyDescent="0.25">
      <c r="A1163" t="str">
        <f t="shared" si="18"/>
        <v/>
      </c>
      <c r="C1163"/>
      <c r="D1163"/>
      <c r="V1163"/>
    </row>
    <row r="1164" spans="1:22" x14ac:dyDescent="0.25">
      <c r="A1164" t="str">
        <f t="shared" si="18"/>
        <v/>
      </c>
      <c r="C1164"/>
      <c r="D1164"/>
      <c r="V1164"/>
    </row>
    <row r="1165" spans="1:22" x14ac:dyDescent="0.25">
      <c r="A1165" t="str">
        <f t="shared" si="18"/>
        <v/>
      </c>
      <c r="C1165"/>
      <c r="D1165"/>
      <c r="V1165"/>
    </row>
    <row r="1166" spans="1:22" x14ac:dyDescent="0.25">
      <c r="A1166" t="str">
        <f t="shared" si="18"/>
        <v/>
      </c>
      <c r="C1166"/>
      <c r="D1166"/>
      <c r="V1166"/>
    </row>
    <row r="1167" spans="1:22" x14ac:dyDescent="0.25">
      <c r="A1167" t="str">
        <f t="shared" si="18"/>
        <v/>
      </c>
      <c r="C1167"/>
      <c r="D1167"/>
      <c r="V1167"/>
    </row>
    <row r="1168" spans="1:22" x14ac:dyDescent="0.25">
      <c r="A1168" t="str">
        <f t="shared" si="18"/>
        <v/>
      </c>
      <c r="C1168"/>
      <c r="D1168"/>
      <c r="V1168"/>
    </row>
    <row r="1169" spans="1:22" x14ac:dyDescent="0.25">
      <c r="A1169" t="str">
        <f t="shared" si="18"/>
        <v/>
      </c>
      <c r="C1169"/>
      <c r="D1169"/>
      <c r="V1169"/>
    </row>
    <row r="1170" spans="1:22" x14ac:dyDescent="0.25">
      <c r="A1170" t="str">
        <f t="shared" si="18"/>
        <v/>
      </c>
      <c r="C1170"/>
      <c r="D1170"/>
      <c r="V1170"/>
    </row>
    <row r="1171" spans="1:22" x14ac:dyDescent="0.25">
      <c r="A1171" t="str">
        <f t="shared" si="18"/>
        <v/>
      </c>
      <c r="C1171"/>
      <c r="D1171"/>
      <c r="V1171"/>
    </row>
    <row r="1172" spans="1:22" x14ac:dyDescent="0.25">
      <c r="A1172" t="str">
        <f t="shared" si="18"/>
        <v/>
      </c>
      <c r="C1172"/>
      <c r="D1172"/>
      <c r="V1172"/>
    </row>
    <row r="1173" spans="1:22" x14ac:dyDescent="0.25">
      <c r="A1173" t="str">
        <f t="shared" si="18"/>
        <v/>
      </c>
      <c r="C1173"/>
      <c r="D1173"/>
      <c r="V1173"/>
    </row>
    <row r="1174" spans="1:22" x14ac:dyDescent="0.25">
      <c r="A1174" t="str">
        <f t="shared" si="18"/>
        <v/>
      </c>
      <c r="C1174"/>
      <c r="D1174"/>
      <c r="V1174"/>
    </row>
    <row r="1175" spans="1:22" x14ac:dyDescent="0.25">
      <c r="A1175" t="str">
        <f t="shared" si="18"/>
        <v/>
      </c>
      <c r="C1175"/>
      <c r="D1175"/>
      <c r="V1175"/>
    </row>
    <row r="1176" spans="1:22" x14ac:dyDescent="0.25">
      <c r="A1176" t="str">
        <f t="shared" si="18"/>
        <v/>
      </c>
      <c r="C1176"/>
      <c r="D1176"/>
      <c r="V1176"/>
    </row>
    <row r="1177" spans="1:22" x14ac:dyDescent="0.25">
      <c r="A1177" t="str">
        <f t="shared" si="18"/>
        <v/>
      </c>
      <c r="C1177"/>
      <c r="D1177"/>
      <c r="V1177"/>
    </row>
    <row r="1178" spans="1:22" x14ac:dyDescent="0.25">
      <c r="A1178" t="str">
        <f t="shared" si="18"/>
        <v/>
      </c>
      <c r="C1178"/>
      <c r="D1178"/>
      <c r="V1178"/>
    </row>
    <row r="1179" spans="1:22" x14ac:dyDescent="0.25">
      <c r="A1179" t="str">
        <f t="shared" si="18"/>
        <v/>
      </c>
      <c r="C1179"/>
      <c r="D1179"/>
      <c r="V1179"/>
    </row>
    <row r="1180" spans="1:22" x14ac:dyDescent="0.25">
      <c r="A1180" t="str">
        <f t="shared" si="18"/>
        <v/>
      </c>
      <c r="C1180"/>
      <c r="D1180"/>
      <c r="V1180"/>
    </row>
    <row r="1181" spans="1:22" x14ac:dyDescent="0.25">
      <c r="A1181" t="str">
        <f t="shared" si="18"/>
        <v/>
      </c>
      <c r="C1181"/>
      <c r="D1181"/>
      <c r="V1181"/>
    </row>
    <row r="1182" spans="1:22" x14ac:dyDescent="0.25">
      <c r="A1182" t="str">
        <f t="shared" si="18"/>
        <v/>
      </c>
      <c r="C1182"/>
      <c r="D1182"/>
      <c r="V1182"/>
    </row>
    <row r="1183" spans="1:22" x14ac:dyDescent="0.25">
      <c r="A1183" t="str">
        <f t="shared" si="18"/>
        <v/>
      </c>
      <c r="C1183"/>
      <c r="D1183"/>
      <c r="V1183"/>
    </row>
    <row r="1184" spans="1:22" x14ac:dyDescent="0.25">
      <c r="A1184" t="str">
        <f t="shared" si="18"/>
        <v/>
      </c>
      <c r="C1184"/>
      <c r="D1184"/>
      <c r="V1184"/>
    </row>
    <row r="1185" spans="1:22" x14ac:dyDescent="0.25">
      <c r="A1185" t="str">
        <f t="shared" si="18"/>
        <v/>
      </c>
      <c r="C1185"/>
      <c r="D1185"/>
      <c r="V1185"/>
    </row>
    <row r="1186" spans="1:22" x14ac:dyDescent="0.25">
      <c r="A1186" t="str">
        <f t="shared" si="18"/>
        <v/>
      </c>
      <c r="C1186"/>
      <c r="D1186"/>
      <c r="V1186"/>
    </row>
    <row r="1187" spans="1:22" x14ac:dyDescent="0.25">
      <c r="A1187" t="str">
        <f t="shared" si="18"/>
        <v/>
      </c>
      <c r="C1187"/>
      <c r="D1187"/>
      <c r="V1187"/>
    </row>
    <row r="1188" spans="1:22" x14ac:dyDescent="0.25">
      <c r="A1188" t="str">
        <f t="shared" si="18"/>
        <v/>
      </c>
      <c r="C1188"/>
      <c r="D1188"/>
      <c r="V1188"/>
    </row>
    <row r="1189" spans="1:22" x14ac:dyDescent="0.25">
      <c r="A1189" t="str">
        <f t="shared" si="18"/>
        <v/>
      </c>
      <c r="C1189"/>
      <c r="D1189"/>
      <c r="V1189"/>
    </row>
    <row r="1190" spans="1:22" x14ac:dyDescent="0.25">
      <c r="A1190" t="str">
        <f t="shared" si="18"/>
        <v/>
      </c>
      <c r="C1190"/>
      <c r="D1190"/>
      <c r="V1190"/>
    </row>
    <row r="1191" spans="1:22" x14ac:dyDescent="0.25">
      <c r="A1191" t="str">
        <f t="shared" si="18"/>
        <v/>
      </c>
      <c r="C1191"/>
      <c r="D1191"/>
      <c r="V1191"/>
    </row>
    <row r="1192" spans="1:22" x14ac:dyDescent="0.25">
      <c r="A1192" t="str">
        <f t="shared" si="18"/>
        <v/>
      </c>
      <c r="C1192"/>
      <c r="D1192"/>
      <c r="V1192"/>
    </row>
    <row r="1193" spans="1:22" x14ac:dyDescent="0.25">
      <c r="A1193" t="str">
        <f t="shared" si="18"/>
        <v/>
      </c>
      <c r="C1193"/>
      <c r="D1193"/>
      <c r="V1193"/>
    </row>
    <row r="1194" spans="1:22" x14ac:dyDescent="0.25">
      <c r="A1194" t="str">
        <f t="shared" si="18"/>
        <v/>
      </c>
      <c r="C1194"/>
      <c r="D1194"/>
      <c r="V1194"/>
    </row>
    <row r="1195" spans="1:22" x14ac:dyDescent="0.25">
      <c r="A1195" t="str">
        <f t="shared" si="18"/>
        <v/>
      </c>
      <c r="C1195"/>
      <c r="D1195"/>
      <c r="V1195"/>
    </row>
    <row r="1196" spans="1:22" x14ac:dyDescent="0.25">
      <c r="A1196" t="str">
        <f t="shared" si="18"/>
        <v/>
      </c>
      <c r="C1196"/>
      <c r="D1196"/>
      <c r="V1196"/>
    </row>
    <row r="1197" spans="1:22" x14ac:dyDescent="0.25">
      <c r="A1197" t="str">
        <f t="shared" si="18"/>
        <v/>
      </c>
      <c r="C1197"/>
      <c r="D1197"/>
      <c r="V1197"/>
    </row>
    <row r="1198" spans="1:22" x14ac:dyDescent="0.25">
      <c r="A1198" t="str">
        <f t="shared" si="18"/>
        <v/>
      </c>
      <c r="C1198"/>
      <c r="D1198"/>
      <c r="V1198"/>
    </row>
    <row r="1199" spans="1:22" x14ac:dyDescent="0.25">
      <c r="A1199" t="str">
        <f t="shared" si="18"/>
        <v/>
      </c>
      <c r="C1199"/>
      <c r="D1199"/>
      <c r="V1199"/>
    </row>
    <row r="1200" spans="1:22" x14ac:dyDescent="0.25">
      <c r="A1200" t="str">
        <f t="shared" si="18"/>
        <v/>
      </c>
      <c r="C1200"/>
      <c r="D1200"/>
      <c r="V1200"/>
    </row>
    <row r="1201" spans="1:22" x14ac:dyDescent="0.25">
      <c r="A1201" t="str">
        <f t="shared" si="18"/>
        <v/>
      </c>
      <c r="C1201"/>
      <c r="D1201"/>
      <c r="V1201"/>
    </row>
    <row r="1202" spans="1:22" x14ac:dyDescent="0.25">
      <c r="A1202" t="str">
        <f t="shared" si="18"/>
        <v/>
      </c>
      <c r="C1202"/>
      <c r="D1202"/>
      <c r="V1202"/>
    </row>
    <row r="1203" spans="1:22" x14ac:dyDescent="0.25">
      <c r="A1203" t="str">
        <f t="shared" si="18"/>
        <v/>
      </c>
      <c r="C1203"/>
      <c r="D1203"/>
      <c r="V1203"/>
    </row>
    <row r="1204" spans="1:22" x14ac:dyDescent="0.25">
      <c r="A1204" t="str">
        <f t="shared" si="18"/>
        <v/>
      </c>
      <c r="C1204"/>
      <c r="D1204"/>
      <c r="V1204"/>
    </row>
    <row r="1205" spans="1:22" x14ac:dyDescent="0.25">
      <c r="A1205" t="str">
        <f t="shared" si="18"/>
        <v/>
      </c>
      <c r="C1205"/>
      <c r="D1205"/>
      <c r="V1205"/>
    </row>
    <row r="1206" spans="1:22" x14ac:dyDescent="0.25">
      <c r="A1206" t="str">
        <f t="shared" si="18"/>
        <v/>
      </c>
      <c r="C1206"/>
      <c r="D1206"/>
      <c r="V1206"/>
    </row>
    <row r="1207" spans="1:22" x14ac:dyDescent="0.25">
      <c r="A1207" t="str">
        <f t="shared" si="18"/>
        <v/>
      </c>
      <c r="C1207"/>
      <c r="D1207"/>
      <c r="V1207"/>
    </row>
    <row r="1208" spans="1:22" x14ac:dyDescent="0.25">
      <c r="A1208" t="str">
        <f t="shared" si="18"/>
        <v/>
      </c>
      <c r="C1208"/>
      <c r="D1208"/>
      <c r="V1208"/>
    </row>
    <row r="1209" spans="1:22" x14ac:dyDescent="0.25">
      <c r="A1209" t="str">
        <f t="shared" si="18"/>
        <v/>
      </c>
      <c r="C1209"/>
      <c r="D1209"/>
      <c r="V1209"/>
    </row>
    <row r="1210" spans="1:22" x14ac:dyDescent="0.25">
      <c r="A1210" t="str">
        <f t="shared" si="18"/>
        <v/>
      </c>
      <c r="C1210"/>
      <c r="D1210"/>
      <c r="V1210"/>
    </row>
    <row r="1211" spans="1:22" x14ac:dyDescent="0.25">
      <c r="A1211" t="str">
        <f t="shared" si="18"/>
        <v/>
      </c>
      <c r="C1211"/>
      <c r="D1211"/>
      <c r="V1211"/>
    </row>
    <row r="1212" spans="1:22" x14ac:dyDescent="0.25">
      <c r="A1212" t="str">
        <f t="shared" si="18"/>
        <v/>
      </c>
      <c r="C1212"/>
      <c r="D1212"/>
      <c r="V1212"/>
    </row>
    <row r="1213" spans="1:22" x14ac:dyDescent="0.25">
      <c r="A1213" t="str">
        <f t="shared" si="18"/>
        <v/>
      </c>
      <c r="C1213"/>
      <c r="D1213"/>
      <c r="V1213"/>
    </row>
    <row r="1214" spans="1:22" x14ac:dyDescent="0.25">
      <c r="A1214" t="str">
        <f t="shared" si="18"/>
        <v/>
      </c>
      <c r="C1214"/>
      <c r="D1214"/>
      <c r="V1214"/>
    </row>
    <row r="1215" spans="1:22" x14ac:dyDescent="0.25">
      <c r="A1215" t="str">
        <f t="shared" ref="A1215:A1261" si="19">I1215&amp;M1215</f>
        <v/>
      </c>
      <c r="C1215"/>
      <c r="D1215"/>
      <c r="V1215"/>
    </row>
    <row r="1216" spans="1:22" x14ac:dyDescent="0.25">
      <c r="A1216" t="str">
        <f t="shared" si="19"/>
        <v/>
      </c>
      <c r="C1216"/>
      <c r="D1216"/>
      <c r="V1216"/>
    </row>
    <row r="1217" spans="1:22" x14ac:dyDescent="0.25">
      <c r="A1217" t="str">
        <f t="shared" si="19"/>
        <v/>
      </c>
      <c r="C1217"/>
      <c r="D1217"/>
      <c r="V1217"/>
    </row>
    <row r="1218" spans="1:22" x14ac:dyDescent="0.25">
      <c r="A1218" t="str">
        <f t="shared" si="19"/>
        <v/>
      </c>
      <c r="C1218"/>
      <c r="D1218"/>
      <c r="V1218"/>
    </row>
    <row r="1219" spans="1:22" x14ac:dyDescent="0.25">
      <c r="A1219" t="str">
        <f t="shared" si="19"/>
        <v/>
      </c>
      <c r="C1219"/>
      <c r="D1219"/>
      <c r="V1219"/>
    </row>
    <row r="1220" spans="1:22" x14ac:dyDescent="0.25">
      <c r="A1220" t="str">
        <f t="shared" si="19"/>
        <v/>
      </c>
      <c r="C1220"/>
      <c r="D1220"/>
      <c r="V1220"/>
    </row>
    <row r="1221" spans="1:22" x14ac:dyDescent="0.25">
      <c r="A1221" t="str">
        <f t="shared" si="19"/>
        <v/>
      </c>
      <c r="C1221"/>
      <c r="D1221"/>
      <c r="V1221"/>
    </row>
    <row r="1222" spans="1:22" x14ac:dyDescent="0.25">
      <c r="A1222" t="str">
        <f t="shared" si="19"/>
        <v/>
      </c>
      <c r="C1222"/>
      <c r="D1222"/>
      <c r="V1222"/>
    </row>
    <row r="1223" spans="1:22" x14ac:dyDescent="0.25">
      <c r="A1223" t="str">
        <f t="shared" si="19"/>
        <v/>
      </c>
      <c r="C1223"/>
      <c r="D1223"/>
      <c r="V1223"/>
    </row>
    <row r="1224" spans="1:22" x14ac:dyDescent="0.25">
      <c r="A1224" t="str">
        <f t="shared" si="19"/>
        <v/>
      </c>
      <c r="C1224"/>
      <c r="D1224"/>
      <c r="V1224"/>
    </row>
    <row r="1225" spans="1:22" x14ac:dyDescent="0.25">
      <c r="A1225" t="str">
        <f t="shared" si="19"/>
        <v/>
      </c>
      <c r="C1225"/>
      <c r="D1225"/>
      <c r="V1225"/>
    </row>
    <row r="1226" spans="1:22" x14ac:dyDescent="0.25">
      <c r="A1226" t="str">
        <f t="shared" si="19"/>
        <v/>
      </c>
      <c r="C1226"/>
      <c r="D1226"/>
      <c r="V1226"/>
    </row>
    <row r="1227" spans="1:22" x14ac:dyDescent="0.25">
      <c r="A1227" t="str">
        <f t="shared" si="19"/>
        <v/>
      </c>
      <c r="C1227"/>
      <c r="D1227"/>
      <c r="V1227"/>
    </row>
    <row r="1228" spans="1:22" x14ac:dyDescent="0.25">
      <c r="A1228" t="str">
        <f t="shared" si="19"/>
        <v/>
      </c>
      <c r="C1228"/>
      <c r="D1228"/>
      <c r="V1228"/>
    </row>
    <row r="1229" spans="1:22" x14ac:dyDescent="0.25">
      <c r="A1229" t="str">
        <f t="shared" si="19"/>
        <v/>
      </c>
      <c r="C1229"/>
      <c r="D1229"/>
      <c r="V1229"/>
    </row>
    <row r="1230" spans="1:22" x14ac:dyDescent="0.25">
      <c r="A1230" t="str">
        <f t="shared" si="19"/>
        <v/>
      </c>
      <c r="C1230"/>
      <c r="D1230"/>
      <c r="V1230"/>
    </row>
    <row r="1231" spans="1:22" x14ac:dyDescent="0.25">
      <c r="A1231" t="str">
        <f t="shared" si="19"/>
        <v/>
      </c>
      <c r="C1231"/>
      <c r="D1231"/>
      <c r="V1231"/>
    </row>
    <row r="1232" spans="1:22" x14ac:dyDescent="0.25">
      <c r="A1232" t="str">
        <f t="shared" si="19"/>
        <v/>
      </c>
      <c r="C1232"/>
      <c r="D1232"/>
      <c r="V1232"/>
    </row>
    <row r="1233" spans="1:22" x14ac:dyDescent="0.25">
      <c r="A1233" t="str">
        <f t="shared" si="19"/>
        <v/>
      </c>
      <c r="C1233"/>
      <c r="D1233"/>
      <c r="V1233"/>
    </row>
    <row r="1234" spans="1:22" x14ac:dyDescent="0.25">
      <c r="A1234" t="str">
        <f t="shared" si="19"/>
        <v/>
      </c>
      <c r="C1234"/>
      <c r="D1234"/>
      <c r="V1234"/>
    </row>
    <row r="1235" spans="1:22" x14ac:dyDescent="0.25">
      <c r="A1235" t="str">
        <f t="shared" si="19"/>
        <v/>
      </c>
      <c r="C1235"/>
      <c r="D1235"/>
      <c r="V1235"/>
    </row>
    <row r="1236" spans="1:22" x14ac:dyDescent="0.25">
      <c r="A1236" t="str">
        <f t="shared" si="19"/>
        <v/>
      </c>
      <c r="C1236"/>
      <c r="D1236"/>
      <c r="V1236"/>
    </row>
    <row r="1237" spans="1:22" x14ac:dyDescent="0.25">
      <c r="A1237" t="str">
        <f t="shared" si="19"/>
        <v/>
      </c>
      <c r="C1237"/>
      <c r="D1237"/>
      <c r="V1237"/>
    </row>
    <row r="1238" spans="1:22" x14ac:dyDescent="0.25">
      <c r="A1238" t="str">
        <f t="shared" si="19"/>
        <v/>
      </c>
      <c r="C1238"/>
      <c r="D1238"/>
      <c r="V1238"/>
    </row>
    <row r="1239" spans="1:22" x14ac:dyDescent="0.25">
      <c r="A1239" t="str">
        <f t="shared" si="19"/>
        <v/>
      </c>
      <c r="C1239"/>
      <c r="D1239"/>
      <c r="V1239"/>
    </row>
    <row r="1240" spans="1:22" x14ac:dyDescent="0.25">
      <c r="A1240" t="str">
        <f t="shared" si="19"/>
        <v/>
      </c>
      <c r="C1240"/>
      <c r="D1240"/>
      <c r="V1240"/>
    </row>
    <row r="1241" spans="1:22" x14ac:dyDescent="0.25">
      <c r="A1241" t="str">
        <f t="shared" si="19"/>
        <v/>
      </c>
      <c r="C1241"/>
      <c r="D1241"/>
      <c r="V1241"/>
    </row>
    <row r="1242" spans="1:22" x14ac:dyDescent="0.25">
      <c r="A1242" t="str">
        <f t="shared" si="19"/>
        <v/>
      </c>
      <c r="C1242"/>
      <c r="D1242"/>
      <c r="V1242"/>
    </row>
    <row r="1243" spans="1:22" x14ac:dyDescent="0.25">
      <c r="A1243" t="str">
        <f t="shared" si="19"/>
        <v/>
      </c>
      <c r="C1243"/>
      <c r="D1243"/>
      <c r="V1243"/>
    </row>
    <row r="1244" spans="1:22" x14ac:dyDescent="0.25">
      <c r="A1244" t="str">
        <f t="shared" si="19"/>
        <v/>
      </c>
      <c r="C1244"/>
      <c r="D1244"/>
      <c r="V1244"/>
    </row>
    <row r="1245" spans="1:22" x14ac:dyDescent="0.25">
      <c r="A1245" t="str">
        <f t="shared" si="19"/>
        <v/>
      </c>
      <c r="C1245"/>
      <c r="D1245"/>
      <c r="V1245"/>
    </row>
    <row r="1246" spans="1:22" x14ac:dyDescent="0.25">
      <c r="A1246" t="str">
        <f t="shared" si="19"/>
        <v/>
      </c>
      <c r="C1246"/>
      <c r="D1246"/>
      <c r="V1246"/>
    </row>
    <row r="1247" spans="1:22" x14ac:dyDescent="0.25">
      <c r="A1247" t="str">
        <f t="shared" si="19"/>
        <v/>
      </c>
      <c r="C1247"/>
      <c r="D1247"/>
      <c r="V1247"/>
    </row>
    <row r="1248" spans="1:22" x14ac:dyDescent="0.25">
      <c r="A1248" t="str">
        <f t="shared" si="19"/>
        <v/>
      </c>
      <c r="C1248"/>
      <c r="D1248"/>
      <c r="V1248"/>
    </row>
    <row r="1249" spans="1:22" x14ac:dyDescent="0.25">
      <c r="A1249" t="str">
        <f t="shared" si="19"/>
        <v/>
      </c>
      <c r="C1249"/>
      <c r="D1249"/>
      <c r="V1249"/>
    </row>
    <row r="1250" spans="1:22" x14ac:dyDescent="0.25">
      <c r="A1250" t="str">
        <f t="shared" si="19"/>
        <v/>
      </c>
      <c r="C1250"/>
      <c r="D1250"/>
      <c r="V1250"/>
    </row>
    <row r="1251" spans="1:22" x14ac:dyDescent="0.25">
      <c r="A1251" t="str">
        <f t="shared" si="19"/>
        <v/>
      </c>
      <c r="C1251"/>
      <c r="D1251"/>
      <c r="V1251"/>
    </row>
    <row r="1252" spans="1:22" x14ac:dyDescent="0.25">
      <c r="A1252" t="str">
        <f t="shared" si="19"/>
        <v/>
      </c>
      <c r="C1252"/>
      <c r="D1252"/>
      <c r="V1252"/>
    </row>
    <row r="1253" spans="1:22" x14ac:dyDescent="0.25">
      <c r="A1253" t="str">
        <f t="shared" si="19"/>
        <v/>
      </c>
      <c r="C1253"/>
      <c r="D1253"/>
      <c r="V1253"/>
    </row>
    <row r="1254" spans="1:22" x14ac:dyDescent="0.25">
      <c r="A1254" t="str">
        <f t="shared" si="19"/>
        <v/>
      </c>
      <c r="C1254"/>
      <c r="D1254"/>
      <c r="V1254"/>
    </row>
    <row r="1255" spans="1:22" x14ac:dyDescent="0.25">
      <c r="A1255" t="str">
        <f t="shared" si="19"/>
        <v/>
      </c>
      <c r="C1255"/>
      <c r="D1255"/>
      <c r="V1255"/>
    </row>
    <row r="1256" spans="1:22" x14ac:dyDescent="0.25">
      <c r="A1256" t="str">
        <f t="shared" si="19"/>
        <v/>
      </c>
      <c r="C1256"/>
      <c r="D1256"/>
      <c r="V1256"/>
    </row>
    <row r="1257" spans="1:22" x14ac:dyDescent="0.25">
      <c r="A1257" t="str">
        <f t="shared" si="19"/>
        <v/>
      </c>
      <c r="C1257"/>
      <c r="D1257"/>
      <c r="V1257"/>
    </row>
    <row r="1258" spans="1:22" x14ac:dyDescent="0.25">
      <c r="A1258" t="str">
        <f t="shared" si="19"/>
        <v/>
      </c>
      <c r="C1258"/>
      <c r="D1258"/>
      <c r="V1258"/>
    </row>
    <row r="1259" spans="1:22" x14ac:dyDescent="0.25">
      <c r="A1259" t="str">
        <f t="shared" si="19"/>
        <v/>
      </c>
      <c r="C1259"/>
      <c r="D1259"/>
      <c r="V1259"/>
    </row>
    <row r="1260" spans="1:22" x14ac:dyDescent="0.25">
      <c r="A1260" t="str">
        <f t="shared" si="19"/>
        <v/>
      </c>
      <c r="C1260"/>
      <c r="D1260"/>
      <c r="V1260"/>
    </row>
    <row r="1261" spans="1:22" x14ac:dyDescent="0.25">
      <c r="A1261" t="str">
        <f t="shared" si="19"/>
        <v/>
      </c>
      <c r="C1261"/>
      <c r="D1261"/>
      <c r="V1261"/>
    </row>
  </sheetData>
  <autoFilter ref="B1:AE126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G18"/>
  <sheetViews>
    <sheetView zoomScale="80" zoomScaleNormal="80" workbookViewId="0">
      <selection activeCell="B5" sqref="B5"/>
    </sheetView>
  </sheetViews>
  <sheetFormatPr defaultRowHeight="15" x14ac:dyDescent="0.25"/>
  <cols>
    <col min="1" max="1" width="3.85546875" style="11" bestFit="1" customWidth="1"/>
    <col min="2" max="2" width="18.85546875" style="11" bestFit="1" customWidth="1"/>
    <col min="3" max="3" width="22.28515625" style="28" bestFit="1" customWidth="1"/>
    <col min="4" max="4" width="18" style="11" bestFit="1" customWidth="1"/>
    <col min="5" max="5" width="21.5703125" style="28" bestFit="1" customWidth="1"/>
    <col min="6" max="6" width="8" style="11" bestFit="1" customWidth="1"/>
    <col min="7" max="7" width="44.140625" style="14" bestFit="1" customWidth="1"/>
    <col min="8" max="16384" width="9.140625" style="14"/>
  </cols>
  <sheetData>
    <row r="1" spans="1:7" s="11" customFormat="1" x14ac:dyDescent="0.25">
      <c r="A1" s="4" t="s">
        <v>116</v>
      </c>
      <c r="B1" s="4" t="s">
        <v>118</v>
      </c>
      <c r="C1" s="4" t="s">
        <v>117</v>
      </c>
      <c r="D1" s="4" t="s">
        <v>119</v>
      </c>
      <c r="E1" s="4" t="s">
        <v>120</v>
      </c>
      <c r="F1" s="4" t="s">
        <v>121</v>
      </c>
      <c r="G1" s="4" t="s">
        <v>315</v>
      </c>
    </row>
    <row r="2" spans="1:7" x14ac:dyDescent="0.25">
      <c r="A2" s="29">
        <v>1</v>
      </c>
      <c r="B2" s="29">
        <v>5000015934</v>
      </c>
      <c r="C2" s="30" t="s">
        <v>115</v>
      </c>
      <c r="D2" s="29">
        <v>5000016375</v>
      </c>
      <c r="E2" s="30" t="s">
        <v>114</v>
      </c>
      <c r="F2" s="29" t="s">
        <v>35</v>
      </c>
      <c r="G2" s="43"/>
    </row>
    <row r="3" spans="1:7" x14ac:dyDescent="0.25">
      <c r="A3" s="29">
        <v>2</v>
      </c>
      <c r="B3" s="29"/>
      <c r="C3" s="30" t="s">
        <v>314</v>
      </c>
      <c r="D3" s="29"/>
      <c r="E3" s="30"/>
      <c r="F3" s="29"/>
      <c r="G3" s="43" t="s">
        <v>316</v>
      </c>
    </row>
    <row r="4" spans="1:7" x14ac:dyDescent="0.25">
      <c r="A4" s="29">
        <v>3</v>
      </c>
      <c r="B4" s="29">
        <v>5000016371</v>
      </c>
      <c r="C4" s="30" t="s">
        <v>317</v>
      </c>
      <c r="D4" s="29">
        <v>5000017680</v>
      </c>
      <c r="E4" s="30" t="s">
        <v>318</v>
      </c>
      <c r="F4" s="29" t="s">
        <v>35</v>
      </c>
      <c r="G4" s="43"/>
    </row>
    <row r="5" spans="1:7" x14ac:dyDescent="0.25">
      <c r="A5" s="29"/>
      <c r="B5" s="29"/>
      <c r="C5" s="30"/>
      <c r="D5" s="29"/>
      <c r="E5" s="30"/>
      <c r="F5" s="29"/>
      <c r="G5" s="43"/>
    </row>
    <row r="6" spans="1:7" x14ac:dyDescent="0.25">
      <c r="A6" s="29"/>
      <c r="B6" s="29"/>
      <c r="C6" s="30"/>
      <c r="D6" s="29"/>
      <c r="E6" s="30"/>
      <c r="F6" s="29"/>
      <c r="G6" s="43"/>
    </row>
    <row r="7" spans="1:7" x14ac:dyDescent="0.25">
      <c r="A7" s="29"/>
      <c r="B7" s="29"/>
      <c r="C7" s="30"/>
      <c r="D7" s="29"/>
      <c r="E7" s="30"/>
      <c r="F7" s="29"/>
      <c r="G7" s="43"/>
    </row>
    <row r="8" spans="1:7" x14ac:dyDescent="0.25">
      <c r="A8" s="29"/>
      <c r="B8" s="29"/>
      <c r="C8" s="30"/>
      <c r="D8" s="29"/>
      <c r="E8" s="30"/>
      <c r="F8" s="29"/>
      <c r="G8" s="43"/>
    </row>
    <row r="9" spans="1:7" x14ac:dyDescent="0.25">
      <c r="A9" s="29"/>
      <c r="B9" s="29"/>
      <c r="C9" s="30"/>
      <c r="D9" s="29"/>
      <c r="E9" s="30"/>
      <c r="F9" s="29"/>
      <c r="G9" s="43"/>
    </row>
    <row r="10" spans="1:7" x14ac:dyDescent="0.25">
      <c r="A10" s="29"/>
      <c r="B10" s="29"/>
      <c r="C10" s="30"/>
      <c r="D10" s="29"/>
      <c r="E10" s="30"/>
      <c r="F10" s="29"/>
      <c r="G10" s="43"/>
    </row>
    <row r="11" spans="1:7" x14ac:dyDescent="0.25">
      <c r="A11" s="29"/>
      <c r="B11" s="29"/>
      <c r="C11" s="30"/>
      <c r="D11" s="29"/>
      <c r="E11" s="30"/>
      <c r="F11" s="29"/>
      <c r="G11" s="43"/>
    </row>
    <row r="12" spans="1:7" x14ac:dyDescent="0.25">
      <c r="A12" s="29"/>
      <c r="B12" s="29"/>
      <c r="C12" s="30"/>
      <c r="D12" s="29"/>
      <c r="E12" s="30"/>
      <c r="F12" s="29"/>
      <c r="G12" s="43"/>
    </row>
    <row r="13" spans="1:7" x14ac:dyDescent="0.25">
      <c r="A13" s="29"/>
      <c r="B13" s="29"/>
      <c r="C13" s="30"/>
      <c r="D13" s="29"/>
      <c r="E13" s="30"/>
      <c r="F13" s="29"/>
      <c r="G13" s="43"/>
    </row>
    <row r="14" spans="1:7" x14ac:dyDescent="0.25">
      <c r="A14" s="29"/>
      <c r="B14" s="29"/>
      <c r="C14" s="30"/>
      <c r="D14" s="29"/>
      <c r="E14" s="30"/>
      <c r="F14" s="29"/>
      <c r="G14" s="43"/>
    </row>
    <row r="15" spans="1:7" x14ac:dyDescent="0.25">
      <c r="A15" s="29"/>
      <c r="B15" s="29"/>
      <c r="C15" s="30"/>
      <c r="D15" s="29"/>
      <c r="E15" s="30"/>
      <c r="F15" s="29"/>
      <c r="G15" s="43"/>
    </row>
    <row r="16" spans="1:7" x14ac:dyDescent="0.25">
      <c r="A16" s="29"/>
      <c r="B16" s="29"/>
      <c r="C16" s="30"/>
      <c r="D16" s="29"/>
      <c r="E16" s="30"/>
      <c r="F16" s="29"/>
      <c r="G16" s="43"/>
    </row>
    <row r="17" spans="1:7" x14ac:dyDescent="0.25">
      <c r="A17" s="29"/>
      <c r="B17" s="29"/>
      <c r="C17" s="30"/>
      <c r="D17" s="29"/>
      <c r="E17" s="30"/>
      <c r="F17" s="29"/>
      <c r="G17" s="43"/>
    </row>
    <row r="18" spans="1:7" x14ac:dyDescent="0.25">
      <c r="A18" s="29"/>
      <c r="B18" s="29"/>
      <c r="C18" s="30"/>
      <c r="D18" s="29"/>
      <c r="E18" s="30"/>
      <c r="F18" s="29"/>
      <c r="G18" s="43"/>
    </row>
  </sheetData>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D128"/>
  <sheetViews>
    <sheetView topLeftCell="G19" zoomScale="80" zoomScaleNormal="80" workbookViewId="0">
      <selection activeCell="M50" sqref="M50"/>
    </sheetView>
  </sheetViews>
  <sheetFormatPr defaultColWidth="9.85546875" defaultRowHeight="15" x14ac:dyDescent="0.25"/>
  <cols>
    <col min="1" max="16384" width="9.85546875" style="12"/>
  </cols>
  <sheetData>
    <row r="1" spans="2:23" x14ac:dyDescent="0.25">
      <c r="B1"/>
      <c r="D1"/>
      <c r="E1"/>
      <c r="G1"/>
    </row>
    <row r="2" spans="2:23" x14ac:dyDescent="0.25">
      <c r="B2"/>
      <c r="D2"/>
      <c r="E2"/>
      <c r="G2"/>
      <c r="N2"/>
      <c r="O2"/>
      <c r="P2"/>
      <c r="Q2"/>
      <c r="R2"/>
      <c r="T2"/>
      <c r="V2"/>
    </row>
    <row r="3" spans="2:23" x14ac:dyDescent="0.25">
      <c r="B3"/>
      <c r="D3"/>
      <c r="E3"/>
      <c r="G3"/>
      <c r="M3"/>
      <c r="N3"/>
      <c r="O3"/>
      <c r="P3"/>
      <c r="Q3"/>
      <c r="T3"/>
    </row>
    <row r="4" spans="2:23" x14ac:dyDescent="0.25">
      <c r="B4"/>
      <c r="D4"/>
      <c r="E4"/>
      <c r="G4"/>
      <c r="J4"/>
      <c r="L4"/>
      <c r="P4"/>
      <c r="Q4"/>
      <c r="S4"/>
      <c r="T4"/>
      <c r="U4"/>
    </row>
    <row r="5" spans="2:23" x14ac:dyDescent="0.25">
      <c r="B5"/>
      <c r="D5"/>
      <c r="E5"/>
      <c r="G5"/>
      <c r="I5"/>
      <c r="J5"/>
      <c r="K5"/>
      <c r="L5">
        <v>10801360</v>
      </c>
      <c r="M5"/>
      <c r="N5">
        <v>10801360</v>
      </c>
      <c r="O5">
        <v>10801580</v>
      </c>
      <c r="P5">
        <v>10801842</v>
      </c>
      <c r="Q5" s="12">
        <v>10803362</v>
      </c>
      <c r="R5">
        <v>10805458</v>
      </c>
      <c r="S5" s="12">
        <v>10805511</v>
      </c>
      <c r="T5">
        <v>10805529</v>
      </c>
      <c r="U5" s="12">
        <v>10805549</v>
      </c>
    </row>
    <row r="6" spans="2:23" x14ac:dyDescent="0.25">
      <c r="B6"/>
      <c r="D6"/>
      <c r="E6"/>
      <c r="G6"/>
      <c r="H6"/>
      <c r="J6"/>
      <c r="L6">
        <v>10801580</v>
      </c>
      <c r="M6"/>
      <c r="N6"/>
      <c r="O6"/>
      <c r="P6"/>
      <c r="Q6"/>
      <c r="R6"/>
      <c r="S6"/>
    </row>
    <row r="7" spans="2:23" x14ac:dyDescent="0.25">
      <c r="B7"/>
      <c r="D7"/>
      <c r="E7"/>
      <c r="G7"/>
      <c r="H7"/>
      <c r="I7"/>
      <c r="J7"/>
      <c r="K7"/>
      <c r="L7">
        <v>10801842</v>
      </c>
      <c r="N7"/>
      <c r="O7"/>
      <c r="P7"/>
    </row>
    <row r="8" spans="2:23" x14ac:dyDescent="0.25">
      <c r="B8"/>
      <c r="D8"/>
      <c r="E8"/>
      <c r="F8"/>
      <c r="G8"/>
      <c r="I8"/>
      <c r="J8"/>
      <c r="K8"/>
      <c r="L8" s="12">
        <v>10803362</v>
      </c>
      <c r="M8"/>
      <c r="N8"/>
      <c r="O8"/>
      <c r="P8"/>
      <c r="Q8"/>
      <c r="R8"/>
    </row>
    <row r="9" spans="2:23" x14ac:dyDescent="0.25">
      <c r="B9"/>
      <c r="D9"/>
      <c r="E9"/>
      <c r="F9"/>
      <c r="G9"/>
      <c r="I9"/>
      <c r="J9"/>
      <c r="L9">
        <v>10805458</v>
      </c>
      <c r="M9"/>
    </row>
    <row r="10" spans="2:23" x14ac:dyDescent="0.25">
      <c r="B10"/>
      <c r="D10"/>
      <c r="E10"/>
      <c r="F10"/>
      <c r="G10"/>
      <c r="I10"/>
      <c r="J10"/>
      <c r="L10" s="12">
        <v>10805511</v>
      </c>
      <c r="M10"/>
      <c r="N10"/>
      <c r="O10"/>
      <c r="P10"/>
      <c r="Q10"/>
      <c r="T10"/>
      <c r="U10"/>
      <c r="V10"/>
      <c r="W10"/>
    </row>
    <row r="11" spans="2:23" x14ac:dyDescent="0.25">
      <c r="B11"/>
      <c r="D11"/>
      <c r="E11"/>
      <c r="F11"/>
      <c r="G11"/>
      <c r="I11"/>
      <c r="J11"/>
      <c r="L11">
        <v>10805529</v>
      </c>
      <c r="M11"/>
      <c r="P11"/>
    </row>
    <row r="12" spans="2:23" x14ac:dyDescent="0.25">
      <c r="B12"/>
      <c r="D12"/>
      <c r="E12"/>
      <c r="F12"/>
      <c r="G12"/>
      <c r="I12"/>
      <c r="J12"/>
      <c r="K12"/>
      <c r="L12" s="12">
        <v>10805549</v>
      </c>
      <c r="M12"/>
      <c r="P12"/>
      <c r="Q12"/>
      <c r="S12"/>
    </row>
    <row r="13" spans="2:23" x14ac:dyDescent="0.25">
      <c r="B13"/>
      <c r="D13"/>
      <c r="E13"/>
      <c r="F13"/>
      <c r="G13"/>
      <c r="H13"/>
      <c r="I13"/>
      <c r="J13"/>
      <c r="K13"/>
      <c r="L13"/>
      <c r="M13"/>
      <c r="N13"/>
      <c r="O13"/>
      <c r="P13"/>
      <c r="Q13"/>
    </row>
    <row r="14" spans="2:23" x14ac:dyDescent="0.25">
      <c r="B14"/>
      <c r="D14"/>
      <c r="E14"/>
      <c r="F14"/>
      <c r="G14"/>
      <c r="H14"/>
      <c r="I14"/>
      <c r="J14"/>
      <c r="K14"/>
      <c r="L14">
        <v>79704819</v>
      </c>
      <c r="M14"/>
      <c r="N14"/>
      <c r="O14"/>
      <c r="P14"/>
    </row>
    <row r="15" spans="2:23" x14ac:dyDescent="0.25">
      <c r="B15"/>
      <c r="D15"/>
      <c r="E15"/>
      <c r="F15"/>
      <c r="G15"/>
      <c r="H15"/>
      <c r="I15"/>
      <c r="J15"/>
      <c r="K15"/>
      <c r="L15">
        <v>79710865</v>
      </c>
      <c r="M15"/>
      <c r="N15">
        <v>79704819</v>
      </c>
      <c r="O15">
        <v>79710865</v>
      </c>
      <c r="P15">
        <v>79711295</v>
      </c>
      <c r="Q15">
        <v>79711830</v>
      </c>
      <c r="R15">
        <v>79711832</v>
      </c>
      <c r="S15">
        <v>79711831</v>
      </c>
    </row>
    <row r="16" spans="2:23" x14ac:dyDescent="0.25">
      <c r="B16"/>
      <c r="D16"/>
      <c r="E16"/>
      <c r="F16"/>
      <c r="G16"/>
      <c r="I16"/>
      <c r="K16"/>
      <c r="L16">
        <v>79711295</v>
      </c>
      <c r="N16"/>
      <c r="O16"/>
      <c r="P16"/>
      <c r="Q16"/>
    </row>
    <row r="17" spans="2:25" x14ac:dyDescent="0.25">
      <c r="B17"/>
      <c r="D17"/>
      <c r="E17"/>
      <c r="F17"/>
      <c r="G17"/>
      <c r="I17"/>
      <c r="K17"/>
      <c r="L17">
        <v>79711830</v>
      </c>
      <c r="N17"/>
      <c r="O17"/>
      <c r="P17"/>
      <c r="Q17"/>
      <c r="R17"/>
      <c r="S17"/>
      <c r="T17"/>
      <c r="U17"/>
      <c r="V17"/>
      <c r="W17"/>
    </row>
    <row r="18" spans="2:25" x14ac:dyDescent="0.25">
      <c r="B18"/>
      <c r="D18"/>
      <c r="E18"/>
      <c r="F18"/>
      <c r="G18"/>
      <c r="I18"/>
      <c r="J18"/>
      <c r="K18"/>
      <c r="L18">
        <v>79711832</v>
      </c>
      <c r="N18"/>
      <c r="O18"/>
      <c r="P18"/>
      <c r="Q18"/>
      <c r="R18"/>
      <c r="S18"/>
      <c r="T18"/>
      <c r="U18"/>
      <c r="V18"/>
      <c r="W18"/>
    </row>
    <row r="19" spans="2:25" x14ac:dyDescent="0.25">
      <c r="B19"/>
      <c r="D19"/>
      <c r="E19"/>
      <c r="F19"/>
      <c r="G19"/>
      <c r="J19"/>
      <c r="L19">
        <v>79711831</v>
      </c>
    </row>
    <row r="20" spans="2:25" x14ac:dyDescent="0.25">
      <c r="B20"/>
      <c r="D20"/>
      <c r="E20"/>
      <c r="F20"/>
      <c r="G20"/>
      <c r="I20"/>
      <c r="J20"/>
      <c r="L20"/>
    </row>
    <row r="21" spans="2:25" x14ac:dyDescent="0.25">
      <c r="B21"/>
      <c r="D21"/>
      <c r="E21"/>
      <c r="F21"/>
      <c r="G21"/>
      <c r="H21"/>
      <c r="I21"/>
      <c r="J21"/>
      <c r="K21"/>
      <c r="L21"/>
      <c r="M21"/>
    </row>
    <row r="22" spans="2:25" x14ac:dyDescent="0.25">
      <c r="B22"/>
      <c r="D22"/>
      <c r="E22"/>
      <c r="F22"/>
      <c r="G22"/>
      <c r="H22"/>
      <c r="I22"/>
      <c r="L22"/>
      <c r="M22"/>
      <c r="P22"/>
      <c r="Q22"/>
      <c r="R22"/>
      <c r="S22"/>
      <c r="T22"/>
    </row>
    <row r="23" spans="2:25" x14ac:dyDescent="0.25">
      <c r="B23"/>
      <c r="D23"/>
      <c r="F23"/>
      <c r="G23"/>
      <c r="H23"/>
      <c r="I23"/>
      <c r="K23"/>
      <c r="L23">
        <v>10801360</v>
      </c>
      <c r="M23"/>
      <c r="N23">
        <v>10801360</v>
      </c>
      <c r="O23">
        <v>10801580</v>
      </c>
      <c r="P23">
        <v>10801842</v>
      </c>
      <c r="Q23" s="12">
        <v>10803362</v>
      </c>
      <c r="R23" s="12">
        <v>10805549</v>
      </c>
      <c r="S23">
        <v>10805600</v>
      </c>
    </row>
    <row r="24" spans="2:25" x14ac:dyDescent="0.25">
      <c r="B24"/>
      <c r="D24"/>
      <c r="F24"/>
      <c r="G24"/>
      <c r="I24"/>
      <c r="J24"/>
      <c r="L24">
        <v>10801580</v>
      </c>
      <c r="M24"/>
      <c r="O24"/>
      <c r="P24"/>
      <c r="Q24"/>
      <c r="R24"/>
    </row>
    <row r="25" spans="2:25" x14ac:dyDescent="0.25">
      <c r="B25"/>
      <c r="D25"/>
      <c r="F25"/>
      <c r="G25"/>
      <c r="I25"/>
      <c r="J25"/>
      <c r="L25">
        <v>10801842</v>
      </c>
      <c r="M25"/>
    </row>
    <row r="26" spans="2:25" x14ac:dyDescent="0.25">
      <c r="B26"/>
      <c r="D26"/>
      <c r="F26"/>
      <c r="G26"/>
      <c r="H26"/>
      <c r="I26"/>
      <c r="J26"/>
      <c r="K26"/>
      <c r="L26" s="12">
        <v>10803362</v>
      </c>
      <c r="M26"/>
      <c r="N26"/>
      <c r="O26"/>
      <c r="P26"/>
      <c r="Q26"/>
      <c r="R26"/>
      <c r="S26"/>
      <c r="T26"/>
    </row>
    <row r="27" spans="2:25" x14ac:dyDescent="0.25">
      <c r="B27"/>
      <c r="D27"/>
      <c r="F27"/>
      <c r="G27"/>
      <c r="I27"/>
      <c r="J27"/>
      <c r="L27" s="12">
        <v>10805549</v>
      </c>
      <c r="M27"/>
    </row>
    <row r="28" spans="2:25" x14ac:dyDescent="0.25">
      <c r="B28"/>
      <c r="D28"/>
      <c r="F28"/>
      <c r="G28"/>
      <c r="I28"/>
      <c r="J28"/>
      <c r="L28">
        <v>10805600</v>
      </c>
      <c r="N28"/>
      <c r="O28"/>
      <c r="P28"/>
      <c r="T28"/>
      <c r="U28"/>
      <c r="V28"/>
      <c r="W28"/>
      <c r="X28"/>
      <c r="Y28"/>
    </row>
    <row r="29" spans="2:25" x14ac:dyDescent="0.25">
      <c r="B29"/>
      <c r="D29"/>
      <c r="F29"/>
      <c r="G29"/>
      <c r="I29"/>
      <c r="J29"/>
      <c r="L29"/>
    </row>
    <row r="30" spans="2:25" x14ac:dyDescent="0.25">
      <c r="B30"/>
      <c r="D30"/>
      <c r="F30"/>
      <c r="G30"/>
      <c r="I30"/>
      <c r="J30"/>
      <c r="L30"/>
      <c r="N30"/>
      <c r="O30"/>
    </row>
    <row r="31" spans="2:25" x14ac:dyDescent="0.25">
      <c r="B31"/>
      <c r="D31"/>
      <c r="F31"/>
      <c r="G31"/>
      <c r="I31"/>
      <c r="J31"/>
      <c r="L31">
        <v>79704819</v>
      </c>
      <c r="N31">
        <v>79704819</v>
      </c>
      <c r="O31" s="12">
        <v>79711295</v>
      </c>
      <c r="P31" s="12">
        <v>79711830</v>
      </c>
      <c r="Q31" s="12">
        <v>79711832</v>
      </c>
      <c r="R31">
        <v>79711831</v>
      </c>
    </row>
    <row r="32" spans="2:25" x14ac:dyDescent="0.25">
      <c r="B32"/>
      <c r="D32"/>
      <c r="F32"/>
      <c r="G32"/>
      <c r="I32"/>
      <c r="L32" s="12">
        <v>79711295</v>
      </c>
      <c r="M32"/>
    </row>
    <row r="33" spans="2:21" x14ac:dyDescent="0.25">
      <c r="B33"/>
      <c r="D33"/>
      <c r="F33"/>
      <c r="G33"/>
      <c r="I33"/>
      <c r="L33" s="12">
        <v>79711830</v>
      </c>
      <c r="M33"/>
    </row>
    <row r="34" spans="2:21" x14ac:dyDescent="0.25">
      <c r="B34"/>
      <c r="D34"/>
      <c r="F34"/>
      <c r="G34"/>
      <c r="I34"/>
      <c r="L34" s="12">
        <v>79711832</v>
      </c>
      <c r="M34"/>
      <c r="O34"/>
      <c r="P34"/>
      <c r="Q34"/>
      <c r="U34"/>
    </row>
    <row r="35" spans="2:21" x14ac:dyDescent="0.25">
      <c r="B35"/>
      <c r="D35"/>
      <c r="F35"/>
      <c r="G35"/>
      <c r="I35"/>
      <c r="J35"/>
      <c r="L35">
        <v>79711831</v>
      </c>
      <c r="M35"/>
    </row>
    <row r="36" spans="2:21" x14ac:dyDescent="0.25">
      <c r="B36"/>
      <c r="D36"/>
      <c r="F36"/>
      <c r="G36"/>
      <c r="I36"/>
      <c r="J36"/>
      <c r="L36"/>
      <c r="M36"/>
    </row>
    <row r="37" spans="2:21" x14ac:dyDescent="0.25">
      <c r="B37"/>
      <c r="D37"/>
      <c r="F37"/>
      <c r="I37"/>
      <c r="J37"/>
      <c r="K37"/>
      <c r="L37"/>
      <c r="N37"/>
    </row>
    <row r="38" spans="2:21" x14ac:dyDescent="0.25">
      <c r="B38"/>
      <c r="D38"/>
      <c r="F38"/>
      <c r="G38"/>
      <c r="I38"/>
      <c r="J38"/>
      <c r="L38"/>
    </row>
    <row r="39" spans="2:21" x14ac:dyDescent="0.25">
      <c r="B39"/>
      <c r="D39"/>
      <c r="F39"/>
      <c r="I39"/>
      <c r="J39"/>
      <c r="L39"/>
    </row>
    <row r="40" spans="2:21" x14ac:dyDescent="0.25">
      <c r="B40"/>
      <c r="D40"/>
      <c r="F40"/>
      <c r="I40"/>
      <c r="J40"/>
      <c r="L40"/>
      <c r="M40"/>
    </row>
    <row r="41" spans="2:21" x14ac:dyDescent="0.25">
      <c r="B41"/>
      <c r="D41"/>
      <c r="F41"/>
      <c r="G41"/>
      <c r="I41"/>
      <c r="J41"/>
      <c r="L41"/>
    </row>
    <row r="42" spans="2:21" x14ac:dyDescent="0.25">
      <c r="B42"/>
      <c r="D42"/>
      <c r="F42"/>
      <c r="G42"/>
      <c r="H42"/>
      <c r="I42"/>
      <c r="J42"/>
      <c r="K42"/>
      <c r="L42"/>
      <c r="M42"/>
      <c r="N42"/>
    </row>
    <row r="43" spans="2:21" x14ac:dyDescent="0.25">
      <c r="B43"/>
      <c r="D43"/>
      <c r="F43"/>
      <c r="G43"/>
      <c r="I43"/>
      <c r="J43"/>
      <c r="M43"/>
    </row>
    <row r="44" spans="2:21" x14ac:dyDescent="0.25">
      <c r="B44"/>
      <c r="D44"/>
      <c r="F44"/>
      <c r="G44"/>
      <c r="I44"/>
      <c r="J44"/>
      <c r="M44"/>
    </row>
    <row r="45" spans="2:21" x14ac:dyDescent="0.25">
      <c r="B45"/>
      <c r="D45"/>
      <c r="F45"/>
      <c r="G45"/>
      <c r="I45"/>
      <c r="J45"/>
      <c r="L45"/>
      <c r="M45"/>
      <c r="N45"/>
      <c r="O45"/>
      <c r="P45"/>
      <c r="Q45"/>
    </row>
    <row r="46" spans="2:21" x14ac:dyDescent="0.25">
      <c r="B46"/>
      <c r="D46"/>
      <c r="F46"/>
      <c r="G46"/>
      <c r="I46"/>
      <c r="J46"/>
      <c r="L46"/>
      <c r="M46"/>
      <c r="N46"/>
      <c r="O46"/>
      <c r="P46"/>
      <c r="Q46"/>
      <c r="R46"/>
    </row>
    <row r="47" spans="2:21" x14ac:dyDescent="0.25">
      <c r="B47"/>
      <c r="D47"/>
      <c r="F47"/>
      <c r="G47"/>
      <c r="I47"/>
      <c r="J47"/>
      <c r="M47"/>
    </row>
    <row r="48" spans="2:21" x14ac:dyDescent="0.25">
      <c r="B48"/>
      <c r="D48"/>
      <c r="F48"/>
      <c r="G48"/>
      <c r="J48"/>
    </row>
    <row r="49" spans="2:18" x14ac:dyDescent="0.25">
      <c r="B49"/>
      <c r="D49"/>
      <c r="F49"/>
      <c r="G49"/>
      <c r="J49"/>
    </row>
    <row r="50" spans="2:18" x14ac:dyDescent="0.25">
      <c r="B50"/>
      <c r="D50"/>
      <c r="F50"/>
      <c r="G50"/>
      <c r="J50"/>
    </row>
    <row r="51" spans="2:18" x14ac:dyDescent="0.25">
      <c r="B51"/>
      <c r="D51"/>
      <c r="F51"/>
      <c r="J51"/>
    </row>
    <row r="52" spans="2:18" x14ac:dyDescent="0.25">
      <c r="B52"/>
      <c r="D52"/>
      <c r="F52"/>
      <c r="J52"/>
    </row>
    <row r="53" spans="2:18" x14ac:dyDescent="0.25">
      <c r="B53"/>
      <c r="D53"/>
      <c r="F53"/>
      <c r="J53"/>
    </row>
    <row r="54" spans="2:18" x14ac:dyDescent="0.25">
      <c r="B54"/>
      <c r="D54"/>
      <c r="F54"/>
      <c r="J54"/>
      <c r="P54"/>
    </row>
    <row r="55" spans="2:18" x14ac:dyDescent="0.25">
      <c r="B55"/>
      <c r="D55"/>
      <c r="F55"/>
      <c r="J55"/>
      <c r="L55"/>
      <c r="M55"/>
      <c r="N55"/>
      <c r="O55"/>
      <c r="P55"/>
      <c r="Q55"/>
      <c r="R55"/>
    </row>
    <row r="56" spans="2:18" x14ac:dyDescent="0.25">
      <c r="B56"/>
      <c r="D56"/>
      <c r="F56"/>
      <c r="J56"/>
    </row>
    <row r="57" spans="2:18" x14ac:dyDescent="0.25">
      <c r="B57"/>
      <c r="D57"/>
      <c r="F57"/>
      <c r="J57"/>
    </row>
    <row r="58" spans="2:18" x14ac:dyDescent="0.25">
      <c r="B58"/>
      <c r="D58"/>
      <c r="J58"/>
    </row>
    <row r="59" spans="2:18" x14ac:dyDescent="0.25">
      <c r="B59"/>
      <c r="D59"/>
      <c r="J59"/>
    </row>
    <row r="60" spans="2:18" x14ac:dyDescent="0.25">
      <c r="B60"/>
      <c r="D60"/>
      <c r="J60"/>
      <c r="M60"/>
    </row>
    <row r="61" spans="2:18" x14ac:dyDescent="0.25">
      <c r="B61"/>
      <c r="D61"/>
      <c r="J61"/>
      <c r="M61"/>
    </row>
    <row r="62" spans="2:18" x14ac:dyDescent="0.25">
      <c r="B62"/>
      <c r="D62"/>
      <c r="J62"/>
      <c r="M62"/>
    </row>
    <row r="63" spans="2:18" x14ac:dyDescent="0.25">
      <c r="B63"/>
      <c r="D63"/>
      <c r="J63"/>
      <c r="M63"/>
      <c r="O63"/>
      <c r="P63"/>
      <c r="Q63"/>
    </row>
    <row r="64" spans="2:18" x14ac:dyDescent="0.25">
      <c r="B64"/>
      <c r="D64"/>
      <c r="J64"/>
      <c r="L64"/>
      <c r="M64"/>
      <c r="N64"/>
      <c r="O64"/>
      <c r="P64"/>
    </row>
    <row r="65" spans="2:30" x14ac:dyDescent="0.25">
      <c r="B65"/>
      <c r="D65"/>
      <c r="J65"/>
      <c r="L65"/>
      <c r="M65"/>
      <c r="N65"/>
      <c r="O65"/>
      <c r="S65"/>
      <c r="T65"/>
      <c r="U65"/>
      <c r="V65"/>
      <c r="W65"/>
      <c r="X65"/>
      <c r="Y65"/>
      <c r="Z65"/>
      <c r="AA65"/>
      <c r="AB65"/>
      <c r="AC65"/>
      <c r="AD65"/>
    </row>
    <row r="66" spans="2:30" x14ac:dyDescent="0.25">
      <c r="B66"/>
      <c r="D66"/>
      <c r="J66"/>
      <c r="M66"/>
    </row>
    <row r="67" spans="2:30" x14ac:dyDescent="0.25">
      <c r="B67"/>
      <c r="D67"/>
      <c r="J67"/>
    </row>
    <row r="68" spans="2:30" x14ac:dyDescent="0.25">
      <c r="B68"/>
      <c r="D68"/>
      <c r="J68"/>
    </row>
    <row r="69" spans="2:30" x14ac:dyDescent="0.25">
      <c r="B69"/>
      <c r="D69"/>
    </row>
    <row r="70" spans="2:30" x14ac:dyDescent="0.25">
      <c r="B70"/>
      <c r="D70"/>
    </row>
    <row r="71" spans="2:30" x14ac:dyDescent="0.25">
      <c r="B71"/>
      <c r="D71"/>
    </row>
    <row r="72" spans="2:30" x14ac:dyDescent="0.25">
      <c r="B72"/>
      <c r="D72"/>
      <c r="J72"/>
    </row>
    <row r="73" spans="2:30" x14ac:dyDescent="0.25">
      <c r="B73"/>
      <c r="D73"/>
      <c r="J73"/>
    </row>
    <row r="74" spans="2:30" x14ac:dyDescent="0.25">
      <c r="B74"/>
      <c r="D74"/>
      <c r="J74"/>
    </row>
    <row r="75" spans="2:30" x14ac:dyDescent="0.25">
      <c r="B75"/>
      <c r="D75"/>
      <c r="F75"/>
      <c r="J75"/>
    </row>
    <row r="76" spans="2:30" x14ac:dyDescent="0.25">
      <c r="B76"/>
      <c r="D76"/>
      <c r="F76"/>
      <c r="J76"/>
    </row>
    <row r="77" spans="2:30" x14ac:dyDescent="0.25">
      <c r="B77"/>
      <c r="D77"/>
      <c r="F77"/>
      <c r="J77"/>
    </row>
    <row r="78" spans="2:30" x14ac:dyDescent="0.25">
      <c r="B78"/>
      <c r="D78"/>
      <c r="F78"/>
      <c r="J78"/>
    </row>
    <row r="79" spans="2:30" x14ac:dyDescent="0.25">
      <c r="B79"/>
      <c r="D79"/>
      <c r="F79"/>
      <c r="H79"/>
      <c r="I79"/>
      <c r="J79"/>
      <c r="K79"/>
      <c r="L79"/>
      <c r="M79"/>
      <c r="N79"/>
      <c r="O79"/>
    </row>
    <row r="80" spans="2:30" x14ac:dyDescent="0.25">
      <c r="B80"/>
      <c r="D80"/>
      <c r="F80"/>
      <c r="J80"/>
    </row>
    <row r="81" spans="2:10" x14ac:dyDescent="0.25">
      <c r="B81"/>
      <c r="D81"/>
      <c r="F81"/>
      <c r="J81"/>
    </row>
    <row r="82" spans="2:10" x14ac:dyDescent="0.25">
      <c r="B82"/>
      <c r="D82"/>
      <c r="F82"/>
      <c r="J82"/>
    </row>
    <row r="83" spans="2:10" x14ac:dyDescent="0.25">
      <c r="B83"/>
      <c r="D83"/>
      <c r="F83"/>
      <c r="J83"/>
    </row>
    <row r="84" spans="2:10" x14ac:dyDescent="0.25">
      <c r="B84"/>
      <c r="D84"/>
      <c r="F84"/>
      <c r="J84"/>
    </row>
    <row r="85" spans="2:10" x14ac:dyDescent="0.25">
      <c r="B85"/>
      <c r="D85"/>
      <c r="F85"/>
      <c r="J85"/>
    </row>
    <row r="86" spans="2:10" x14ac:dyDescent="0.25">
      <c r="B86"/>
      <c r="D86"/>
      <c r="F86"/>
      <c r="J86"/>
    </row>
    <row r="87" spans="2:10" x14ac:dyDescent="0.25">
      <c r="B87"/>
      <c r="D87"/>
      <c r="J87"/>
    </row>
    <row r="88" spans="2:10" x14ac:dyDescent="0.25">
      <c r="B88"/>
      <c r="D88"/>
      <c r="J88"/>
    </row>
    <row r="89" spans="2:10" x14ac:dyDescent="0.25">
      <c r="B89"/>
      <c r="D89"/>
      <c r="J89"/>
    </row>
    <row r="90" spans="2:10" x14ac:dyDescent="0.25">
      <c r="B90"/>
      <c r="D90"/>
      <c r="J90"/>
    </row>
    <row r="91" spans="2:10" x14ac:dyDescent="0.25">
      <c r="B91"/>
      <c r="D91"/>
      <c r="J91"/>
    </row>
    <row r="92" spans="2:10" x14ac:dyDescent="0.25">
      <c r="B92"/>
      <c r="D92"/>
      <c r="J92"/>
    </row>
    <row r="93" spans="2:10" x14ac:dyDescent="0.25">
      <c r="B93"/>
      <c r="D93"/>
      <c r="J93"/>
    </row>
    <row r="94" spans="2:10" x14ac:dyDescent="0.25">
      <c r="B94"/>
      <c r="D94"/>
      <c r="J94"/>
    </row>
    <row r="95" spans="2:10" x14ac:dyDescent="0.25">
      <c r="B95"/>
      <c r="D95"/>
      <c r="J95"/>
    </row>
    <row r="96" spans="2:10" x14ac:dyDescent="0.25">
      <c r="B96"/>
      <c r="D96"/>
      <c r="F96"/>
      <c r="J96"/>
    </row>
    <row r="97" spans="2:13" x14ac:dyDescent="0.25">
      <c r="B97"/>
      <c r="D97"/>
      <c r="F97"/>
      <c r="J97"/>
    </row>
    <row r="98" spans="2:13" x14ac:dyDescent="0.25">
      <c r="B98"/>
      <c r="D98"/>
      <c r="F98"/>
      <c r="J98"/>
    </row>
    <row r="99" spans="2:13" x14ac:dyDescent="0.25">
      <c r="B99"/>
      <c r="D99"/>
      <c r="F99"/>
      <c r="J99"/>
    </row>
    <row r="100" spans="2:13" x14ac:dyDescent="0.25">
      <c r="B100"/>
      <c r="D100"/>
      <c r="F100"/>
      <c r="J100"/>
    </row>
    <row r="101" spans="2:13" x14ac:dyDescent="0.25">
      <c r="B101"/>
      <c r="D101"/>
      <c r="F101"/>
      <c r="J101"/>
    </row>
    <row r="102" spans="2:13" x14ac:dyDescent="0.25">
      <c r="B102"/>
      <c r="D102"/>
      <c r="F102"/>
      <c r="J102"/>
    </row>
    <row r="103" spans="2:13" x14ac:dyDescent="0.25">
      <c r="B103"/>
      <c r="D103"/>
      <c r="F103"/>
      <c r="J103"/>
    </row>
    <row r="104" spans="2:13" x14ac:dyDescent="0.25">
      <c r="B104"/>
      <c r="D104"/>
      <c r="F104"/>
      <c r="H104"/>
      <c r="I104"/>
      <c r="J104"/>
      <c r="K104"/>
      <c r="L104"/>
      <c r="M104"/>
    </row>
    <row r="105" spans="2:13" x14ac:dyDescent="0.25">
      <c r="B105"/>
      <c r="D105"/>
      <c r="F105"/>
    </row>
    <row r="106" spans="2:13" x14ac:dyDescent="0.25">
      <c r="B106"/>
      <c r="D106"/>
      <c r="F106"/>
    </row>
    <row r="107" spans="2:13" x14ac:dyDescent="0.25">
      <c r="D107"/>
      <c r="F107"/>
    </row>
    <row r="108" spans="2:13" x14ac:dyDescent="0.25">
      <c r="D108"/>
      <c r="F108"/>
    </row>
    <row r="109" spans="2:13" x14ac:dyDescent="0.25">
      <c r="D109"/>
      <c r="F109"/>
    </row>
    <row r="110" spans="2:13" x14ac:dyDescent="0.25">
      <c r="D110"/>
    </row>
    <row r="111" spans="2:13" x14ac:dyDescent="0.25">
      <c r="D111"/>
    </row>
    <row r="112" spans="2:13" x14ac:dyDescent="0.25">
      <c r="D112"/>
    </row>
    <row r="113" spans="4:6" x14ac:dyDescent="0.25">
      <c r="D113"/>
    </row>
    <row r="114" spans="4:6" x14ac:dyDescent="0.25">
      <c r="D114"/>
    </row>
    <row r="115" spans="4:6" x14ac:dyDescent="0.25">
      <c r="D115"/>
    </row>
    <row r="116" spans="4:6" x14ac:dyDescent="0.25">
      <c r="D116"/>
    </row>
    <row r="117" spans="4:6" x14ac:dyDescent="0.25">
      <c r="F117"/>
    </row>
    <row r="118" spans="4:6" x14ac:dyDescent="0.25">
      <c r="F118"/>
    </row>
    <row r="119" spans="4:6" x14ac:dyDescent="0.25">
      <c r="F119"/>
    </row>
    <row r="120" spans="4:6" x14ac:dyDescent="0.25">
      <c r="F120"/>
    </row>
    <row r="121" spans="4:6" x14ac:dyDescent="0.25">
      <c r="F121"/>
    </row>
    <row r="122" spans="4:6" x14ac:dyDescent="0.25">
      <c r="F122"/>
    </row>
    <row r="123" spans="4:6" x14ac:dyDescent="0.25">
      <c r="F123"/>
    </row>
    <row r="124" spans="4:6" x14ac:dyDescent="0.25">
      <c r="F124"/>
    </row>
    <row r="125" spans="4:6" x14ac:dyDescent="0.25">
      <c r="F125"/>
    </row>
    <row r="126" spans="4:6" x14ac:dyDescent="0.25">
      <c r="F126"/>
    </row>
    <row r="127" spans="4:6" x14ac:dyDescent="0.25">
      <c r="F127"/>
    </row>
    <row r="128" spans="4:6" x14ac:dyDescent="0.25">
      <c r="F12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PR CREATE IT 2025</vt:lpstr>
      <vt:lpstr>PR 2025</vt:lpstr>
      <vt:lpstr>PO 2025</vt:lpstr>
      <vt:lpstr>GRS 2025</vt:lpstr>
      <vt:lpstr>MATERIAL DISCONTINUE</vt:lpstr>
      <vt:lpstr>Sheet1</vt:lpstr>
      <vt:lpstr>'PR CREATE IT 2025'!Print_Titles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Meriska</dc:creator>
  <cp:lastModifiedBy>XP</cp:lastModifiedBy>
  <dcterms:created xsi:type="dcterms:W3CDTF">2021-09-27T05:40:08Z</dcterms:created>
  <dcterms:modified xsi:type="dcterms:W3CDTF">2025-12-04T03:11:09Z</dcterms:modified>
</cp:coreProperties>
</file>