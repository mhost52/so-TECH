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Lw\SO PROBLEMS\so-TECH-main\2025\"/>
    </mc:Choice>
  </mc:AlternateContent>
  <xr:revisionPtr revIDLastSave="0" documentId="13_ncr:1_{5CA216D5-41A4-4198-9CD6-8449FD5347F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4" sheetId="12" r:id="rId1"/>
    <sheet name="2025" sheetId="10" r:id="rId2"/>
    <sheet name="Scan Absen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0" l="1"/>
  <c r="J7" i="10"/>
  <c r="J8" i="10"/>
  <c r="J9" i="10"/>
  <c r="J10" i="10"/>
  <c r="J11" i="10"/>
  <c r="J12" i="10"/>
  <c r="J13" i="10"/>
  <c r="J14" i="10"/>
  <c r="J5" i="10"/>
  <c r="H8" i="13" s="1"/>
  <c r="H7" i="13"/>
  <c r="H15" i="13"/>
  <c r="H6" i="13"/>
  <c r="E7" i="13"/>
  <c r="E8" i="13"/>
  <c r="E9" i="13"/>
  <c r="E10" i="13"/>
  <c r="E11" i="13"/>
  <c r="E12" i="13"/>
  <c r="E13" i="13"/>
  <c r="E14" i="13"/>
  <c r="E15" i="13"/>
  <c r="E6" i="13"/>
  <c r="D7" i="13"/>
  <c r="D8" i="13"/>
  <c r="D9" i="13"/>
  <c r="D10" i="13"/>
  <c r="D11" i="13"/>
  <c r="D12" i="13"/>
  <c r="D13" i="13"/>
  <c r="D14" i="13"/>
  <c r="D15" i="13"/>
  <c r="D6" i="13"/>
  <c r="C7" i="13"/>
  <c r="C8" i="13"/>
  <c r="C9" i="13"/>
  <c r="C10" i="13"/>
  <c r="C11" i="13"/>
  <c r="C12" i="13"/>
  <c r="C13" i="13"/>
  <c r="C14" i="13"/>
  <c r="C15" i="13"/>
  <c r="C6" i="13"/>
  <c r="K6" i="13" s="1" a="1"/>
  <c r="K6" i="13" s="1"/>
  <c r="J6" i="12"/>
  <c r="J7" i="12"/>
  <c r="J8" i="12"/>
  <c r="J9" i="12"/>
  <c r="J10" i="12"/>
  <c r="J11" i="12"/>
  <c r="J12" i="12"/>
  <c r="J13" i="12"/>
  <c r="J14" i="12"/>
  <c r="J15" i="12"/>
  <c r="J5" i="12"/>
  <c r="G16" i="13"/>
  <c r="F16" i="13"/>
  <c r="E15" i="12"/>
  <c r="H13" i="13" l="1"/>
  <c r="H12" i="13"/>
  <c r="H10" i="13"/>
  <c r="H9" i="13"/>
  <c r="H14" i="13"/>
  <c r="H11" i="13"/>
  <c r="E16" i="13"/>
  <c r="E15" i="10"/>
  <c r="H16" i="1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<sst xmlns="http://schemas.openxmlformats.org/spreadsheetml/2006/main" count="116" uniqueCount="36">
  <si>
    <t xml:space="preserve">          STOCK MESIN SCAN ABSEN</t>
  </si>
  <si>
    <t>No</t>
  </si>
  <si>
    <t>Nama barang</t>
  </si>
  <si>
    <t>KET</t>
  </si>
  <si>
    <t>Bagian</t>
  </si>
  <si>
    <t>QTY</t>
  </si>
  <si>
    <t>NB</t>
  </si>
  <si>
    <t>Type</t>
  </si>
  <si>
    <t>SOLUTION</t>
  </si>
  <si>
    <t>SUPPORTING</t>
  </si>
  <si>
    <t>LEUWITEX 1</t>
  </si>
  <si>
    <t>X100-C</t>
  </si>
  <si>
    <t>GD FINAL</t>
  </si>
  <si>
    <t>GD DF</t>
  </si>
  <si>
    <t>GD UNWINDING</t>
  </si>
  <si>
    <t>GD WEAVING</t>
  </si>
  <si>
    <t>OFFICE PERSONALIA LJ2</t>
  </si>
  <si>
    <t>LEUWITEX 2</t>
  </si>
  <si>
    <t>SATPAM TENGAH LJ2</t>
  </si>
  <si>
    <t>GD MARKETING</t>
  </si>
  <si>
    <t>AREA LJ3</t>
  </si>
  <si>
    <t>LEUWITEX 3</t>
  </si>
  <si>
    <t>MKA</t>
  </si>
  <si>
    <t>Jumlah Total</t>
  </si>
  <si>
    <t xml:space="preserve">          Periode 31 Desember 2024</t>
  </si>
  <si>
    <t>UNIT BARU GANTI RUSAK</t>
  </si>
  <si>
    <t xml:space="preserve">          Periode 31 Desember 2026</t>
  </si>
  <si>
    <t>PERIODE : 31 Desember 2025</t>
  </si>
  <si>
    <t>NO</t>
  </si>
  <si>
    <t>NAMA MATERIAL</t>
  </si>
  <si>
    <t>JUMLAH</t>
  </si>
  <si>
    <t>KETERANGAN</t>
  </si>
  <si>
    <t>+</t>
  </si>
  <si>
    <t>-</t>
  </si>
  <si>
    <t>TOTAL</t>
  </si>
  <si>
    <t>STOCK OPNAME SCAN ABSEN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</si>
</sst>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7" fillId="0" borderId="0" applyFont="0" applyFill="0" applyBorder="0" applyAlignment="0" applyProtection="0"/>
  </cellStyleXfs>
  <cellXfs count="42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5" fillId="2" borderId="10" xfId="0" applyFont="1" applyFill="1" applyBorder="1" applyAlignment="1">
      <alignment horizontal="center" vertical="center"/>
    </xf>
    <xf numFmtId="0" fontId="2" fillId="2" borderId="10" xfId="0" applyFont="1" applyFill="1" applyBorder="1"/>
    <xf numFmtId="0" fontId="2" fillId="3" borderId="6" xfId="0" applyFont="1" applyFill="1" applyBorder="1"/>
    <xf numFmtId="0" fontId="2" fillId="3" borderId="6" xfId="0" applyFont="1" applyFill="1" applyBorder="1" applyAlignment="1">
      <alignment horizontal="center"/>
    </xf>
    <xf numFmtId="0" fontId="2" fillId="4" borderId="6" xfId="0" applyFont="1" applyFill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7" fillId="0" borderId="0" xfId="2" applyNumberFormat="1" applyFont="1"/>
    <xf numFmtId="0" fontId="8" fillId="0" borderId="6" xfId="0" applyFont="1" applyBorder="1" applyAlignment="1">
      <alignment horizontal="center" vertical="center" wrapText="1"/>
    </xf>
    <xf numFmtId="165" fontId="8" fillId="0" borderId="6" xfId="2" applyNumberFormat="1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quotePrefix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165" fontId="7" fillId="0" borderId="6" xfId="2" applyNumberFormat="1" applyFont="1" applyBorder="1"/>
    <xf numFmtId="0" fontId="0" fillId="2" borderId="0" xfId="0" applyFill="1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65" fontId="8" fillId="0" borderId="6" xfId="2" applyNumberFormat="1" applyFont="1" applyBorder="1"/>
    <xf numFmtId="0" fontId="8" fillId="0" borderId="6" xfId="0" applyFont="1" applyBorder="1"/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38100</xdr:rowOff>
    </xdr:from>
    <xdr:to>
      <xdr:col>1</xdr:col>
      <xdr:colOff>457200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8100"/>
          <a:ext cx="5810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9524</xdr:colOff>
      <xdr:row>16</xdr:row>
      <xdr:rowOff>0</xdr:rowOff>
    </xdr:from>
    <xdr:to>
      <xdr:col>2</xdr:col>
      <xdr:colOff>47625</xdr:colOff>
      <xdr:row>22</xdr:row>
      <xdr:rowOff>112401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524" y="4086225"/>
          <a:ext cx="1362076" cy="125540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lang="en-US" sz="1000">
              <a:effectLst/>
              <a:sym typeface="+mn-ea"/>
            </a:rPr>
            <a:t>Disetujui</a:t>
          </a:r>
          <a:endParaRPr lang="en-US" sz="1000">
            <a:effectLst/>
          </a:endParaRPr>
        </a:p>
        <a:p>
          <a:pPr algn="ctr"/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effectLst/>
          </a:endParaRPr>
        </a:p>
        <a:p>
          <a:pPr algn="ctr"/>
          <a:r>
            <a:rPr lang="en-US" sz="1000" u="sng">
              <a:effectLst/>
              <a:sym typeface="+mn-ea"/>
            </a:rPr>
            <a:t>Riswadi</a:t>
          </a:r>
          <a:endParaRPr lang="en-US" sz="1000" u="sng">
            <a:effectLst/>
          </a:endParaRPr>
        </a:p>
        <a:p>
          <a:pPr algn="ctr"/>
          <a:r>
            <a:rPr lang="en-US" sz="1000">
              <a:effectLst/>
              <a:sym typeface="+mn-ea"/>
            </a:rPr>
            <a:t>   Koor SO Support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47625</xdr:colOff>
      <xdr:row>16</xdr:row>
      <xdr:rowOff>0</xdr:rowOff>
    </xdr:from>
    <xdr:to>
      <xdr:col>3</xdr:col>
      <xdr:colOff>320003</xdr:colOff>
      <xdr:row>22</xdr:row>
      <xdr:rowOff>112401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371600" y="4086225"/>
          <a:ext cx="1434428" cy="125540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>
            <a:lnSpc>
              <a:spcPts val="1000"/>
            </a:lnSpc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Mengetahui</a:t>
          </a:r>
        </a:p>
        <a:p>
          <a:pPr algn="ctr">
            <a:lnSpc>
              <a:spcPts val="1000"/>
            </a:lnSpc>
          </a:pPr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>
            <a:lnSpc>
              <a:spcPts val="1000"/>
            </a:lnSpc>
          </a:pPr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>
            <a:lnSpc>
              <a:spcPts val="1000"/>
            </a:lnSpc>
          </a:pPr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>
            <a:lnSpc>
              <a:spcPts val="1000"/>
            </a:lnSpc>
          </a:pPr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>
            <a:lnSpc>
              <a:spcPts val="1000"/>
            </a:lnSpc>
          </a:pPr>
          <a:endParaRPr lang="en-US" sz="1000" u="non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>
            <a:lnSpc>
              <a:spcPts val="1000"/>
            </a:lnSpc>
          </a:pPr>
          <a:r>
            <a:rPr lang="en-US" sz="10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Dian P</a:t>
          </a:r>
          <a:endParaRPr lang="en-US" sz="1000">
            <a:effectLst/>
          </a:endParaRPr>
        </a:p>
        <a:p>
          <a:pPr algn="ctr">
            <a:lnSpc>
              <a:spcPts val="1100"/>
            </a:lnSpc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Pimpinan Bagian</a:t>
          </a:r>
          <a:endParaRPr lang="en-US" sz="1000">
            <a:effectLst/>
          </a:endParaRPr>
        </a:p>
        <a:p>
          <a:pPr algn="ctr"/>
          <a:endParaRPr lang="en-US" sz="1000"/>
        </a:p>
      </xdr:txBody>
    </xdr:sp>
    <xdr:clientData/>
  </xdr:twoCellAnchor>
  <xdr:twoCellAnchor>
    <xdr:from>
      <xdr:col>3</xdr:col>
      <xdr:colOff>312290</xdr:colOff>
      <xdr:row>16</xdr:row>
      <xdr:rowOff>0</xdr:rowOff>
    </xdr:from>
    <xdr:to>
      <xdr:col>5</xdr:col>
      <xdr:colOff>198119</xdr:colOff>
      <xdr:row>22</xdr:row>
      <xdr:rowOff>112401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798315" y="4086225"/>
          <a:ext cx="1371729" cy="125540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lang="en-US" sz="1000">
              <a:effectLst/>
              <a:sym typeface="+mn-ea"/>
            </a:rPr>
            <a:t>Diperiksa</a:t>
          </a:r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Idrus</a:t>
          </a: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Maulana</a:t>
          </a:r>
          <a:endParaRPr lang="en-US" sz="1000">
            <a:effectLst/>
          </a:endParaRPr>
        </a:p>
        <a:p>
          <a:pPr algn="ctr"/>
          <a:r>
            <a:rPr lang="en-US" sz="1000">
              <a:effectLst/>
              <a:sym typeface="+mn-ea"/>
            </a:rPr>
            <a:t>Pelaksana SO</a:t>
          </a:r>
          <a:endParaRPr lang="en-US" sz="1000"/>
        </a:p>
      </xdr:txBody>
    </xdr:sp>
    <xdr:clientData/>
  </xdr:twoCellAnchor>
  <xdr:twoCellAnchor>
    <xdr:from>
      <xdr:col>5</xdr:col>
      <xdr:colOff>188595</xdr:colOff>
      <xdr:row>16</xdr:row>
      <xdr:rowOff>0</xdr:rowOff>
    </xdr:from>
    <xdr:to>
      <xdr:col>7</xdr:col>
      <xdr:colOff>0</xdr:colOff>
      <xdr:row>22</xdr:row>
      <xdr:rowOff>114260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160520" y="4086225"/>
          <a:ext cx="1344930" cy="125726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Dibuat Oleh</a:t>
          </a:r>
        </a:p>
        <a:p>
          <a:pPr algn="ctr"/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effectLst/>
          </a:endParaRPr>
        </a:p>
        <a:p>
          <a:pPr algn="ctr"/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Dini</a:t>
          </a: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Rachma</a:t>
          </a:r>
          <a:endParaRPr lang="en-US" sz="1000">
            <a:effectLst/>
          </a:endParaRPr>
        </a:p>
        <a:p>
          <a:pPr algn="ctr"/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Sekretaris SO</a:t>
          </a:r>
          <a:endParaRPr lang="en-US" sz="1000">
            <a:effectLst/>
          </a:endParaRPr>
        </a:p>
        <a:p>
          <a:pPr algn="ctr"/>
          <a:endParaRPr lang="en-US" sz="1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38100</xdr:rowOff>
    </xdr:from>
    <xdr:to>
      <xdr:col>1</xdr:col>
      <xdr:colOff>457200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8100"/>
          <a:ext cx="5810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2</xdr:col>
      <xdr:colOff>339445</xdr:colOff>
      <xdr:row>25</xdr:row>
      <xdr:rowOff>89649</xdr:rowOff>
    </xdr:to>
    <xdr:sp macro="" textlink="">
      <xdr:nvSpPr>
        <xdr:cNvPr id="5" name="Rectangle 1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33375" y="4086225"/>
          <a:ext cx="1330045" cy="18041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>
            <a:lnSpc>
              <a:spcPts val="1100"/>
            </a:lnSpc>
          </a:pPr>
          <a:r>
            <a:rPr lang="en-US" sz="1000">
              <a:effectLst/>
              <a:sym typeface="+mn-ea"/>
            </a:rPr>
            <a:t> Disetujui</a:t>
          </a:r>
          <a:endParaRPr lang="en-US" sz="1000">
            <a:effectLst/>
          </a:endParaRPr>
        </a:p>
        <a:p>
          <a:pPr algn="ctr">
            <a:lnSpc>
              <a:spcPts val="1100"/>
            </a:lnSpc>
          </a:pPr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>
            <a:lnSpc>
              <a:spcPts val="1100"/>
            </a:lnSpc>
          </a:pPr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>
            <a:lnSpc>
              <a:spcPts val="1100"/>
            </a:lnSpc>
          </a:pPr>
          <a:endParaRPr lang="en-US" sz="1000">
            <a:effectLst/>
          </a:endParaRPr>
        </a:p>
        <a:p>
          <a:pPr algn="ctr">
            <a:lnSpc>
              <a:spcPts val="1100"/>
            </a:lnSpc>
          </a:pPr>
          <a:endParaRPr lang="en-US" sz="1000">
            <a:effectLst/>
          </a:endParaRPr>
        </a:p>
        <a:p>
          <a:pPr algn="ctr">
            <a:lnSpc>
              <a:spcPts val="1100"/>
            </a:lnSpc>
          </a:pPr>
          <a:endParaRPr lang="en-US" sz="1000">
            <a:effectLst/>
          </a:endParaRPr>
        </a:p>
        <a:p>
          <a:pPr algn="ctr">
            <a:lnSpc>
              <a:spcPts val="1100"/>
            </a:lnSpc>
          </a:pPr>
          <a:endParaRPr lang="en-US" sz="1000">
            <a:effectLst/>
          </a:endParaRPr>
        </a:p>
        <a:p>
          <a:pPr algn="ctr">
            <a:lnSpc>
              <a:spcPts val="1100"/>
            </a:lnSpc>
          </a:pPr>
          <a:endParaRPr lang="en-US" sz="1000">
            <a:effectLst/>
          </a:endParaRPr>
        </a:p>
        <a:p>
          <a:pPr algn="ctr"/>
          <a:r>
            <a:rPr lang="en-US" sz="1000" u="sng">
              <a:effectLst/>
              <a:sym typeface="+mn-ea"/>
            </a:rPr>
            <a:t>Riswadi</a:t>
          </a:r>
          <a:endParaRPr lang="en-US" sz="1000" u="sng">
            <a:effectLst/>
          </a:endParaRPr>
        </a:p>
        <a:p>
          <a:pPr algn="ctr">
            <a:lnSpc>
              <a:spcPts val="1000"/>
            </a:lnSpc>
          </a:pPr>
          <a:r>
            <a:rPr lang="en-US" sz="1000">
              <a:effectLst/>
              <a:sym typeface="+mn-ea"/>
            </a:rPr>
            <a:t>   Koor SO Support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570580</xdr:colOff>
      <xdr:row>16</xdr:row>
      <xdr:rowOff>11711</xdr:rowOff>
    </xdr:from>
    <xdr:to>
      <xdr:col>3</xdr:col>
      <xdr:colOff>820904</xdr:colOff>
      <xdr:row>25</xdr:row>
      <xdr:rowOff>102117</xdr:rowOff>
    </xdr:to>
    <xdr:sp macro="" textlink="">
      <xdr:nvSpPr>
        <xdr:cNvPr id="6" name="Rectangle 1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894555" y="4097936"/>
          <a:ext cx="1412374" cy="180490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>
            <a:lnSpc>
              <a:spcPts val="1100"/>
            </a:lnSpc>
          </a:pPr>
          <a:r>
            <a:rPr lang="en-US" sz="1000">
              <a:effectLst/>
              <a:sym typeface="+mn-ea"/>
            </a:rPr>
            <a:t>Mengetahui</a:t>
          </a:r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>
            <a:lnSpc>
              <a:spcPts val="1100"/>
            </a:lnSpc>
          </a:pPr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>
            <a:lnSpc>
              <a:spcPts val="1100"/>
            </a:lnSpc>
          </a:pPr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effectLst/>
          </a:endParaRPr>
        </a:p>
        <a:p>
          <a:pPr algn="ctr"/>
          <a:endParaRPr lang="en-US" sz="1000">
            <a:effectLst/>
          </a:endParaRPr>
        </a:p>
        <a:p>
          <a:pPr algn="ctr"/>
          <a:endParaRPr lang="en-US" sz="1000">
            <a:effectLst/>
          </a:endParaRPr>
        </a:p>
        <a:p>
          <a:pPr algn="ctr"/>
          <a:endParaRPr lang="en-US" sz="1000">
            <a:effectLst/>
          </a:endParaRPr>
        </a:p>
        <a:p>
          <a:pPr algn="ctr"/>
          <a:endParaRPr lang="en-US" sz="1000">
            <a:effectLst/>
          </a:endParaRPr>
        </a:p>
        <a:p>
          <a:pPr algn="ctr">
            <a:lnSpc>
              <a:spcPts val="1100"/>
            </a:lnSpc>
          </a:pPr>
          <a:endParaRPr lang="en-US" sz="1000">
            <a:effectLst/>
          </a:endParaRPr>
        </a:p>
        <a:p>
          <a:pPr algn="ctr"/>
          <a:r>
            <a:rPr lang="en-US" sz="1000" u="sng">
              <a:effectLst/>
              <a:sym typeface="+mn-ea"/>
            </a:rPr>
            <a:t>Billy Winata</a:t>
          </a:r>
          <a:endParaRPr lang="en-US" sz="900" u="sng">
            <a:effectLst/>
          </a:endParaRPr>
        </a:p>
        <a:p>
          <a:pPr algn="ctr">
            <a:lnSpc>
              <a:spcPts val="1000"/>
            </a:lnSpc>
          </a:pPr>
          <a:r>
            <a:rPr lang="en-US" sz="1000">
              <a:sym typeface="+mn-ea"/>
            </a:rPr>
            <a:t>Pimpinan Bagian</a:t>
          </a:r>
          <a:endParaRPr lang="en-US" sz="1000"/>
        </a:p>
      </xdr:txBody>
    </xdr:sp>
    <xdr:clientData/>
  </xdr:twoCellAnchor>
  <xdr:twoCellAnchor>
    <xdr:from>
      <xdr:col>6</xdr:col>
      <xdr:colOff>745902</xdr:colOff>
      <xdr:row>16</xdr:row>
      <xdr:rowOff>11207</xdr:rowOff>
    </xdr:from>
    <xdr:to>
      <xdr:col>9</xdr:col>
      <xdr:colOff>479573</xdr:colOff>
      <xdr:row>25</xdr:row>
      <xdr:rowOff>100854</xdr:rowOff>
    </xdr:to>
    <xdr:sp macro="" textlink="">
      <xdr:nvSpPr>
        <xdr:cNvPr id="9" name="Rectangle 1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184552" y="4097432"/>
          <a:ext cx="1410071" cy="1804147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>
            <a:lnSpc>
              <a:spcPts val="1100"/>
            </a:lnSpc>
          </a:pPr>
          <a:r>
            <a:rPr lang="en-US" sz="1000">
              <a:effectLst/>
              <a:sym typeface="+mn-ea"/>
            </a:rPr>
            <a:t>Dibuat Oleh</a:t>
          </a:r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>
            <a:lnSpc>
              <a:spcPts val="1100"/>
            </a:lnSpc>
          </a:pPr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>
            <a:lnSpc>
              <a:spcPts val="1100"/>
            </a:lnSpc>
          </a:pPr>
          <a:endParaRPr lang="en-US" sz="1000">
            <a:effectLst/>
          </a:endParaRPr>
        </a:p>
        <a:p>
          <a:pPr algn="ctr"/>
          <a:r>
            <a:rPr lang="en-US" sz="1000">
              <a:effectLst/>
              <a:sym typeface="+mn-ea"/>
            </a:rPr>
            <a:t> </a:t>
          </a:r>
          <a:r>
            <a:rPr lang="en-US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Dini</a:t>
          </a: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Rachma</a:t>
          </a:r>
          <a:endParaRPr lang="en-US" sz="1000">
            <a:effectLst/>
          </a:endParaRPr>
        </a:p>
        <a:p>
          <a:pPr algn="ctr">
            <a:lnSpc>
              <a:spcPts val="1000"/>
            </a:lnSpc>
          </a:pPr>
          <a:r>
            <a:rPr lang="en-US" sz="1000">
              <a:effectLst/>
              <a:sym typeface="+mn-ea"/>
            </a:rPr>
            <a:t> Sekretaris SO</a:t>
          </a:r>
          <a:endParaRPr lang="en-US" sz="1000"/>
        </a:p>
      </xdr:txBody>
    </xdr:sp>
    <xdr:clientData/>
  </xdr:twoCellAnchor>
  <xdr:twoCellAnchor>
    <xdr:from>
      <xdr:col>4</xdr:col>
      <xdr:colOff>56230</xdr:colOff>
      <xdr:row>16</xdr:row>
      <xdr:rowOff>21236</xdr:rowOff>
    </xdr:from>
    <xdr:to>
      <xdr:col>6</xdr:col>
      <xdr:colOff>506579</xdr:colOff>
      <xdr:row>25</xdr:row>
      <xdr:rowOff>111642</xdr:rowOff>
    </xdr:to>
    <xdr:sp macro="" textlink="">
      <xdr:nvSpPr>
        <xdr:cNvPr id="10" name="Rectangle 15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532855" y="4107461"/>
          <a:ext cx="1412374" cy="180490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>
            <a:lnSpc>
              <a:spcPts val="1100"/>
            </a:lnSpc>
          </a:pPr>
          <a:r>
            <a:rPr lang="en-US" sz="1000">
              <a:effectLst/>
              <a:sym typeface="+mn-ea"/>
            </a:rPr>
            <a:t>Diperiksa</a:t>
          </a:r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>
            <a:lnSpc>
              <a:spcPts val="1100"/>
            </a:lnSpc>
          </a:pPr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>
            <a:lnSpc>
              <a:spcPts val="1100"/>
            </a:lnSpc>
          </a:pPr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effectLst/>
          </a:endParaRPr>
        </a:p>
        <a:p>
          <a:pPr algn="ctr"/>
          <a:endParaRPr lang="en-US" sz="1000">
            <a:effectLst/>
          </a:endParaRPr>
        </a:p>
        <a:p>
          <a:pPr algn="ctr"/>
          <a:endParaRPr lang="en-US" sz="1000">
            <a:effectLst/>
          </a:endParaRPr>
        </a:p>
        <a:p>
          <a:pPr algn="ctr"/>
          <a:endParaRPr lang="en-US" sz="1000">
            <a:effectLst/>
          </a:endParaRPr>
        </a:p>
        <a:p>
          <a:pPr algn="ctr"/>
          <a:endParaRPr lang="en-US" sz="1000">
            <a:effectLst/>
          </a:endParaRPr>
        </a:p>
        <a:p>
          <a:pPr algn="ctr">
            <a:lnSpc>
              <a:spcPts val="1100"/>
            </a:lnSpc>
          </a:pPr>
          <a:endParaRPr lang="en-US" sz="1000">
            <a:effectLst/>
          </a:endParaRPr>
        </a:p>
        <a:p>
          <a:pPr algn="ctr"/>
          <a:r>
            <a:rPr lang="en-US" sz="1000" u="sng">
              <a:effectLst/>
              <a:sym typeface="+mn-ea"/>
            </a:rPr>
            <a:t>Billy Winata</a:t>
          </a:r>
          <a:endParaRPr lang="en-US" sz="900" u="sng">
            <a:effectLst/>
          </a:endParaRPr>
        </a:p>
        <a:p>
          <a:pPr algn="ctr">
            <a:lnSpc>
              <a:spcPts val="1000"/>
            </a:lnSpc>
          </a:pPr>
          <a:r>
            <a:rPr lang="en-US" sz="1000">
              <a:sym typeface="+mn-ea"/>
            </a:rPr>
            <a:t>Pimpinan Bagian</a:t>
          </a:r>
          <a:endParaRPr lang="en-US" sz="10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57150</xdr:rowOff>
    </xdr:from>
    <xdr:to>
      <xdr:col>2</xdr:col>
      <xdr:colOff>609600</xdr:colOff>
      <xdr:row>2</xdr:row>
      <xdr:rowOff>104775</xdr:rowOff>
    </xdr:to>
    <xdr:pic>
      <xdr:nvPicPr>
        <xdr:cNvPr id="2" name="Picture 15" descr="logoLJ">
          <a:extLst>
            <a:ext uri="{FF2B5EF4-FFF2-40B4-BE49-F238E27FC236}">
              <a16:creationId xmlns:a16="http://schemas.microsoft.com/office/drawing/2014/main" id="{6CCB6A3F-A872-46B9-BEB0-AA8E47D9E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7150"/>
          <a:ext cx="11334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J15"/>
  <sheetViews>
    <sheetView workbookViewId="0">
      <selection activeCell="J5" sqref="J5"/>
    </sheetView>
  </sheetViews>
  <sheetFormatPr defaultColWidth="9.140625" defaultRowHeight="15" x14ac:dyDescent="0.25"/>
  <cols>
    <col min="1" max="1" width="5" customWidth="1"/>
    <col min="2" max="2" width="14.85546875" customWidth="1"/>
    <col min="3" max="3" width="17.42578125" customWidth="1"/>
    <col min="4" max="4" width="14.85546875" customWidth="1"/>
    <col min="5" max="5" width="7.42578125" customWidth="1"/>
    <col min="6" max="6" width="7" customWidth="1"/>
    <col min="7" max="7" width="16" customWidth="1"/>
    <col min="254" max="254" width="5" customWidth="1"/>
    <col min="255" max="255" width="14.85546875" customWidth="1"/>
    <col min="256" max="256" width="17.42578125" customWidth="1"/>
    <col min="257" max="257" width="14.85546875" customWidth="1"/>
    <col min="258" max="258" width="7.42578125" customWidth="1"/>
    <col min="259" max="259" width="7" customWidth="1"/>
    <col min="260" max="260" width="16" customWidth="1"/>
    <col min="510" max="510" width="5" customWidth="1"/>
    <col min="511" max="511" width="14.85546875" customWidth="1"/>
    <col min="512" max="512" width="17.42578125" customWidth="1"/>
    <col min="513" max="513" width="14.85546875" customWidth="1"/>
    <col min="514" max="514" width="7.42578125" customWidth="1"/>
    <col min="515" max="515" width="7" customWidth="1"/>
    <col min="516" max="516" width="16" customWidth="1"/>
    <col min="766" max="766" width="5" customWidth="1"/>
    <col min="767" max="767" width="14.85546875" customWidth="1"/>
    <col min="768" max="768" width="17.42578125" customWidth="1"/>
    <col min="769" max="769" width="14.85546875" customWidth="1"/>
    <col min="770" max="770" width="7.42578125" customWidth="1"/>
    <col min="771" max="771" width="7" customWidth="1"/>
    <col min="772" max="772" width="16" customWidth="1"/>
    <col min="1022" max="1022" width="5" customWidth="1"/>
    <col min="1023" max="1023" width="14.85546875" customWidth="1"/>
    <col min="1024" max="1024" width="17.42578125" customWidth="1"/>
    <col min="1025" max="1025" width="14.85546875" customWidth="1"/>
    <col min="1026" max="1026" width="7.42578125" customWidth="1"/>
    <col min="1027" max="1027" width="7" customWidth="1"/>
    <col min="1028" max="1028" width="16" customWidth="1"/>
    <col min="1278" max="1278" width="5" customWidth="1"/>
    <col min="1279" max="1279" width="14.85546875" customWidth="1"/>
    <col min="1280" max="1280" width="17.42578125" customWidth="1"/>
    <col min="1281" max="1281" width="14.85546875" customWidth="1"/>
    <col min="1282" max="1282" width="7.42578125" customWidth="1"/>
    <col min="1283" max="1283" width="7" customWidth="1"/>
    <col min="1284" max="1284" width="16" customWidth="1"/>
    <col min="1534" max="1534" width="5" customWidth="1"/>
    <col min="1535" max="1535" width="14.85546875" customWidth="1"/>
    <col min="1536" max="1536" width="17.42578125" customWidth="1"/>
    <col min="1537" max="1537" width="14.85546875" customWidth="1"/>
    <col min="1538" max="1538" width="7.42578125" customWidth="1"/>
    <col min="1539" max="1539" width="7" customWidth="1"/>
    <col min="1540" max="1540" width="16" customWidth="1"/>
    <col min="1790" max="1790" width="5" customWidth="1"/>
    <col min="1791" max="1791" width="14.85546875" customWidth="1"/>
    <col min="1792" max="1792" width="17.42578125" customWidth="1"/>
    <col min="1793" max="1793" width="14.85546875" customWidth="1"/>
    <col min="1794" max="1794" width="7.42578125" customWidth="1"/>
    <col min="1795" max="1795" width="7" customWidth="1"/>
    <col min="1796" max="1796" width="16" customWidth="1"/>
    <col min="2046" max="2046" width="5" customWidth="1"/>
    <col min="2047" max="2047" width="14.85546875" customWidth="1"/>
    <col min="2048" max="2048" width="17.42578125" customWidth="1"/>
    <col min="2049" max="2049" width="14.85546875" customWidth="1"/>
    <col min="2050" max="2050" width="7.42578125" customWidth="1"/>
    <col min="2051" max="2051" width="7" customWidth="1"/>
    <col min="2052" max="2052" width="16" customWidth="1"/>
    <col min="2302" max="2302" width="5" customWidth="1"/>
    <col min="2303" max="2303" width="14.85546875" customWidth="1"/>
    <col min="2304" max="2304" width="17.42578125" customWidth="1"/>
    <col min="2305" max="2305" width="14.85546875" customWidth="1"/>
    <col min="2306" max="2306" width="7.42578125" customWidth="1"/>
    <col min="2307" max="2307" width="7" customWidth="1"/>
    <col min="2308" max="2308" width="16" customWidth="1"/>
    <col min="2558" max="2558" width="5" customWidth="1"/>
    <col min="2559" max="2559" width="14.85546875" customWidth="1"/>
    <col min="2560" max="2560" width="17.42578125" customWidth="1"/>
    <col min="2561" max="2561" width="14.85546875" customWidth="1"/>
    <col min="2562" max="2562" width="7.42578125" customWidth="1"/>
    <col min="2563" max="2563" width="7" customWidth="1"/>
    <col min="2564" max="2564" width="16" customWidth="1"/>
    <col min="2814" max="2814" width="5" customWidth="1"/>
    <col min="2815" max="2815" width="14.85546875" customWidth="1"/>
    <col min="2816" max="2816" width="17.42578125" customWidth="1"/>
    <col min="2817" max="2817" width="14.85546875" customWidth="1"/>
    <col min="2818" max="2818" width="7.42578125" customWidth="1"/>
    <col min="2819" max="2819" width="7" customWidth="1"/>
    <col min="2820" max="2820" width="16" customWidth="1"/>
    <col min="3070" max="3070" width="5" customWidth="1"/>
    <col min="3071" max="3071" width="14.85546875" customWidth="1"/>
    <col min="3072" max="3072" width="17.42578125" customWidth="1"/>
    <col min="3073" max="3073" width="14.85546875" customWidth="1"/>
    <col min="3074" max="3074" width="7.42578125" customWidth="1"/>
    <col min="3075" max="3075" width="7" customWidth="1"/>
    <col min="3076" max="3076" width="16" customWidth="1"/>
    <col min="3326" max="3326" width="5" customWidth="1"/>
    <col min="3327" max="3327" width="14.85546875" customWidth="1"/>
    <col min="3328" max="3328" width="17.42578125" customWidth="1"/>
    <col min="3329" max="3329" width="14.85546875" customWidth="1"/>
    <col min="3330" max="3330" width="7.42578125" customWidth="1"/>
    <col min="3331" max="3331" width="7" customWidth="1"/>
    <col min="3332" max="3332" width="16" customWidth="1"/>
    <col min="3582" max="3582" width="5" customWidth="1"/>
    <col min="3583" max="3583" width="14.85546875" customWidth="1"/>
    <col min="3584" max="3584" width="17.42578125" customWidth="1"/>
    <col min="3585" max="3585" width="14.85546875" customWidth="1"/>
    <col min="3586" max="3586" width="7.42578125" customWidth="1"/>
    <col min="3587" max="3587" width="7" customWidth="1"/>
    <col min="3588" max="3588" width="16" customWidth="1"/>
    <col min="3838" max="3838" width="5" customWidth="1"/>
    <col min="3839" max="3839" width="14.85546875" customWidth="1"/>
    <col min="3840" max="3840" width="17.42578125" customWidth="1"/>
    <col min="3841" max="3841" width="14.85546875" customWidth="1"/>
    <col min="3842" max="3842" width="7.42578125" customWidth="1"/>
    <col min="3843" max="3843" width="7" customWidth="1"/>
    <col min="3844" max="3844" width="16" customWidth="1"/>
    <col min="4094" max="4094" width="5" customWidth="1"/>
    <col min="4095" max="4095" width="14.85546875" customWidth="1"/>
    <col min="4096" max="4096" width="17.42578125" customWidth="1"/>
    <col min="4097" max="4097" width="14.85546875" customWidth="1"/>
    <col min="4098" max="4098" width="7.42578125" customWidth="1"/>
    <col min="4099" max="4099" width="7" customWidth="1"/>
    <col min="4100" max="4100" width="16" customWidth="1"/>
    <col min="4350" max="4350" width="5" customWidth="1"/>
    <col min="4351" max="4351" width="14.85546875" customWidth="1"/>
    <col min="4352" max="4352" width="17.42578125" customWidth="1"/>
    <col min="4353" max="4353" width="14.85546875" customWidth="1"/>
    <col min="4354" max="4354" width="7.42578125" customWidth="1"/>
    <col min="4355" max="4355" width="7" customWidth="1"/>
    <col min="4356" max="4356" width="16" customWidth="1"/>
    <col min="4606" max="4606" width="5" customWidth="1"/>
    <col min="4607" max="4607" width="14.85546875" customWidth="1"/>
    <col min="4608" max="4608" width="17.42578125" customWidth="1"/>
    <col min="4609" max="4609" width="14.85546875" customWidth="1"/>
    <col min="4610" max="4610" width="7.42578125" customWidth="1"/>
    <col min="4611" max="4611" width="7" customWidth="1"/>
    <col min="4612" max="4612" width="16" customWidth="1"/>
    <col min="4862" max="4862" width="5" customWidth="1"/>
    <col min="4863" max="4863" width="14.85546875" customWidth="1"/>
    <col min="4864" max="4864" width="17.42578125" customWidth="1"/>
    <col min="4865" max="4865" width="14.85546875" customWidth="1"/>
    <col min="4866" max="4866" width="7.42578125" customWidth="1"/>
    <col min="4867" max="4867" width="7" customWidth="1"/>
    <col min="4868" max="4868" width="16" customWidth="1"/>
    <col min="5118" max="5118" width="5" customWidth="1"/>
    <col min="5119" max="5119" width="14.85546875" customWidth="1"/>
    <col min="5120" max="5120" width="17.42578125" customWidth="1"/>
    <col min="5121" max="5121" width="14.85546875" customWidth="1"/>
    <col min="5122" max="5122" width="7.42578125" customWidth="1"/>
    <col min="5123" max="5123" width="7" customWidth="1"/>
    <col min="5124" max="5124" width="16" customWidth="1"/>
    <col min="5374" max="5374" width="5" customWidth="1"/>
    <col min="5375" max="5375" width="14.85546875" customWidth="1"/>
    <col min="5376" max="5376" width="17.42578125" customWidth="1"/>
    <col min="5377" max="5377" width="14.85546875" customWidth="1"/>
    <col min="5378" max="5378" width="7.42578125" customWidth="1"/>
    <col min="5379" max="5379" width="7" customWidth="1"/>
    <col min="5380" max="5380" width="16" customWidth="1"/>
    <col min="5630" max="5630" width="5" customWidth="1"/>
    <col min="5631" max="5631" width="14.85546875" customWidth="1"/>
    <col min="5632" max="5632" width="17.42578125" customWidth="1"/>
    <col min="5633" max="5633" width="14.85546875" customWidth="1"/>
    <col min="5634" max="5634" width="7.42578125" customWidth="1"/>
    <col min="5635" max="5635" width="7" customWidth="1"/>
    <col min="5636" max="5636" width="16" customWidth="1"/>
    <col min="5886" max="5886" width="5" customWidth="1"/>
    <col min="5887" max="5887" width="14.85546875" customWidth="1"/>
    <col min="5888" max="5888" width="17.42578125" customWidth="1"/>
    <col min="5889" max="5889" width="14.85546875" customWidth="1"/>
    <col min="5890" max="5890" width="7.42578125" customWidth="1"/>
    <col min="5891" max="5891" width="7" customWidth="1"/>
    <col min="5892" max="5892" width="16" customWidth="1"/>
    <col min="6142" max="6142" width="5" customWidth="1"/>
    <col min="6143" max="6143" width="14.85546875" customWidth="1"/>
    <col min="6144" max="6144" width="17.42578125" customWidth="1"/>
    <col min="6145" max="6145" width="14.85546875" customWidth="1"/>
    <col min="6146" max="6146" width="7.42578125" customWidth="1"/>
    <col min="6147" max="6147" width="7" customWidth="1"/>
    <col min="6148" max="6148" width="16" customWidth="1"/>
    <col min="6398" max="6398" width="5" customWidth="1"/>
    <col min="6399" max="6399" width="14.85546875" customWidth="1"/>
    <col min="6400" max="6400" width="17.42578125" customWidth="1"/>
    <col min="6401" max="6401" width="14.85546875" customWidth="1"/>
    <col min="6402" max="6402" width="7.42578125" customWidth="1"/>
    <col min="6403" max="6403" width="7" customWidth="1"/>
    <col min="6404" max="6404" width="16" customWidth="1"/>
    <col min="6654" max="6654" width="5" customWidth="1"/>
    <col min="6655" max="6655" width="14.85546875" customWidth="1"/>
    <col min="6656" max="6656" width="17.42578125" customWidth="1"/>
    <col min="6657" max="6657" width="14.85546875" customWidth="1"/>
    <col min="6658" max="6658" width="7.42578125" customWidth="1"/>
    <col min="6659" max="6659" width="7" customWidth="1"/>
    <col min="6660" max="6660" width="16" customWidth="1"/>
    <col min="6910" max="6910" width="5" customWidth="1"/>
    <col min="6911" max="6911" width="14.85546875" customWidth="1"/>
    <col min="6912" max="6912" width="17.42578125" customWidth="1"/>
    <col min="6913" max="6913" width="14.85546875" customWidth="1"/>
    <col min="6914" max="6914" width="7.42578125" customWidth="1"/>
    <col min="6915" max="6915" width="7" customWidth="1"/>
    <col min="6916" max="6916" width="16" customWidth="1"/>
    <col min="7166" max="7166" width="5" customWidth="1"/>
    <col min="7167" max="7167" width="14.85546875" customWidth="1"/>
    <col min="7168" max="7168" width="17.42578125" customWidth="1"/>
    <col min="7169" max="7169" width="14.85546875" customWidth="1"/>
    <col min="7170" max="7170" width="7.42578125" customWidth="1"/>
    <col min="7171" max="7171" width="7" customWidth="1"/>
    <col min="7172" max="7172" width="16" customWidth="1"/>
    <col min="7422" max="7422" width="5" customWidth="1"/>
    <col min="7423" max="7423" width="14.85546875" customWidth="1"/>
    <col min="7424" max="7424" width="17.42578125" customWidth="1"/>
    <col min="7425" max="7425" width="14.85546875" customWidth="1"/>
    <col min="7426" max="7426" width="7.42578125" customWidth="1"/>
    <col min="7427" max="7427" width="7" customWidth="1"/>
    <col min="7428" max="7428" width="16" customWidth="1"/>
    <col min="7678" max="7678" width="5" customWidth="1"/>
    <col min="7679" max="7679" width="14.85546875" customWidth="1"/>
    <col min="7680" max="7680" width="17.42578125" customWidth="1"/>
    <col min="7681" max="7681" width="14.85546875" customWidth="1"/>
    <col min="7682" max="7682" width="7.42578125" customWidth="1"/>
    <col min="7683" max="7683" width="7" customWidth="1"/>
    <col min="7684" max="7684" width="16" customWidth="1"/>
    <col min="7934" max="7934" width="5" customWidth="1"/>
    <col min="7935" max="7935" width="14.85546875" customWidth="1"/>
    <col min="7936" max="7936" width="17.42578125" customWidth="1"/>
    <col min="7937" max="7937" width="14.85546875" customWidth="1"/>
    <col min="7938" max="7938" width="7.42578125" customWidth="1"/>
    <col min="7939" max="7939" width="7" customWidth="1"/>
    <col min="7940" max="7940" width="16" customWidth="1"/>
    <col min="8190" max="8190" width="5" customWidth="1"/>
    <col min="8191" max="8191" width="14.85546875" customWidth="1"/>
    <col min="8192" max="8192" width="17.42578125" customWidth="1"/>
    <col min="8193" max="8193" width="14.85546875" customWidth="1"/>
    <col min="8194" max="8194" width="7.42578125" customWidth="1"/>
    <col min="8195" max="8195" width="7" customWidth="1"/>
    <col min="8196" max="8196" width="16" customWidth="1"/>
    <col min="8446" max="8446" width="5" customWidth="1"/>
    <col min="8447" max="8447" width="14.85546875" customWidth="1"/>
    <col min="8448" max="8448" width="17.42578125" customWidth="1"/>
    <col min="8449" max="8449" width="14.85546875" customWidth="1"/>
    <col min="8450" max="8450" width="7.42578125" customWidth="1"/>
    <col min="8451" max="8451" width="7" customWidth="1"/>
    <col min="8452" max="8452" width="16" customWidth="1"/>
    <col min="8702" max="8702" width="5" customWidth="1"/>
    <col min="8703" max="8703" width="14.85546875" customWidth="1"/>
    <col min="8704" max="8704" width="17.42578125" customWidth="1"/>
    <col min="8705" max="8705" width="14.85546875" customWidth="1"/>
    <col min="8706" max="8706" width="7.42578125" customWidth="1"/>
    <col min="8707" max="8707" width="7" customWidth="1"/>
    <col min="8708" max="8708" width="16" customWidth="1"/>
    <col min="8958" max="8958" width="5" customWidth="1"/>
    <col min="8959" max="8959" width="14.85546875" customWidth="1"/>
    <col min="8960" max="8960" width="17.42578125" customWidth="1"/>
    <col min="8961" max="8961" width="14.85546875" customWidth="1"/>
    <col min="8962" max="8962" width="7.42578125" customWidth="1"/>
    <col min="8963" max="8963" width="7" customWidth="1"/>
    <col min="8964" max="8964" width="16" customWidth="1"/>
    <col min="9214" max="9214" width="5" customWidth="1"/>
    <col min="9215" max="9215" width="14.85546875" customWidth="1"/>
    <col min="9216" max="9216" width="17.42578125" customWidth="1"/>
    <col min="9217" max="9217" width="14.85546875" customWidth="1"/>
    <col min="9218" max="9218" width="7.42578125" customWidth="1"/>
    <col min="9219" max="9219" width="7" customWidth="1"/>
    <col min="9220" max="9220" width="16" customWidth="1"/>
    <col min="9470" max="9470" width="5" customWidth="1"/>
    <col min="9471" max="9471" width="14.85546875" customWidth="1"/>
    <col min="9472" max="9472" width="17.42578125" customWidth="1"/>
    <col min="9473" max="9473" width="14.85546875" customWidth="1"/>
    <col min="9474" max="9474" width="7.42578125" customWidth="1"/>
    <col min="9475" max="9475" width="7" customWidth="1"/>
    <col min="9476" max="9476" width="16" customWidth="1"/>
    <col min="9726" max="9726" width="5" customWidth="1"/>
    <col min="9727" max="9727" width="14.85546875" customWidth="1"/>
    <col min="9728" max="9728" width="17.42578125" customWidth="1"/>
    <col min="9729" max="9729" width="14.85546875" customWidth="1"/>
    <col min="9730" max="9730" width="7.42578125" customWidth="1"/>
    <col min="9731" max="9731" width="7" customWidth="1"/>
    <col min="9732" max="9732" width="16" customWidth="1"/>
    <col min="9982" max="9982" width="5" customWidth="1"/>
    <col min="9983" max="9983" width="14.85546875" customWidth="1"/>
    <col min="9984" max="9984" width="17.42578125" customWidth="1"/>
    <col min="9985" max="9985" width="14.85546875" customWidth="1"/>
    <col min="9986" max="9986" width="7.42578125" customWidth="1"/>
    <col min="9987" max="9987" width="7" customWidth="1"/>
    <col min="9988" max="9988" width="16" customWidth="1"/>
    <col min="10238" max="10238" width="5" customWidth="1"/>
    <col min="10239" max="10239" width="14.85546875" customWidth="1"/>
    <col min="10240" max="10240" width="17.42578125" customWidth="1"/>
    <col min="10241" max="10241" width="14.85546875" customWidth="1"/>
    <col min="10242" max="10242" width="7.42578125" customWidth="1"/>
    <col min="10243" max="10243" width="7" customWidth="1"/>
    <col min="10244" max="10244" width="16" customWidth="1"/>
    <col min="10494" max="10494" width="5" customWidth="1"/>
    <col min="10495" max="10495" width="14.85546875" customWidth="1"/>
    <col min="10496" max="10496" width="17.42578125" customWidth="1"/>
    <col min="10497" max="10497" width="14.85546875" customWidth="1"/>
    <col min="10498" max="10498" width="7.42578125" customWidth="1"/>
    <col min="10499" max="10499" width="7" customWidth="1"/>
    <col min="10500" max="10500" width="16" customWidth="1"/>
    <col min="10750" max="10750" width="5" customWidth="1"/>
    <col min="10751" max="10751" width="14.85546875" customWidth="1"/>
    <col min="10752" max="10752" width="17.42578125" customWidth="1"/>
    <col min="10753" max="10753" width="14.85546875" customWidth="1"/>
    <col min="10754" max="10754" width="7.42578125" customWidth="1"/>
    <col min="10755" max="10755" width="7" customWidth="1"/>
    <col min="10756" max="10756" width="16" customWidth="1"/>
    <col min="11006" max="11006" width="5" customWidth="1"/>
    <col min="11007" max="11007" width="14.85546875" customWidth="1"/>
    <col min="11008" max="11008" width="17.42578125" customWidth="1"/>
    <col min="11009" max="11009" width="14.85546875" customWidth="1"/>
    <col min="11010" max="11010" width="7.42578125" customWidth="1"/>
    <col min="11011" max="11011" width="7" customWidth="1"/>
    <col min="11012" max="11012" width="16" customWidth="1"/>
    <col min="11262" max="11262" width="5" customWidth="1"/>
    <col min="11263" max="11263" width="14.85546875" customWidth="1"/>
    <col min="11264" max="11264" width="17.42578125" customWidth="1"/>
    <col min="11265" max="11265" width="14.85546875" customWidth="1"/>
    <col min="11266" max="11266" width="7.42578125" customWidth="1"/>
    <col min="11267" max="11267" width="7" customWidth="1"/>
    <col min="11268" max="11268" width="16" customWidth="1"/>
    <col min="11518" max="11518" width="5" customWidth="1"/>
    <col min="11519" max="11519" width="14.85546875" customWidth="1"/>
    <col min="11520" max="11520" width="17.42578125" customWidth="1"/>
    <col min="11521" max="11521" width="14.85546875" customWidth="1"/>
    <col min="11522" max="11522" width="7.42578125" customWidth="1"/>
    <col min="11523" max="11523" width="7" customWidth="1"/>
    <col min="11524" max="11524" width="16" customWidth="1"/>
    <col min="11774" max="11774" width="5" customWidth="1"/>
    <col min="11775" max="11775" width="14.85546875" customWidth="1"/>
    <col min="11776" max="11776" width="17.42578125" customWidth="1"/>
    <col min="11777" max="11777" width="14.85546875" customWidth="1"/>
    <col min="11778" max="11778" width="7.42578125" customWidth="1"/>
    <col min="11779" max="11779" width="7" customWidth="1"/>
    <col min="11780" max="11780" width="16" customWidth="1"/>
    <col min="12030" max="12030" width="5" customWidth="1"/>
    <col min="12031" max="12031" width="14.85546875" customWidth="1"/>
    <col min="12032" max="12032" width="17.42578125" customWidth="1"/>
    <col min="12033" max="12033" width="14.85546875" customWidth="1"/>
    <col min="12034" max="12034" width="7.42578125" customWidth="1"/>
    <col min="12035" max="12035" width="7" customWidth="1"/>
    <col min="12036" max="12036" width="16" customWidth="1"/>
    <col min="12286" max="12286" width="5" customWidth="1"/>
    <col min="12287" max="12287" width="14.85546875" customWidth="1"/>
    <col min="12288" max="12288" width="17.42578125" customWidth="1"/>
    <col min="12289" max="12289" width="14.85546875" customWidth="1"/>
    <col min="12290" max="12290" width="7.42578125" customWidth="1"/>
    <col min="12291" max="12291" width="7" customWidth="1"/>
    <col min="12292" max="12292" width="16" customWidth="1"/>
    <col min="12542" max="12542" width="5" customWidth="1"/>
    <col min="12543" max="12543" width="14.85546875" customWidth="1"/>
    <col min="12544" max="12544" width="17.42578125" customWidth="1"/>
    <col min="12545" max="12545" width="14.85546875" customWidth="1"/>
    <col min="12546" max="12546" width="7.42578125" customWidth="1"/>
    <col min="12547" max="12547" width="7" customWidth="1"/>
    <col min="12548" max="12548" width="16" customWidth="1"/>
    <col min="12798" max="12798" width="5" customWidth="1"/>
    <col min="12799" max="12799" width="14.85546875" customWidth="1"/>
    <col min="12800" max="12800" width="17.42578125" customWidth="1"/>
    <col min="12801" max="12801" width="14.85546875" customWidth="1"/>
    <col min="12802" max="12802" width="7.42578125" customWidth="1"/>
    <col min="12803" max="12803" width="7" customWidth="1"/>
    <col min="12804" max="12804" width="16" customWidth="1"/>
    <col min="13054" max="13054" width="5" customWidth="1"/>
    <col min="13055" max="13055" width="14.85546875" customWidth="1"/>
    <col min="13056" max="13056" width="17.42578125" customWidth="1"/>
    <col min="13057" max="13057" width="14.85546875" customWidth="1"/>
    <col min="13058" max="13058" width="7.42578125" customWidth="1"/>
    <col min="13059" max="13059" width="7" customWidth="1"/>
    <col min="13060" max="13060" width="16" customWidth="1"/>
    <col min="13310" max="13310" width="5" customWidth="1"/>
    <col min="13311" max="13311" width="14.85546875" customWidth="1"/>
    <col min="13312" max="13312" width="17.42578125" customWidth="1"/>
    <col min="13313" max="13313" width="14.85546875" customWidth="1"/>
    <col min="13314" max="13314" width="7.42578125" customWidth="1"/>
    <col min="13315" max="13315" width="7" customWidth="1"/>
    <col min="13316" max="13316" width="16" customWidth="1"/>
    <col min="13566" max="13566" width="5" customWidth="1"/>
    <col min="13567" max="13567" width="14.85546875" customWidth="1"/>
    <col min="13568" max="13568" width="17.42578125" customWidth="1"/>
    <col min="13569" max="13569" width="14.85546875" customWidth="1"/>
    <col min="13570" max="13570" width="7.42578125" customWidth="1"/>
    <col min="13571" max="13571" width="7" customWidth="1"/>
    <col min="13572" max="13572" width="16" customWidth="1"/>
    <col min="13822" max="13822" width="5" customWidth="1"/>
    <col min="13823" max="13823" width="14.85546875" customWidth="1"/>
    <col min="13824" max="13824" width="17.42578125" customWidth="1"/>
    <col min="13825" max="13825" width="14.85546875" customWidth="1"/>
    <col min="13826" max="13826" width="7.42578125" customWidth="1"/>
    <col min="13827" max="13827" width="7" customWidth="1"/>
    <col min="13828" max="13828" width="16" customWidth="1"/>
    <col min="14078" max="14078" width="5" customWidth="1"/>
    <col min="14079" max="14079" width="14.85546875" customWidth="1"/>
    <col min="14080" max="14080" width="17.42578125" customWidth="1"/>
    <col min="14081" max="14081" width="14.85546875" customWidth="1"/>
    <col min="14082" max="14082" width="7.42578125" customWidth="1"/>
    <col min="14083" max="14083" width="7" customWidth="1"/>
    <col min="14084" max="14084" width="16" customWidth="1"/>
    <col min="14334" max="14334" width="5" customWidth="1"/>
    <col min="14335" max="14335" width="14.85546875" customWidth="1"/>
    <col min="14336" max="14336" width="17.42578125" customWidth="1"/>
    <col min="14337" max="14337" width="14.85546875" customWidth="1"/>
    <col min="14338" max="14338" width="7.42578125" customWidth="1"/>
    <col min="14339" max="14339" width="7" customWidth="1"/>
    <col min="14340" max="14340" width="16" customWidth="1"/>
    <col min="14590" max="14590" width="5" customWidth="1"/>
    <col min="14591" max="14591" width="14.85546875" customWidth="1"/>
    <col min="14592" max="14592" width="17.42578125" customWidth="1"/>
    <col min="14593" max="14593" width="14.85546875" customWidth="1"/>
    <col min="14594" max="14594" width="7.42578125" customWidth="1"/>
    <col min="14595" max="14595" width="7" customWidth="1"/>
    <col min="14596" max="14596" width="16" customWidth="1"/>
    <col min="14846" max="14846" width="5" customWidth="1"/>
    <col min="14847" max="14847" width="14.85546875" customWidth="1"/>
    <col min="14848" max="14848" width="17.42578125" customWidth="1"/>
    <col min="14849" max="14849" width="14.85546875" customWidth="1"/>
    <col min="14850" max="14850" width="7.42578125" customWidth="1"/>
    <col min="14851" max="14851" width="7" customWidth="1"/>
    <col min="14852" max="14852" width="16" customWidth="1"/>
    <col min="15102" max="15102" width="5" customWidth="1"/>
    <col min="15103" max="15103" width="14.85546875" customWidth="1"/>
    <col min="15104" max="15104" width="17.42578125" customWidth="1"/>
    <col min="15105" max="15105" width="14.85546875" customWidth="1"/>
    <col min="15106" max="15106" width="7.42578125" customWidth="1"/>
    <col min="15107" max="15107" width="7" customWidth="1"/>
    <col min="15108" max="15108" width="16" customWidth="1"/>
    <col min="15358" max="15358" width="5" customWidth="1"/>
    <col min="15359" max="15359" width="14.85546875" customWidth="1"/>
    <col min="15360" max="15360" width="17.42578125" customWidth="1"/>
    <col min="15361" max="15361" width="14.85546875" customWidth="1"/>
    <col min="15362" max="15362" width="7.42578125" customWidth="1"/>
    <col min="15363" max="15363" width="7" customWidth="1"/>
    <col min="15364" max="15364" width="16" customWidth="1"/>
    <col min="15614" max="15614" width="5" customWidth="1"/>
    <col min="15615" max="15615" width="14.85546875" customWidth="1"/>
    <col min="15616" max="15616" width="17.42578125" customWidth="1"/>
    <col min="15617" max="15617" width="14.85546875" customWidth="1"/>
    <col min="15618" max="15618" width="7.42578125" customWidth="1"/>
    <col min="15619" max="15619" width="7" customWidth="1"/>
    <col min="15620" max="15620" width="16" customWidth="1"/>
    <col min="15870" max="15870" width="5" customWidth="1"/>
    <col min="15871" max="15871" width="14.85546875" customWidth="1"/>
    <col min="15872" max="15872" width="17.42578125" customWidth="1"/>
    <col min="15873" max="15873" width="14.85546875" customWidth="1"/>
    <col min="15874" max="15874" width="7.42578125" customWidth="1"/>
    <col min="15875" max="15875" width="7" customWidth="1"/>
    <col min="15876" max="15876" width="16" customWidth="1"/>
    <col min="16126" max="16126" width="5" customWidth="1"/>
    <col min="16127" max="16127" width="14.85546875" customWidth="1"/>
    <col min="16128" max="16128" width="17.42578125" customWidth="1"/>
    <col min="16129" max="16129" width="14.85546875" customWidth="1"/>
    <col min="16130" max="16130" width="7.42578125" customWidth="1"/>
    <col min="16131" max="16131" width="7" customWidth="1"/>
    <col min="16132" max="16132" width="16" customWidth="1"/>
  </cols>
  <sheetData>
    <row r="1" spans="1:10" ht="18.75" x14ac:dyDescent="0.3">
      <c r="A1" s="14" t="s">
        <v>0</v>
      </c>
      <c r="B1" s="15"/>
      <c r="C1" s="15"/>
      <c r="D1" s="15"/>
      <c r="E1" s="15"/>
      <c r="F1" s="15"/>
      <c r="G1" s="16"/>
    </row>
    <row r="2" spans="1:10" ht="18.75" x14ac:dyDescent="0.25">
      <c r="A2" s="17" t="s">
        <v>24</v>
      </c>
      <c r="B2" s="18"/>
      <c r="C2" s="18"/>
      <c r="D2" s="18"/>
      <c r="E2" s="18"/>
      <c r="F2" s="18"/>
      <c r="G2" s="19"/>
    </row>
    <row r="3" spans="1:10" ht="18.75" x14ac:dyDescent="0.25">
      <c r="A3" s="1"/>
      <c r="B3" s="2"/>
      <c r="C3" s="2"/>
      <c r="D3" s="2"/>
      <c r="E3" s="2"/>
      <c r="F3" s="2"/>
      <c r="G3" s="3"/>
    </row>
    <row r="4" spans="1:10" ht="27.75" customHeigh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9" t="s">
        <v>3</v>
      </c>
    </row>
    <row r="5" spans="1:10" ht="20.25" customHeight="1" x14ac:dyDescent="0.25">
      <c r="A5" s="5">
        <v>1</v>
      </c>
      <c r="B5" s="6" t="s">
        <v>8</v>
      </c>
      <c r="C5" s="6" t="s">
        <v>9</v>
      </c>
      <c r="D5" s="6" t="s">
        <v>10</v>
      </c>
      <c r="E5" s="5">
        <v>1</v>
      </c>
      <c r="F5" s="6"/>
      <c r="G5" s="5" t="s">
        <v>11</v>
      </c>
      <c r="J5" t="str">
        <f>B5&amp;" "&amp;C5</f>
        <v>SOLUTION SUPPORTING</v>
      </c>
    </row>
    <row r="6" spans="1:10" ht="20.25" customHeight="1" x14ac:dyDescent="0.25">
      <c r="A6" s="5">
        <v>2</v>
      </c>
      <c r="B6" s="6" t="s">
        <v>8</v>
      </c>
      <c r="C6" s="6" t="s">
        <v>12</v>
      </c>
      <c r="D6" s="6" t="s">
        <v>10</v>
      </c>
      <c r="E6" s="5">
        <v>1</v>
      </c>
      <c r="F6" s="6"/>
      <c r="G6" s="5" t="s">
        <v>11</v>
      </c>
      <c r="J6" t="str">
        <f t="shared" ref="J6:J15" si="0">B6&amp;" "&amp;C6</f>
        <v>SOLUTION GD FINAL</v>
      </c>
    </row>
    <row r="7" spans="1:10" ht="20.25" customHeight="1" x14ac:dyDescent="0.25">
      <c r="A7" s="5">
        <v>3</v>
      </c>
      <c r="B7" s="6" t="s">
        <v>8</v>
      </c>
      <c r="C7" s="6" t="s">
        <v>13</v>
      </c>
      <c r="D7" s="6" t="s">
        <v>10</v>
      </c>
      <c r="E7" s="5">
        <v>1</v>
      </c>
      <c r="F7" s="6"/>
      <c r="G7" s="5" t="s">
        <v>11</v>
      </c>
      <c r="J7" t="str">
        <f t="shared" si="0"/>
        <v>SOLUTION GD DF</v>
      </c>
    </row>
    <row r="8" spans="1:10" ht="20.25" customHeight="1" x14ac:dyDescent="0.25">
      <c r="A8" s="5">
        <v>4</v>
      </c>
      <c r="B8" s="6" t="s">
        <v>8</v>
      </c>
      <c r="C8" s="6" t="s">
        <v>14</v>
      </c>
      <c r="D8" s="6" t="s">
        <v>10</v>
      </c>
      <c r="E8" s="5">
        <v>1</v>
      </c>
      <c r="F8" s="6"/>
      <c r="G8" s="5" t="s">
        <v>11</v>
      </c>
      <c r="J8" t="str">
        <f t="shared" si="0"/>
        <v>SOLUTION GD UNWINDING</v>
      </c>
    </row>
    <row r="9" spans="1:10" ht="20.25" customHeight="1" x14ac:dyDescent="0.25">
      <c r="A9" s="5">
        <v>5</v>
      </c>
      <c r="B9" s="6" t="s">
        <v>8</v>
      </c>
      <c r="C9" s="6" t="s">
        <v>15</v>
      </c>
      <c r="D9" s="6" t="s">
        <v>10</v>
      </c>
      <c r="E9" s="5">
        <v>1</v>
      </c>
      <c r="F9" s="6"/>
      <c r="G9" s="5" t="s">
        <v>11</v>
      </c>
      <c r="J9" t="str">
        <f t="shared" si="0"/>
        <v>SOLUTION GD WEAVING</v>
      </c>
    </row>
    <row r="10" spans="1:10" ht="20.25" customHeight="1" x14ac:dyDescent="0.25">
      <c r="A10" s="5">
        <v>6</v>
      </c>
      <c r="B10" s="6" t="s">
        <v>8</v>
      </c>
      <c r="C10" s="6" t="s">
        <v>16</v>
      </c>
      <c r="D10" s="6" t="s">
        <v>17</v>
      </c>
      <c r="E10" s="5">
        <v>2</v>
      </c>
      <c r="F10" s="6"/>
      <c r="G10" s="5" t="s">
        <v>11</v>
      </c>
      <c r="J10" t="str">
        <f t="shared" si="0"/>
        <v>SOLUTION OFFICE PERSONALIA LJ2</v>
      </c>
    </row>
    <row r="11" spans="1:10" ht="20.25" customHeight="1" x14ac:dyDescent="0.25">
      <c r="A11" s="5">
        <v>7</v>
      </c>
      <c r="B11" s="6" t="s">
        <v>8</v>
      </c>
      <c r="C11" s="6" t="s">
        <v>18</v>
      </c>
      <c r="D11" s="6" t="s">
        <v>17</v>
      </c>
      <c r="E11" s="5">
        <v>1</v>
      </c>
      <c r="F11" s="6"/>
      <c r="G11" s="5" t="s">
        <v>11</v>
      </c>
      <c r="J11" t="str">
        <f t="shared" si="0"/>
        <v>SOLUTION SATPAM TENGAH LJ2</v>
      </c>
    </row>
    <row r="12" spans="1:10" ht="20.25" customHeight="1" x14ac:dyDescent="0.25">
      <c r="A12" s="5">
        <v>8</v>
      </c>
      <c r="B12" s="6" t="s">
        <v>8</v>
      </c>
      <c r="C12" s="6" t="s">
        <v>19</v>
      </c>
      <c r="D12" s="6" t="s">
        <v>10</v>
      </c>
      <c r="E12" s="5">
        <v>1</v>
      </c>
      <c r="F12" s="6"/>
      <c r="G12" s="5" t="s">
        <v>11</v>
      </c>
      <c r="J12" t="str">
        <f t="shared" si="0"/>
        <v>SOLUTION GD MARKETING</v>
      </c>
    </row>
    <row r="13" spans="1:10" ht="20.25" customHeight="1" x14ac:dyDescent="0.25">
      <c r="A13" s="5">
        <v>9</v>
      </c>
      <c r="B13" s="6" t="s">
        <v>8</v>
      </c>
      <c r="C13" s="6" t="s">
        <v>20</v>
      </c>
      <c r="D13" s="6" t="s">
        <v>21</v>
      </c>
      <c r="E13" s="5">
        <v>1</v>
      </c>
      <c r="F13" s="6"/>
      <c r="G13" s="5" t="s">
        <v>11</v>
      </c>
      <c r="J13" t="str">
        <f t="shared" si="0"/>
        <v>SOLUTION AREA LJ3</v>
      </c>
    </row>
    <row r="14" spans="1:10" ht="20.25" customHeight="1" x14ac:dyDescent="0.25">
      <c r="A14" s="5">
        <v>10</v>
      </c>
      <c r="B14" s="6" t="s">
        <v>8</v>
      </c>
      <c r="C14" s="6" t="s">
        <v>22</v>
      </c>
      <c r="D14" s="6" t="s">
        <v>22</v>
      </c>
      <c r="E14" s="5">
        <v>1</v>
      </c>
      <c r="F14" s="6"/>
      <c r="G14" s="5" t="s">
        <v>11</v>
      </c>
      <c r="J14" t="str">
        <f t="shared" si="0"/>
        <v>SOLUTION MKA</v>
      </c>
    </row>
    <row r="15" spans="1:10" ht="20.25" customHeight="1" x14ac:dyDescent="0.25">
      <c r="A15" s="20" t="s">
        <v>23</v>
      </c>
      <c r="B15" s="21"/>
      <c r="C15" s="21"/>
      <c r="D15" s="22"/>
      <c r="E15" s="7">
        <f>SUM(E5:E14)</f>
        <v>11</v>
      </c>
      <c r="F15" s="8"/>
      <c r="G15" s="7"/>
      <c r="J15" t="str">
        <f t="shared" si="0"/>
        <v xml:space="preserve"> </v>
      </c>
    </row>
  </sheetData>
  <mergeCells count="3">
    <mergeCell ref="A1:G1"/>
    <mergeCell ref="A2:G2"/>
    <mergeCell ref="A15:D15"/>
  </mergeCells>
  <pageMargins left="1.25" right="0.5" top="0.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15"/>
  <sheetViews>
    <sheetView tabSelected="1" workbookViewId="0">
      <selection activeCell="J5" sqref="J5:J14"/>
    </sheetView>
  </sheetViews>
  <sheetFormatPr defaultColWidth="9.140625" defaultRowHeight="15" x14ac:dyDescent="0.25"/>
  <cols>
    <col min="1" max="1" width="5" customWidth="1"/>
    <col min="2" max="2" width="14.85546875" customWidth="1"/>
    <col min="3" max="3" width="17.42578125" customWidth="1"/>
    <col min="4" max="4" width="14.85546875" customWidth="1"/>
    <col min="5" max="5" width="7.42578125" customWidth="1"/>
    <col min="6" max="6" width="7" customWidth="1"/>
    <col min="7" max="7" width="15.7109375" customWidth="1"/>
    <col min="8" max="8" width="19.42578125" customWidth="1"/>
    <col min="9" max="9" width="28.85546875" customWidth="1"/>
    <col min="254" max="254" width="5" customWidth="1"/>
    <col min="255" max="255" width="14.85546875" customWidth="1"/>
    <col min="256" max="256" width="17.42578125" customWidth="1"/>
    <col min="257" max="257" width="14.85546875" customWidth="1"/>
    <col min="258" max="258" width="7.42578125" customWidth="1"/>
    <col min="259" max="259" width="7" customWidth="1"/>
    <col min="260" max="260" width="16" customWidth="1"/>
    <col min="510" max="510" width="5" customWidth="1"/>
    <col min="511" max="511" width="14.85546875" customWidth="1"/>
    <col min="512" max="512" width="17.42578125" customWidth="1"/>
    <col min="513" max="513" width="14.85546875" customWidth="1"/>
    <col min="514" max="514" width="7.42578125" customWidth="1"/>
    <col min="515" max="515" width="7" customWidth="1"/>
    <col min="516" max="516" width="16" customWidth="1"/>
    <col min="766" max="766" width="5" customWidth="1"/>
    <col min="767" max="767" width="14.85546875" customWidth="1"/>
    <col min="768" max="768" width="17.42578125" customWidth="1"/>
    <col min="769" max="769" width="14.85546875" customWidth="1"/>
    <col min="770" max="770" width="7.42578125" customWidth="1"/>
    <col min="771" max="771" width="7" customWidth="1"/>
    <col min="772" max="772" width="16" customWidth="1"/>
    <col min="1022" max="1022" width="5" customWidth="1"/>
    <col min="1023" max="1023" width="14.85546875" customWidth="1"/>
    <col min="1024" max="1024" width="17.42578125" customWidth="1"/>
    <col min="1025" max="1025" width="14.85546875" customWidth="1"/>
    <col min="1026" max="1026" width="7.42578125" customWidth="1"/>
    <col min="1027" max="1027" width="7" customWidth="1"/>
    <col min="1028" max="1028" width="16" customWidth="1"/>
    <col min="1278" max="1278" width="5" customWidth="1"/>
    <col min="1279" max="1279" width="14.85546875" customWidth="1"/>
    <col min="1280" max="1280" width="17.42578125" customWidth="1"/>
    <col min="1281" max="1281" width="14.85546875" customWidth="1"/>
    <col min="1282" max="1282" width="7.42578125" customWidth="1"/>
    <col min="1283" max="1283" width="7" customWidth="1"/>
    <col min="1284" max="1284" width="16" customWidth="1"/>
    <col min="1534" max="1534" width="5" customWidth="1"/>
    <col min="1535" max="1535" width="14.85546875" customWidth="1"/>
    <col min="1536" max="1536" width="17.42578125" customWidth="1"/>
    <col min="1537" max="1537" width="14.85546875" customWidth="1"/>
    <col min="1538" max="1538" width="7.42578125" customWidth="1"/>
    <col min="1539" max="1539" width="7" customWidth="1"/>
    <col min="1540" max="1540" width="16" customWidth="1"/>
    <col min="1790" max="1790" width="5" customWidth="1"/>
    <col min="1791" max="1791" width="14.85546875" customWidth="1"/>
    <col min="1792" max="1792" width="17.42578125" customWidth="1"/>
    <col min="1793" max="1793" width="14.85546875" customWidth="1"/>
    <col min="1794" max="1794" width="7.42578125" customWidth="1"/>
    <col min="1795" max="1795" width="7" customWidth="1"/>
    <col min="1796" max="1796" width="16" customWidth="1"/>
    <col min="2046" max="2046" width="5" customWidth="1"/>
    <col min="2047" max="2047" width="14.85546875" customWidth="1"/>
    <col min="2048" max="2048" width="17.42578125" customWidth="1"/>
    <col min="2049" max="2049" width="14.85546875" customWidth="1"/>
    <col min="2050" max="2050" width="7.42578125" customWidth="1"/>
    <col min="2051" max="2051" width="7" customWidth="1"/>
    <col min="2052" max="2052" width="16" customWidth="1"/>
    <col min="2302" max="2302" width="5" customWidth="1"/>
    <col min="2303" max="2303" width="14.85546875" customWidth="1"/>
    <col min="2304" max="2304" width="17.42578125" customWidth="1"/>
    <col min="2305" max="2305" width="14.85546875" customWidth="1"/>
    <col min="2306" max="2306" width="7.42578125" customWidth="1"/>
    <col min="2307" max="2307" width="7" customWidth="1"/>
    <col min="2308" max="2308" width="16" customWidth="1"/>
    <col min="2558" max="2558" width="5" customWidth="1"/>
    <col min="2559" max="2559" width="14.85546875" customWidth="1"/>
    <col min="2560" max="2560" width="17.42578125" customWidth="1"/>
    <col min="2561" max="2561" width="14.85546875" customWidth="1"/>
    <col min="2562" max="2562" width="7.42578125" customWidth="1"/>
    <col min="2563" max="2563" width="7" customWidth="1"/>
    <col min="2564" max="2564" width="16" customWidth="1"/>
    <col min="2814" max="2814" width="5" customWidth="1"/>
    <col min="2815" max="2815" width="14.85546875" customWidth="1"/>
    <col min="2816" max="2816" width="17.42578125" customWidth="1"/>
    <col min="2817" max="2817" width="14.85546875" customWidth="1"/>
    <col min="2818" max="2818" width="7.42578125" customWidth="1"/>
    <col min="2819" max="2819" width="7" customWidth="1"/>
    <col min="2820" max="2820" width="16" customWidth="1"/>
    <col min="3070" max="3070" width="5" customWidth="1"/>
    <col min="3071" max="3071" width="14.85546875" customWidth="1"/>
    <col min="3072" max="3072" width="17.42578125" customWidth="1"/>
    <col min="3073" max="3073" width="14.85546875" customWidth="1"/>
    <col min="3074" max="3074" width="7.42578125" customWidth="1"/>
    <col min="3075" max="3075" width="7" customWidth="1"/>
    <col min="3076" max="3076" width="16" customWidth="1"/>
    <col min="3326" max="3326" width="5" customWidth="1"/>
    <col min="3327" max="3327" width="14.85546875" customWidth="1"/>
    <col min="3328" max="3328" width="17.42578125" customWidth="1"/>
    <col min="3329" max="3329" width="14.85546875" customWidth="1"/>
    <col min="3330" max="3330" width="7.42578125" customWidth="1"/>
    <col min="3331" max="3331" width="7" customWidth="1"/>
    <col min="3332" max="3332" width="16" customWidth="1"/>
    <col min="3582" max="3582" width="5" customWidth="1"/>
    <col min="3583" max="3583" width="14.85546875" customWidth="1"/>
    <col min="3584" max="3584" width="17.42578125" customWidth="1"/>
    <col min="3585" max="3585" width="14.85546875" customWidth="1"/>
    <col min="3586" max="3586" width="7.42578125" customWidth="1"/>
    <col min="3587" max="3587" width="7" customWidth="1"/>
    <col min="3588" max="3588" width="16" customWidth="1"/>
    <col min="3838" max="3838" width="5" customWidth="1"/>
    <col min="3839" max="3839" width="14.85546875" customWidth="1"/>
    <col min="3840" max="3840" width="17.42578125" customWidth="1"/>
    <col min="3841" max="3841" width="14.85546875" customWidth="1"/>
    <col min="3842" max="3842" width="7.42578125" customWidth="1"/>
    <col min="3843" max="3843" width="7" customWidth="1"/>
    <col min="3844" max="3844" width="16" customWidth="1"/>
    <col min="4094" max="4094" width="5" customWidth="1"/>
    <col min="4095" max="4095" width="14.85546875" customWidth="1"/>
    <col min="4096" max="4096" width="17.42578125" customWidth="1"/>
    <col min="4097" max="4097" width="14.85546875" customWidth="1"/>
    <col min="4098" max="4098" width="7.42578125" customWidth="1"/>
    <col min="4099" max="4099" width="7" customWidth="1"/>
    <col min="4100" max="4100" width="16" customWidth="1"/>
    <col min="4350" max="4350" width="5" customWidth="1"/>
    <col min="4351" max="4351" width="14.85546875" customWidth="1"/>
    <col min="4352" max="4352" width="17.42578125" customWidth="1"/>
    <col min="4353" max="4353" width="14.85546875" customWidth="1"/>
    <col min="4354" max="4354" width="7.42578125" customWidth="1"/>
    <col min="4355" max="4355" width="7" customWidth="1"/>
    <col min="4356" max="4356" width="16" customWidth="1"/>
    <col min="4606" max="4606" width="5" customWidth="1"/>
    <col min="4607" max="4607" width="14.85546875" customWidth="1"/>
    <col min="4608" max="4608" width="17.42578125" customWidth="1"/>
    <col min="4609" max="4609" width="14.85546875" customWidth="1"/>
    <col min="4610" max="4610" width="7.42578125" customWidth="1"/>
    <col min="4611" max="4611" width="7" customWidth="1"/>
    <col min="4612" max="4612" width="16" customWidth="1"/>
    <col min="4862" max="4862" width="5" customWidth="1"/>
    <col min="4863" max="4863" width="14.85546875" customWidth="1"/>
    <col min="4864" max="4864" width="17.42578125" customWidth="1"/>
    <col min="4865" max="4865" width="14.85546875" customWidth="1"/>
    <col min="4866" max="4866" width="7.42578125" customWidth="1"/>
    <col min="4867" max="4867" width="7" customWidth="1"/>
    <col min="4868" max="4868" width="16" customWidth="1"/>
    <col min="5118" max="5118" width="5" customWidth="1"/>
    <col min="5119" max="5119" width="14.85546875" customWidth="1"/>
    <col min="5120" max="5120" width="17.42578125" customWidth="1"/>
    <col min="5121" max="5121" width="14.85546875" customWidth="1"/>
    <col min="5122" max="5122" width="7.42578125" customWidth="1"/>
    <col min="5123" max="5123" width="7" customWidth="1"/>
    <col min="5124" max="5124" width="16" customWidth="1"/>
    <col min="5374" max="5374" width="5" customWidth="1"/>
    <col min="5375" max="5375" width="14.85546875" customWidth="1"/>
    <col min="5376" max="5376" width="17.42578125" customWidth="1"/>
    <col min="5377" max="5377" width="14.85546875" customWidth="1"/>
    <col min="5378" max="5378" width="7.42578125" customWidth="1"/>
    <col min="5379" max="5379" width="7" customWidth="1"/>
    <col min="5380" max="5380" width="16" customWidth="1"/>
    <col min="5630" max="5630" width="5" customWidth="1"/>
    <col min="5631" max="5631" width="14.85546875" customWidth="1"/>
    <col min="5632" max="5632" width="17.42578125" customWidth="1"/>
    <col min="5633" max="5633" width="14.85546875" customWidth="1"/>
    <col min="5634" max="5634" width="7.42578125" customWidth="1"/>
    <col min="5635" max="5635" width="7" customWidth="1"/>
    <col min="5636" max="5636" width="16" customWidth="1"/>
    <col min="5886" max="5886" width="5" customWidth="1"/>
    <col min="5887" max="5887" width="14.85546875" customWidth="1"/>
    <col min="5888" max="5888" width="17.42578125" customWidth="1"/>
    <col min="5889" max="5889" width="14.85546875" customWidth="1"/>
    <col min="5890" max="5890" width="7.42578125" customWidth="1"/>
    <col min="5891" max="5891" width="7" customWidth="1"/>
    <col min="5892" max="5892" width="16" customWidth="1"/>
    <col min="6142" max="6142" width="5" customWidth="1"/>
    <col min="6143" max="6143" width="14.85546875" customWidth="1"/>
    <col min="6144" max="6144" width="17.42578125" customWidth="1"/>
    <col min="6145" max="6145" width="14.85546875" customWidth="1"/>
    <col min="6146" max="6146" width="7.42578125" customWidth="1"/>
    <col min="6147" max="6147" width="7" customWidth="1"/>
    <col min="6148" max="6148" width="16" customWidth="1"/>
    <col min="6398" max="6398" width="5" customWidth="1"/>
    <col min="6399" max="6399" width="14.85546875" customWidth="1"/>
    <col min="6400" max="6400" width="17.42578125" customWidth="1"/>
    <col min="6401" max="6401" width="14.85546875" customWidth="1"/>
    <col min="6402" max="6402" width="7.42578125" customWidth="1"/>
    <col min="6403" max="6403" width="7" customWidth="1"/>
    <col min="6404" max="6404" width="16" customWidth="1"/>
    <col min="6654" max="6654" width="5" customWidth="1"/>
    <col min="6655" max="6655" width="14.85546875" customWidth="1"/>
    <col min="6656" max="6656" width="17.42578125" customWidth="1"/>
    <col min="6657" max="6657" width="14.85546875" customWidth="1"/>
    <col min="6658" max="6658" width="7.42578125" customWidth="1"/>
    <col min="6659" max="6659" width="7" customWidth="1"/>
    <col min="6660" max="6660" width="16" customWidth="1"/>
    <col min="6910" max="6910" width="5" customWidth="1"/>
    <col min="6911" max="6911" width="14.85546875" customWidth="1"/>
    <col min="6912" max="6912" width="17.42578125" customWidth="1"/>
    <col min="6913" max="6913" width="14.85546875" customWidth="1"/>
    <col min="6914" max="6914" width="7.42578125" customWidth="1"/>
    <col min="6915" max="6915" width="7" customWidth="1"/>
    <col min="6916" max="6916" width="16" customWidth="1"/>
    <col min="7166" max="7166" width="5" customWidth="1"/>
    <col min="7167" max="7167" width="14.85546875" customWidth="1"/>
    <col min="7168" max="7168" width="17.42578125" customWidth="1"/>
    <col min="7169" max="7169" width="14.85546875" customWidth="1"/>
    <col min="7170" max="7170" width="7.42578125" customWidth="1"/>
    <col min="7171" max="7171" width="7" customWidth="1"/>
    <col min="7172" max="7172" width="16" customWidth="1"/>
    <col min="7422" max="7422" width="5" customWidth="1"/>
    <col min="7423" max="7423" width="14.85546875" customWidth="1"/>
    <col min="7424" max="7424" width="17.42578125" customWidth="1"/>
    <col min="7425" max="7425" width="14.85546875" customWidth="1"/>
    <col min="7426" max="7426" width="7.42578125" customWidth="1"/>
    <col min="7427" max="7427" width="7" customWidth="1"/>
    <col min="7428" max="7428" width="16" customWidth="1"/>
    <col min="7678" max="7678" width="5" customWidth="1"/>
    <col min="7679" max="7679" width="14.85546875" customWidth="1"/>
    <col min="7680" max="7680" width="17.42578125" customWidth="1"/>
    <col min="7681" max="7681" width="14.85546875" customWidth="1"/>
    <col min="7682" max="7682" width="7.42578125" customWidth="1"/>
    <col min="7683" max="7683" width="7" customWidth="1"/>
    <col min="7684" max="7684" width="16" customWidth="1"/>
    <col min="7934" max="7934" width="5" customWidth="1"/>
    <col min="7935" max="7935" width="14.85546875" customWidth="1"/>
    <col min="7936" max="7936" width="17.42578125" customWidth="1"/>
    <col min="7937" max="7937" width="14.85546875" customWidth="1"/>
    <col min="7938" max="7938" width="7.42578125" customWidth="1"/>
    <col min="7939" max="7939" width="7" customWidth="1"/>
    <col min="7940" max="7940" width="16" customWidth="1"/>
    <col min="8190" max="8190" width="5" customWidth="1"/>
    <col min="8191" max="8191" width="14.85546875" customWidth="1"/>
    <col min="8192" max="8192" width="17.42578125" customWidth="1"/>
    <col min="8193" max="8193" width="14.85546875" customWidth="1"/>
    <col min="8194" max="8194" width="7.42578125" customWidth="1"/>
    <col min="8195" max="8195" width="7" customWidth="1"/>
    <col min="8196" max="8196" width="16" customWidth="1"/>
    <col min="8446" max="8446" width="5" customWidth="1"/>
    <col min="8447" max="8447" width="14.85546875" customWidth="1"/>
    <col min="8448" max="8448" width="17.42578125" customWidth="1"/>
    <col min="8449" max="8449" width="14.85546875" customWidth="1"/>
    <col min="8450" max="8450" width="7.42578125" customWidth="1"/>
    <col min="8451" max="8451" width="7" customWidth="1"/>
    <col min="8452" max="8452" width="16" customWidth="1"/>
    <col min="8702" max="8702" width="5" customWidth="1"/>
    <col min="8703" max="8703" width="14.85546875" customWidth="1"/>
    <col min="8704" max="8704" width="17.42578125" customWidth="1"/>
    <col min="8705" max="8705" width="14.85546875" customWidth="1"/>
    <col min="8706" max="8706" width="7.42578125" customWidth="1"/>
    <col min="8707" max="8707" width="7" customWidth="1"/>
    <col min="8708" max="8708" width="16" customWidth="1"/>
    <col min="8958" max="8958" width="5" customWidth="1"/>
    <col min="8959" max="8959" width="14.85546875" customWidth="1"/>
    <col min="8960" max="8960" width="17.42578125" customWidth="1"/>
    <col min="8961" max="8961" width="14.85546875" customWidth="1"/>
    <col min="8962" max="8962" width="7.42578125" customWidth="1"/>
    <col min="8963" max="8963" width="7" customWidth="1"/>
    <col min="8964" max="8964" width="16" customWidth="1"/>
    <col min="9214" max="9214" width="5" customWidth="1"/>
    <col min="9215" max="9215" width="14.85546875" customWidth="1"/>
    <col min="9216" max="9216" width="17.42578125" customWidth="1"/>
    <col min="9217" max="9217" width="14.85546875" customWidth="1"/>
    <col min="9218" max="9218" width="7.42578125" customWidth="1"/>
    <col min="9219" max="9219" width="7" customWidth="1"/>
    <col min="9220" max="9220" width="16" customWidth="1"/>
    <col min="9470" max="9470" width="5" customWidth="1"/>
    <col min="9471" max="9471" width="14.85546875" customWidth="1"/>
    <col min="9472" max="9472" width="17.42578125" customWidth="1"/>
    <col min="9473" max="9473" width="14.85546875" customWidth="1"/>
    <col min="9474" max="9474" width="7.42578125" customWidth="1"/>
    <col min="9475" max="9475" width="7" customWidth="1"/>
    <col min="9476" max="9476" width="16" customWidth="1"/>
    <col min="9726" max="9726" width="5" customWidth="1"/>
    <col min="9727" max="9727" width="14.85546875" customWidth="1"/>
    <col min="9728" max="9728" width="17.42578125" customWidth="1"/>
    <col min="9729" max="9729" width="14.85546875" customWidth="1"/>
    <col min="9730" max="9730" width="7.42578125" customWidth="1"/>
    <col min="9731" max="9731" width="7" customWidth="1"/>
    <col min="9732" max="9732" width="16" customWidth="1"/>
    <col min="9982" max="9982" width="5" customWidth="1"/>
    <col min="9983" max="9983" width="14.85546875" customWidth="1"/>
    <col min="9984" max="9984" width="17.42578125" customWidth="1"/>
    <col min="9985" max="9985" width="14.85546875" customWidth="1"/>
    <col min="9986" max="9986" width="7.42578125" customWidth="1"/>
    <col min="9987" max="9987" width="7" customWidth="1"/>
    <col min="9988" max="9988" width="16" customWidth="1"/>
    <col min="10238" max="10238" width="5" customWidth="1"/>
    <col min="10239" max="10239" width="14.85546875" customWidth="1"/>
    <col min="10240" max="10240" width="17.42578125" customWidth="1"/>
    <col min="10241" max="10241" width="14.85546875" customWidth="1"/>
    <col min="10242" max="10242" width="7.42578125" customWidth="1"/>
    <col min="10243" max="10243" width="7" customWidth="1"/>
    <col min="10244" max="10244" width="16" customWidth="1"/>
    <col min="10494" max="10494" width="5" customWidth="1"/>
    <col min="10495" max="10495" width="14.85546875" customWidth="1"/>
    <col min="10496" max="10496" width="17.42578125" customWidth="1"/>
    <col min="10497" max="10497" width="14.85546875" customWidth="1"/>
    <col min="10498" max="10498" width="7.42578125" customWidth="1"/>
    <col min="10499" max="10499" width="7" customWidth="1"/>
    <col min="10500" max="10500" width="16" customWidth="1"/>
    <col min="10750" max="10750" width="5" customWidth="1"/>
    <col min="10751" max="10751" width="14.85546875" customWidth="1"/>
    <col min="10752" max="10752" width="17.42578125" customWidth="1"/>
    <col min="10753" max="10753" width="14.85546875" customWidth="1"/>
    <col min="10754" max="10754" width="7.42578125" customWidth="1"/>
    <col min="10755" max="10755" width="7" customWidth="1"/>
    <col min="10756" max="10756" width="16" customWidth="1"/>
    <col min="11006" max="11006" width="5" customWidth="1"/>
    <col min="11007" max="11007" width="14.85546875" customWidth="1"/>
    <col min="11008" max="11008" width="17.42578125" customWidth="1"/>
    <col min="11009" max="11009" width="14.85546875" customWidth="1"/>
    <col min="11010" max="11010" width="7.42578125" customWidth="1"/>
    <col min="11011" max="11011" width="7" customWidth="1"/>
    <col min="11012" max="11012" width="16" customWidth="1"/>
    <col min="11262" max="11262" width="5" customWidth="1"/>
    <col min="11263" max="11263" width="14.85546875" customWidth="1"/>
    <col min="11264" max="11264" width="17.42578125" customWidth="1"/>
    <col min="11265" max="11265" width="14.85546875" customWidth="1"/>
    <col min="11266" max="11266" width="7.42578125" customWidth="1"/>
    <col min="11267" max="11267" width="7" customWidth="1"/>
    <col min="11268" max="11268" width="16" customWidth="1"/>
    <col min="11518" max="11518" width="5" customWidth="1"/>
    <col min="11519" max="11519" width="14.85546875" customWidth="1"/>
    <col min="11520" max="11520" width="17.42578125" customWidth="1"/>
    <col min="11521" max="11521" width="14.85546875" customWidth="1"/>
    <col min="11522" max="11522" width="7.42578125" customWidth="1"/>
    <col min="11523" max="11523" width="7" customWidth="1"/>
    <col min="11524" max="11524" width="16" customWidth="1"/>
    <col min="11774" max="11774" width="5" customWidth="1"/>
    <col min="11775" max="11775" width="14.85546875" customWidth="1"/>
    <col min="11776" max="11776" width="17.42578125" customWidth="1"/>
    <col min="11777" max="11777" width="14.85546875" customWidth="1"/>
    <col min="11778" max="11778" width="7.42578125" customWidth="1"/>
    <col min="11779" max="11779" width="7" customWidth="1"/>
    <col min="11780" max="11780" width="16" customWidth="1"/>
    <col min="12030" max="12030" width="5" customWidth="1"/>
    <col min="12031" max="12031" width="14.85546875" customWidth="1"/>
    <col min="12032" max="12032" width="17.42578125" customWidth="1"/>
    <col min="12033" max="12033" width="14.85546875" customWidth="1"/>
    <col min="12034" max="12034" width="7.42578125" customWidth="1"/>
    <col min="12035" max="12035" width="7" customWidth="1"/>
    <col min="12036" max="12036" width="16" customWidth="1"/>
    <col min="12286" max="12286" width="5" customWidth="1"/>
    <col min="12287" max="12287" width="14.85546875" customWidth="1"/>
    <col min="12288" max="12288" width="17.42578125" customWidth="1"/>
    <col min="12289" max="12289" width="14.85546875" customWidth="1"/>
    <col min="12290" max="12290" width="7.42578125" customWidth="1"/>
    <col min="12291" max="12291" width="7" customWidth="1"/>
    <col min="12292" max="12292" width="16" customWidth="1"/>
    <col min="12542" max="12542" width="5" customWidth="1"/>
    <col min="12543" max="12543" width="14.85546875" customWidth="1"/>
    <col min="12544" max="12544" width="17.42578125" customWidth="1"/>
    <col min="12545" max="12545" width="14.85546875" customWidth="1"/>
    <col min="12546" max="12546" width="7.42578125" customWidth="1"/>
    <col min="12547" max="12547" width="7" customWidth="1"/>
    <col min="12548" max="12548" width="16" customWidth="1"/>
    <col min="12798" max="12798" width="5" customWidth="1"/>
    <col min="12799" max="12799" width="14.85546875" customWidth="1"/>
    <col min="12800" max="12800" width="17.42578125" customWidth="1"/>
    <col min="12801" max="12801" width="14.85546875" customWidth="1"/>
    <col min="12802" max="12802" width="7.42578125" customWidth="1"/>
    <col min="12803" max="12803" width="7" customWidth="1"/>
    <col min="12804" max="12804" width="16" customWidth="1"/>
    <col min="13054" max="13054" width="5" customWidth="1"/>
    <col min="13055" max="13055" width="14.85546875" customWidth="1"/>
    <col min="13056" max="13056" width="17.42578125" customWidth="1"/>
    <col min="13057" max="13057" width="14.85546875" customWidth="1"/>
    <col min="13058" max="13058" width="7.42578125" customWidth="1"/>
    <col min="13059" max="13059" width="7" customWidth="1"/>
    <col min="13060" max="13060" width="16" customWidth="1"/>
    <col min="13310" max="13310" width="5" customWidth="1"/>
    <col min="13311" max="13311" width="14.85546875" customWidth="1"/>
    <col min="13312" max="13312" width="17.42578125" customWidth="1"/>
    <col min="13313" max="13313" width="14.85546875" customWidth="1"/>
    <col min="13314" max="13314" width="7.42578125" customWidth="1"/>
    <col min="13315" max="13315" width="7" customWidth="1"/>
    <col min="13316" max="13316" width="16" customWidth="1"/>
    <col min="13566" max="13566" width="5" customWidth="1"/>
    <col min="13567" max="13567" width="14.85546875" customWidth="1"/>
    <col min="13568" max="13568" width="17.42578125" customWidth="1"/>
    <col min="13569" max="13569" width="14.85546875" customWidth="1"/>
    <col min="13570" max="13570" width="7.42578125" customWidth="1"/>
    <col min="13571" max="13571" width="7" customWidth="1"/>
    <col min="13572" max="13572" width="16" customWidth="1"/>
    <col min="13822" max="13822" width="5" customWidth="1"/>
    <col min="13823" max="13823" width="14.85546875" customWidth="1"/>
    <col min="13824" max="13824" width="17.42578125" customWidth="1"/>
    <col min="13825" max="13825" width="14.85546875" customWidth="1"/>
    <col min="13826" max="13826" width="7.42578125" customWidth="1"/>
    <col min="13827" max="13827" width="7" customWidth="1"/>
    <col min="13828" max="13828" width="16" customWidth="1"/>
    <col min="14078" max="14078" width="5" customWidth="1"/>
    <col min="14079" max="14079" width="14.85546875" customWidth="1"/>
    <col min="14080" max="14080" width="17.42578125" customWidth="1"/>
    <col min="14081" max="14081" width="14.85546875" customWidth="1"/>
    <col min="14082" max="14082" width="7.42578125" customWidth="1"/>
    <col min="14083" max="14083" width="7" customWidth="1"/>
    <col min="14084" max="14084" width="16" customWidth="1"/>
    <col min="14334" max="14334" width="5" customWidth="1"/>
    <col min="14335" max="14335" width="14.85546875" customWidth="1"/>
    <col min="14336" max="14336" width="17.42578125" customWidth="1"/>
    <col min="14337" max="14337" width="14.85546875" customWidth="1"/>
    <col min="14338" max="14338" width="7.42578125" customWidth="1"/>
    <col min="14339" max="14339" width="7" customWidth="1"/>
    <col min="14340" max="14340" width="16" customWidth="1"/>
    <col min="14590" max="14590" width="5" customWidth="1"/>
    <col min="14591" max="14591" width="14.85546875" customWidth="1"/>
    <col min="14592" max="14592" width="17.42578125" customWidth="1"/>
    <col min="14593" max="14593" width="14.85546875" customWidth="1"/>
    <col min="14594" max="14594" width="7.42578125" customWidth="1"/>
    <col min="14595" max="14595" width="7" customWidth="1"/>
    <col min="14596" max="14596" width="16" customWidth="1"/>
    <col min="14846" max="14846" width="5" customWidth="1"/>
    <col min="14847" max="14847" width="14.85546875" customWidth="1"/>
    <col min="14848" max="14848" width="17.42578125" customWidth="1"/>
    <col min="14849" max="14849" width="14.85546875" customWidth="1"/>
    <col min="14850" max="14850" width="7.42578125" customWidth="1"/>
    <col min="14851" max="14851" width="7" customWidth="1"/>
    <col min="14852" max="14852" width="16" customWidth="1"/>
    <col min="15102" max="15102" width="5" customWidth="1"/>
    <col min="15103" max="15103" width="14.85546875" customWidth="1"/>
    <col min="15104" max="15104" width="17.42578125" customWidth="1"/>
    <col min="15105" max="15105" width="14.85546875" customWidth="1"/>
    <col min="15106" max="15106" width="7.42578125" customWidth="1"/>
    <col min="15107" max="15107" width="7" customWidth="1"/>
    <col min="15108" max="15108" width="16" customWidth="1"/>
    <col min="15358" max="15358" width="5" customWidth="1"/>
    <col min="15359" max="15359" width="14.85546875" customWidth="1"/>
    <col min="15360" max="15360" width="17.42578125" customWidth="1"/>
    <col min="15361" max="15361" width="14.85546875" customWidth="1"/>
    <col min="15362" max="15362" width="7.42578125" customWidth="1"/>
    <col min="15363" max="15363" width="7" customWidth="1"/>
    <col min="15364" max="15364" width="16" customWidth="1"/>
    <col min="15614" max="15614" width="5" customWidth="1"/>
    <col min="15615" max="15615" width="14.85546875" customWidth="1"/>
    <col min="15616" max="15616" width="17.42578125" customWidth="1"/>
    <col min="15617" max="15617" width="14.85546875" customWidth="1"/>
    <col min="15618" max="15618" width="7.42578125" customWidth="1"/>
    <col min="15619" max="15619" width="7" customWidth="1"/>
    <col min="15620" max="15620" width="16" customWidth="1"/>
    <col min="15870" max="15870" width="5" customWidth="1"/>
    <col min="15871" max="15871" width="14.85546875" customWidth="1"/>
    <col min="15872" max="15872" width="17.42578125" customWidth="1"/>
    <col min="15873" max="15873" width="14.85546875" customWidth="1"/>
    <col min="15874" max="15874" width="7.42578125" customWidth="1"/>
    <col min="15875" max="15875" width="7" customWidth="1"/>
    <col min="15876" max="15876" width="16" customWidth="1"/>
    <col min="16126" max="16126" width="5" customWidth="1"/>
    <col min="16127" max="16127" width="14.85546875" customWidth="1"/>
    <col min="16128" max="16128" width="17.42578125" customWidth="1"/>
    <col min="16129" max="16129" width="14.85546875" customWidth="1"/>
    <col min="16130" max="16130" width="7.42578125" customWidth="1"/>
    <col min="16131" max="16131" width="7" customWidth="1"/>
    <col min="16132" max="16132" width="16" customWidth="1"/>
  </cols>
  <sheetData>
    <row r="1" spans="1:10" ht="18.75" x14ac:dyDescent="0.3">
      <c r="A1" s="14" t="s">
        <v>0</v>
      </c>
      <c r="B1" s="15"/>
      <c r="C1" s="15"/>
      <c r="D1" s="15"/>
      <c r="E1" s="15"/>
      <c r="F1" s="15"/>
      <c r="G1" s="16"/>
    </row>
    <row r="2" spans="1:10" ht="18.75" x14ac:dyDescent="0.25">
      <c r="A2" s="17" t="s">
        <v>26</v>
      </c>
      <c r="B2" s="18"/>
      <c r="C2" s="18"/>
      <c r="D2" s="18"/>
      <c r="E2" s="18"/>
      <c r="F2" s="18"/>
      <c r="G2" s="19"/>
    </row>
    <row r="3" spans="1:10" ht="18.75" x14ac:dyDescent="0.25">
      <c r="A3" s="1"/>
      <c r="B3" s="2"/>
      <c r="C3" s="2"/>
      <c r="D3" s="2"/>
      <c r="E3" s="2"/>
      <c r="F3" s="2"/>
      <c r="G3" s="3"/>
    </row>
    <row r="4" spans="1:10" ht="27.75" customHeigh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9" t="s">
        <v>3</v>
      </c>
    </row>
    <row r="5" spans="1:10" ht="20.25" customHeight="1" x14ac:dyDescent="0.25">
      <c r="A5" s="5">
        <v>1</v>
      </c>
      <c r="B5" s="13" t="s">
        <v>8</v>
      </c>
      <c r="C5" s="13" t="s">
        <v>9</v>
      </c>
      <c r="D5" s="6" t="s">
        <v>10</v>
      </c>
      <c r="E5" s="5">
        <v>1</v>
      </c>
      <c r="F5" s="6"/>
      <c r="G5" s="5" t="s">
        <v>11</v>
      </c>
      <c r="J5" t="str">
        <f>B5&amp;" "&amp;C5</f>
        <v>SOLUTION SUPPORTING</v>
      </c>
    </row>
    <row r="6" spans="1:10" ht="20.25" customHeight="1" x14ac:dyDescent="0.25">
      <c r="A6" s="5">
        <v>2</v>
      </c>
      <c r="B6" s="11" t="s">
        <v>8</v>
      </c>
      <c r="C6" s="11" t="s">
        <v>12</v>
      </c>
      <c r="D6" s="11" t="s">
        <v>10</v>
      </c>
      <c r="E6" s="12">
        <v>1</v>
      </c>
      <c r="F6" s="11"/>
      <c r="G6" s="12" t="s">
        <v>11</v>
      </c>
      <c r="H6" s="10" t="s">
        <v>25</v>
      </c>
      <c r="J6" t="str">
        <f t="shared" ref="J6:J14" si="0">B6&amp;" "&amp;C6</f>
        <v>SOLUTION GD FINAL</v>
      </c>
    </row>
    <row r="7" spans="1:10" ht="20.25" customHeight="1" x14ac:dyDescent="0.25">
      <c r="A7" s="5">
        <v>3</v>
      </c>
      <c r="B7" s="13" t="s">
        <v>8</v>
      </c>
      <c r="C7" s="13" t="s">
        <v>13</v>
      </c>
      <c r="D7" s="6" t="s">
        <v>10</v>
      </c>
      <c r="E7" s="5">
        <v>1</v>
      </c>
      <c r="F7" s="6"/>
      <c r="G7" s="5" t="s">
        <v>11</v>
      </c>
      <c r="J7" t="str">
        <f t="shared" si="0"/>
        <v>SOLUTION GD DF</v>
      </c>
    </row>
    <row r="8" spans="1:10" ht="20.25" customHeight="1" x14ac:dyDescent="0.25">
      <c r="A8" s="5">
        <v>4</v>
      </c>
      <c r="B8" s="11" t="s">
        <v>8</v>
      </c>
      <c r="C8" s="11" t="s">
        <v>14</v>
      </c>
      <c r="D8" s="11" t="s">
        <v>10</v>
      </c>
      <c r="E8" s="12">
        <v>1</v>
      </c>
      <c r="F8" s="11"/>
      <c r="G8" s="12" t="s">
        <v>11</v>
      </c>
      <c r="H8" s="10" t="s">
        <v>25</v>
      </c>
      <c r="J8" t="str">
        <f t="shared" si="0"/>
        <v>SOLUTION GD UNWINDING</v>
      </c>
    </row>
    <row r="9" spans="1:10" ht="20.25" customHeight="1" x14ac:dyDescent="0.25">
      <c r="A9" s="5">
        <v>5</v>
      </c>
      <c r="B9" s="11" t="s">
        <v>8</v>
      </c>
      <c r="C9" s="11" t="s">
        <v>15</v>
      </c>
      <c r="D9" s="11" t="s">
        <v>10</v>
      </c>
      <c r="E9" s="12">
        <v>1</v>
      </c>
      <c r="F9" s="11"/>
      <c r="G9" s="12" t="s">
        <v>11</v>
      </c>
      <c r="J9" t="str">
        <f t="shared" si="0"/>
        <v>SOLUTION GD WEAVING</v>
      </c>
    </row>
    <row r="10" spans="1:10" ht="20.25" customHeight="1" x14ac:dyDescent="0.25">
      <c r="A10" s="5">
        <v>6</v>
      </c>
      <c r="B10" s="11" t="s">
        <v>8</v>
      </c>
      <c r="C10" s="11" t="s">
        <v>16</v>
      </c>
      <c r="D10" s="11" t="s">
        <v>17</v>
      </c>
      <c r="E10" s="12">
        <v>2</v>
      </c>
      <c r="F10" s="11"/>
      <c r="G10" s="12" t="s">
        <v>11</v>
      </c>
      <c r="H10" s="10" t="s">
        <v>25</v>
      </c>
      <c r="J10" t="str">
        <f t="shared" si="0"/>
        <v>SOLUTION OFFICE PERSONALIA LJ2</v>
      </c>
    </row>
    <row r="11" spans="1:10" ht="20.25" customHeight="1" x14ac:dyDescent="0.25">
      <c r="A11" s="5">
        <v>7</v>
      </c>
      <c r="B11" s="11" t="s">
        <v>8</v>
      </c>
      <c r="C11" s="11" t="s">
        <v>18</v>
      </c>
      <c r="D11" s="11" t="s">
        <v>17</v>
      </c>
      <c r="E11" s="12">
        <v>1</v>
      </c>
      <c r="F11" s="11"/>
      <c r="G11" s="12" t="s">
        <v>11</v>
      </c>
      <c r="H11" s="10" t="s">
        <v>25</v>
      </c>
      <c r="J11" t="str">
        <f t="shared" si="0"/>
        <v>SOLUTION SATPAM TENGAH LJ2</v>
      </c>
    </row>
    <row r="12" spans="1:10" ht="20.25" customHeight="1" x14ac:dyDescent="0.25">
      <c r="A12" s="5">
        <v>8</v>
      </c>
      <c r="B12" s="13" t="s">
        <v>8</v>
      </c>
      <c r="C12" s="13" t="s">
        <v>19</v>
      </c>
      <c r="D12" s="6" t="s">
        <v>10</v>
      </c>
      <c r="E12" s="5">
        <v>1</v>
      </c>
      <c r="F12" s="6"/>
      <c r="G12" s="5" t="s">
        <v>11</v>
      </c>
      <c r="J12" t="str">
        <f t="shared" si="0"/>
        <v>SOLUTION GD MARKETING</v>
      </c>
    </row>
    <row r="13" spans="1:10" ht="20.25" customHeight="1" x14ac:dyDescent="0.25">
      <c r="A13" s="5">
        <v>9</v>
      </c>
      <c r="B13" s="11" t="s">
        <v>8</v>
      </c>
      <c r="C13" s="11" t="s">
        <v>20</v>
      </c>
      <c r="D13" s="11" t="s">
        <v>21</v>
      </c>
      <c r="E13" s="12">
        <v>1</v>
      </c>
      <c r="F13" s="11"/>
      <c r="G13" s="12" t="s">
        <v>11</v>
      </c>
      <c r="J13" t="str">
        <f t="shared" si="0"/>
        <v>SOLUTION AREA LJ3</v>
      </c>
    </row>
    <row r="14" spans="1:10" ht="20.25" customHeight="1" x14ac:dyDescent="0.25">
      <c r="A14" s="5">
        <v>10</v>
      </c>
      <c r="B14" s="11" t="s">
        <v>8</v>
      </c>
      <c r="C14" s="11" t="s">
        <v>22</v>
      </c>
      <c r="D14" s="11" t="s">
        <v>22</v>
      </c>
      <c r="E14" s="12">
        <v>1</v>
      </c>
      <c r="F14" s="11"/>
      <c r="G14" s="12" t="s">
        <v>11</v>
      </c>
      <c r="J14" t="str">
        <f t="shared" si="0"/>
        <v>SOLUTION MKA</v>
      </c>
    </row>
    <row r="15" spans="1:10" ht="20.25" customHeight="1" x14ac:dyDescent="0.25">
      <c r="A15" s="20" t="s">
        <v>23</v>
      </c>
      <c r="B15" s="21"/>
      <c r="C15" s="21"/>
      <c r="D15" s="22"/>
      <c r="E15" s="7">
        <f>SUM(E5:E14)</f>
        <v>11</v>
      </c>
      <c r="F15" s="8"/>
      <c r="G15" s="7"/>
    </row>
  </sheetData>
  <mergeCells count="3">
    <mergeCell ref="A1:G1"/>
    <mergeCell ref="A2:G2"/>
    <mergeCell ref="A15:D15"/>
  </mergeCells>
  <pageMargins left="1.25" right="0.5" top="0.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7D83-799C-4B6A-83C9-39BA61A41508}">
  <dimension ref="B1:K16"/>
  <sheetViews>
    <sheetView workbookViewId="0">
      <selection activeCell="H6" sqref="H6:H15"/>
    </sheetView>
  </sheetViews>
  <sheetFormatPr defaultRowHeight="15" x14ac:dyDescent="0.25"/>
  <cols>
    <col min="3" max="3" width="13" customWidth="1"/>
    <col min="4" max="4" width="33.7109375" customWidth="1"/>
    <col min="9" max="9" width="28" customWidth="1"/>
  </cols>
  <sheetData>
    <row r="1" spans="2:11" ht="21" x14ac:dyDescent="0.35">
      <c r="B1" s="23" t="s">
        <v>35</v>
      </c>
      <c r="C1" s="23"/>
      <c r="D1" s="23"/>
      <c r="E1" s="23"/>
      <c r="F1" s="23"/>
      <c r="G1" s="23"/>
      <c r="H1" s="23"/>
      <c r="I1" s="23"/>
    </row>
    <row r="2" spans="2:11" ht="15.75" x14ac:dyDescent="0.25">
      <c r="B2" s="24" t="s">
        <v>27</v>
      </c>
      <c r="C2" s="24"/>
      <c r="D2" s="24"/>
      <c r="E2" s="24"/>
      <c r="F2" s="24"/>
      <c r="G2" s="24"/>
      <c r="H2" s="24"/>
      <c r="I2" s="24"/>
    </row>
    <row r="3" spans="2:11" x14ac:dyDescent="0.25">
      <c r="C3" s="25"/>
      <c r="E3" s="26"/>
      <c r="F3" s="26"/>
      <c r="G3" s="26"/>
      <c r="H3" s="26"/>
    </row>
    <row r="4" spans="2:11" x14ac:dyDescent="0.25">
      <c r="B4" s="27" t="s">
        <v>28</v>
      </c>
      <c r="C4" s="27" t="s">
        <v>29</v>
      </c>
      <c r="D4" s="27" t="s">
        <v>3</v>
      </c>
      <c r="E4" s="28" t="s">
        <v>30</v>
      </c>
      <c r="F4" s="28"/>
      <c r="G4" s="28"/>
      <c r="H4" s="28"/>
      <c r="I4" s="29" t="s">
        <v>31</v>
      </c>
    </row>
    <row r="5" spans="2:11" x14ac:dyDescent="0.25">
      <c r="B5" s="27"/>
      <c r="C5" s="27"/>
      <c r="D5" s="27"/>
      <c r="E5" s="30">
        <v>2024</v>
      </c>
      <c r="F5" s="31" t="s">
        <v>32</v>
      </c>
      <c r="G5" s="31" t="s">
        <v>33</v>
      </c>
      <c r="H5" s="30">
        <v>2025</v>
      </c>
      <c r="I5" s="29"/>
    </row>
    <row r="6" spans="2:11" x14ac:dyDescent="0.25">
      <c r="B6" s="32">
        <v>1</v>
      </c>
      <c r="C6" s="33" t="str">
        <f>'2025'!B5</f>
        <v>SOLUTION</v>
      </c>
      <c r="D6" t="str">
        <f>'2025'!C5</f>
        <v>SUPPORTING</v>
      </c>
      <c r="E6" s="35">
        <f>COUNTIF('2024'!$J$5:$J$80,K6)</f>
        <v>1</v>
      </c>
      <c r="F6" s="35"/>
      <c r="G6" s="35"/>
      <c r="H6" s="35">
        <f>COUNTIF('2025'!$J$5:$J$80,K6)</f>
        <v>1</v>
      </c>
      <c r="I6" s="34"/>
      <c r="K6" t="str" cm="1">
        <f t="array" ref="K6:K16">_xlfn.UNIQUE(C6&amp;" "&amp;'2024'!C5:C80)</f>
        <v>SOLUTION SUPPORTING</v>
      </c>
    </row>
    <row r="7" spans="2:11" x14ac:dyDescent="0.25">
      <c r="B7" s="32">
        <v>2</v>
      </c>
      <c r="C7" s="33" t="str">
        <f>'2025'!B6</f>
        <v>SOLUTION</v>
      </c>
      <c r="D7" t="str">
        <f>'2025'!C6</f>
        <v>GD FINAL</v>
      </c>
      <c r="E7" s="35">
        <f>COUNTIF('2024'!$J$5:$J$80,K7)</f>
        <v>1</v>
      </c>
      <c r="F7" s="35"/>
      <c r="G7" s="35"/>
      <c r="H7" s="35">
        <f>COUNTIF('2025'!$J$5:$J$80,K7)</f>
        <v>1</v>
      </c>
      <c r="I7" s="34"/>
      <c r="K7" t="str">
        <v>SOLUTION GD FINAL</v>
      </c>
    </row>
    <row r="8" spans="2:11" x14ac:dyDescent="0.25">
      <c r="B8" s="32">
        <v>3</v>
      </c>
      <c r="C8" s="33" t="str">
        <f>'2025'!B7</f>
        <v>SOLUTION</v>
      </c>
      <c r="D8" t="str">
        <f>'2025'!C7</f>
        <v>GD DF</v>
      </c>
      <c r="E8" s="35">
        <f>COUNTIF('2024'!$J$5:$J$80,K8)</f>
        <v>1</v>
      </c>
      <c r="F8" s="35"/>
      <c r="G8" s="35"/>
      <c r="H8" s="35">
        <f>COUNTIF('2025'!$J$5:$J$80,K8)</f>
        <v>1</v>
      </c>
      <c r="I8" s="34"/>
      <c r="K8" t="str">
        <v>SOLUTION GD DF</v>
      </c>
    </row>
    <row r="9" spans="2:11" x14ac:dyDescent="0.25">
      <c r="B9" s="32">
        <v>4</v>
      </c>
      <c r="C9" s="33" t="str">
        <f>'2025'!B8</f>
        <v>SOLUTION</v>
      </c>
      <c r="D9" t="str">
        <f>'2025'!C8</f>
        <v>GD UNWINDING</v>
      </c>
      <c r="E9" s="35">
        <f>COUNTIF('2024'!$J$5:$J$80,K9)</f>
        <v>1</v>
      </c>
      <c r="F9" s="35"/>
      <c r="G9" s="35"/>
      <c r="H9" s="35">
        <f>COUNTIF('2025'!$J$5:$J$80,K9)</f>
        <v>1</v>
      </c>
      <c r="I9" s="36"/>
      <c r="K9" t="str">
        <v>SOLUTION GD UNWINDING</v>
      </c>
    </row>
    <row r="10" spans="2:11" x14ac:dyDescent="0.25">
      <c r="B10" s="32">
        <v>5</v>
      </c>
      <c r="C10" s="33" t="str">
        <f>'2025'!B9</f>
        <v>SOLUTION</v>
      </c>
      <c r="D10" t="str">
        <f>'2025'!C9</f>
        <v>GD WEAVING</v>
      </c>
      <c r="E10" s="35">
        <f>COUNTIF('2024'!$J$5:$J$80,K10)</f>
        <v>1</v>
      </c>
      <c r="F10" s="35"/>
      <c r="G10" s="35"/>
      <c r="H10" s="35">
        <f>COUNTIF('2025'!$J$5:$J$80,K10)</f>
        <v>1</v>
      </c>
      <c r="I10" s="34"/>
      <c r="K10" t="str">
        <v>SOLUTION GD WEAVING</v>
      </c>
    </row>
    <row r="11" spans="2:11" x14ac:dyDescent="0.25">
      <c r="B11" s="32">
        <v>6</v>
      </c>
      <c r="C11" s="33" t="str">
        <f>'2025'!B10</f>
        <v>SOLUTION</v>
      </c>
      <c r="D11" t="str">
        <f>'2025'!C10</f>
        <v>OFFICE PERSONALIA LJ2</v>
      </c>
      <c r="E11" s="35">
        <f>COUNTIF('2024'!$J$5:$J$80,K11)</f>
        <v>1</v>
      </c>
      <c r="F11" s="35"/>
      <c r="G11" s="35"/>
      <c r="H11" s="35">
        <f>COUNTIF('2025'!$J$5:$J$80,K11)</f>
        <v>1</v>
      </c>
      <c r="I11" s="34"/>
      <c r="K11" t="str">
        <v>SOLUTION OFFICE PERSONALIA LJ2</v>
      </c>
    </row>
    <row r="12" spans="2:11" x14ac:dyDescent="0.25">
      <c r="B12" s="32">
        <v>7</v>
      </c>
      <c r="C12" s="33" t="str">
        <f>'2025'!B11</f>
        <v>SOLUTION</v>
      </c>
      <c r="D12" t="str">
        <f>'2025'!C11</f>
        <v>SATPAM TENGAH LJ2</v>
      </c>
      <c r="E12" s="35">
        <f>COUNTIF('2024'!$J$5:$J$80,K12)</f>
        <v>1</v>
      </c>
      <c r="F12" s="35"/>
      <c r="G12" s="35"/>
      <c r="H12" s="35">
        <f>COUNTIF('2025'!$J$5:$J$80,K12)</f>
        <v>1</v>
      </c>
      <c r="I12" s="34"/>
      <c r="K12" t="str">
        <v>SOLUTION SATPAM TENGAH LJ2</v>
      </c>
    </row>
    <row r="13" spans="2:11" x14ac:dyDescent="0.25">
      <c r="B13" s="32">
        <v>8</v>
      </c>
      <c r="C13" s="33" t="str">
        <f>'2025'!B12</f>
        <v>SOLUTION</v>
      </c>
      <c r="D13" t="str">
        <f>'2025'!C12</f>
        <v>GD MARKETING</v>
      </c>
      <c r="E13" s="35">
        <f>COUNTIF('2024'!$J$5:$J$80,K13)</f>
        <v>1</v>
      </c>
      <c r="F13" s="35"/>
      <c r="G13" s="35"/>
      <c r="H13" s="35">
        <f>COUNTIF('2025'!$J$5:$J$80,K13)</f>
        <v>1</v>
      </c>
      <c r="I13" s="34"/>
      <c r="K13" t="str">
        <v>SOLUTION GD MARKETING</v>
      </c>
    </row>
    <row r="14" spans="2:11" x14ac:dyDescent="0.25">
      <c r="B14" s="32">
        <v>9</v>
      </c>
      <c r="C14" s="33" t="str">
        <f>'2025'!B13</f>
        <v>SOLUTION</v>
      </c>
      <c r="D14" t="str">
        <f>'2025'!C13</f>
        <v>AREA LJ3</v>
      </c>
      <c r="E14" s="35">
        <f>COUNTIF('2024'!$J$5:$J$80,K14)</f>
        <v>1</v>
      </c>
      <c r="F14" s="35"/>
      <c r="G14" s="35"/>
      <c r="H14" s="35">
        <f>COUNTIF('2025'!$J$5:$J$80,K14)</f>
        <v>1</v>
      </c>
      <c r="I14" s="34"/>
      <c r="K14" t="str">
        <v>SOLUTION AREA LJ3</v>
      </c>
    </row>
    <row r="15" spans="2:11" x14ac:dyDescent="0.25">
      <c r="B15" s="32">
        <v>10</v>
      </c>
      <c r="C15" s="33" t="str">
        <f>'2025'!B14</f>
        <v>SOLUTION</v>
      </c>
      <c r="D15" t="str">
        <f>'2025'!C14</f>
        <v>MKA</v>
      </c>
      <c r="E15" s="35">
        <f>COUNTIF('2024'!$J$5:$J$80,K15)</f>
        <v>1</v>
      </c>
      <c r="F15" s="35"/>
      <c r="G15" s="35"/>
      <c r="H15" s="35">
        <f>COUNTIF('2025'!$J$5:$J$80,K15)</f>
        <v>1</v>
      </c>
      <c r="I15" s="34"/>
      <c r="K15" t="str">
        <v>SOLUTION MKA</v>
      </c>
    </row>
    <row r="16" spans="2:11" x14ac:dyDescent="0.25">
      <c r="B16" s="37" t="s">
        <v>34</v>
      </c>
      <c r="C16" s="38"/>
      <c r="D16" s="39"/>
      <c r="E16" s="40">
        <f>SUM(E6:E15)</f>
        <v>10</v>
      </c>
      <c r="F16" s="40">
        <f>SUM(F6:F15)</f>
        <v>0</v>
      </c>
      <c r="G16" s="40">
        <f>SUM(G6:G15)</f>
        <v>0</v>
      </c>
      <c r="H16" s="40">
        <f>SUM(H6:H15)</f>
        <v>10</v>
      </c>
      <c r="I16" s="41"/>
      <c r="K16" t="str">
        <v xml:space="preserve">SOLUTION </v>
      </c>
    </row>
  </sheetData>
  <mergeCells count="8">
    <mergeCell ref="B16:D16"/>
    <mergeCell ref="B1:I1"/>
    <mergeCell ref="B2:I2"/>
    <mergeCell ref="B4:B5"/>
    <mergeCell ref="C4:C5"/>
    <mergeCell ref="D4:D5"/>
    <mergeCell ref="E4:H4"/>
    <mergeCell ref="I4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Scan Absen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</dc:creator>
  <cp:lastModifiedBy>Billy Winata</cp:lastModifiedBy>
  <cp:lastPrinted>2024-12-17T02:42:28Z</cp:lastPrinted>
  <dcterms:created xsi:type="dcterms:W3CDTF">2023-12-14T01:19:53Z</dcterms:created>
  <dcterms:modified xsi:type="dcterms:W3CDTF">2025-12-09T12:29:29Z</dcterms:modified>
</cp:coreProperties>
</file>